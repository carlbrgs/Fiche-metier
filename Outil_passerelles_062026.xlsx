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mnyos.sharepoint.com/bdc/Documents Partags1/10. Outil Compétences/"/>
    </mc:Choice>
  </mc:AlternateContent>
  <xr:revisionPtr revIDLastSave="140" documentId="8_{0DC5083B-C744-44BC-AF0C-23A698405BDF}" xr6:coauthVersionLast="47" xr6:coauthVersionMax="47" xr10:uidLastSave="{3E2DDB82-3E1E-4418-B16E-1A415EA4B88B}"/>
  <bookViews>
    <workbookView xWindow="-120" yWindow="-16320" windowWidth="29040" windowHeight="15720" firstSheet="2" activeTab="2" xr2:uid="{21E97DE6-6D1C-424A-9E31-FDBF156C3502}"/>
  </bookViews>
  <sheets>
    <sheet name="Guide d'utilisation" sheetId="16" r:id="rId1"/>
    <sheet name="Data_metier" sheetId="4" r:id="rId2"/>
    <sheet name="DE_niv_form" sheetId="5" r:id="rId3"/>
    <sheet name="DE_respon_transv" sheetId="6" r:id="rId4"/>
    <sheet name="DE_ress_transv" sheetId="7" r:id="rId5"/>
    <sheet name="Degré élargissement" sheetId="8" r:id="rId6"/>
    <sheet name="Niv formacode" sheetId="11" r:id="rId7"/>
    <sheet name="Durée formacode" sheetId="13" r:id="rId8"/>
    <sheet name="Différence formation" sheetId="14" r:id="rId9"/>
    <sheet name="Métiers passerelles" sheetId="15" r:id="rId10"/>
    <sheet name="Formacode" sheetId="12" r:id="rId11"/>
  </sheets>
  <externalReferences>
    <externalReference r:id="rId12"/>
  </externalReferences>
  <definedNames>
    <definedName name="_xlnm._FilterDatabase" localSheetId="1" hidden="1">Data_metier!$A$1:$H$30</definedName>
    <definedName name="_xlnm._FilterDatabase" localSheetId="10" hidden="1">Formacode!$A$1:$F$160</definedName>
    <definedName name="_xlnm._FilterDatabase" localSheetId="9" hidden="1">'Métiers passerelles'!$A$8:$E$37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5" l="1"/>
  <c r="C5" i="8"/>
  <c r="A9" i="15" a="1"/>
  <c r="B10" i="15" a="1"/>
  <c r="B11" i="15" a="1"/>
  <c r="B12" i="15" a="1"/>
  <c r="B13" i="15" a="1"/>
  <c r="B14" i="15" a="1"/>
  <c r="B15" i="15" a="1"/>
  <c r="B16" i="15" a="1"/>
  <c r="B17" i="15" a="1"/>
  <c r="B18" i="15" a="1"/>
  <c r="B19" i="15" a="1"/>
  <c r="B20" i="15" a="1"/>
  <c r="B21" i="15" a="1"/>
  <c r="B22" i="15" a="1"/>
  <c r="B23" i="15" a="1"/>
  <c r="B24" i="15" a="1"/>
  <c r="B25" i="15" a="1"/>
  <c r="B26" i="15" a="1"/>
  <c r="B27" i="15" a="1"/>
  <c r="B28" i="15" a="1"/>
  <c r="B29" i="15" a="1"/>
  <c r="B30" i="15" a="1"/>
  <c r="B31" i="15" a="1"/>
  <c r="B32" i="15" a="1"/>
  <c r="B33" i="15" a="1"/>
  <c r="B34" i="15" a="1"/>
  <c r="B35" i="15" a="1"/>
  <c r="B36" i="15" a="1"/>
  <c r="B37" i="15" a="1"/>
  <c r="C1" i="13" a="1"/>
  <c r="AJ1" i="13" a="1"/>
  <c r="AK1" i="13" a="1"/>
  <c r="AL1" i="13" a="1"/>
  <c r="AM1" i="13" a="1"/>
  <c r="AN1" i="13" a="1"/>
  <c r="AO1" i="13" a="1"/>
  <c r="AP1" i="13" a="1"/>
  <c r="AQ1" i="13" a="1"/>
  <c r="AR1" i="13" a="1"/>
  <c r="AS1" i="13" a="1"/>
  <c r="AT1" i="13" a="1"/>
  <c r="AU1" i="13" a="1"/>
  <c r="AV1" i="13" a="1"/>
  <c r="B2" i="13" a="1"/>
  <c r="B3" i="13" a="1"/>
  <c r="B4" i="13" a="1"/>
  <c r="B5" i="13" a="1"/>
  <c r="B6" i="13" a="1"/>
  <c r="B7" i="13" a="1"/>
  <c r="B8" i="13" a="1"/>
  <c r="B9" i="13" a="1"/>
  <c r="B10" i="13" a="1"/>
  <c r="B11" i="13" a="1"/>
  <c r="B12" i="13" a="1"/>
  <c r="B13" i="13" a="1"/>
  <c r="B14" i="13" a="1"/>
  <c r="B15" i="13" a="1"/>
  <c r="B16" i="13" a="1"/>
  <c r="B17" i="13" a="1"/>
  <c r="B18" i="13" a="1"/>
  <c r="B19" i="13" a="1"/>
  <c r="B20" i="13" a="1"/>
  <c r="B21" i="13" a="1"/>
  <c r="B22" i="13" a="1"/>
  <c r="B23" i="13" a="1"/>
  <c r="B24" i="13" a="1"/>
  <c r="B25" i="13" a="1"/>
  <c r="B26" i="13" a="1"/>
  <c r="B27" i="13" a="1"/>
  <c r="B28" i="13" a="1"/>
  <c r="B29" i="13" a="1"/>
  <c r="B30" i="13" a="1"/>
  <c r="B31" i="13" a="1"/>
  <c r="B32" i="13" a="1"/>
  <c r="B33" i="13" a="1"/>
  <c r="B34" i="13" a="1"/>
  <c r="B35" i="13" a="1"/>
  <c r="B36" i="13" a="1"/>
  <c r="B37" i="13" a="1"/>
  <c r="B38" i="13" a="1"/>
  <c r="B39" i="13" a="1"/>
  <c r="B40" i="13" a="1"/>
  <c r="B41" i="13" a="1"/>
  <c r="B42" i="13" a="1"/>
  <c r="B43" i="13" a="1"/>
  <c r="C1" i="11" a="1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C9" i="5"/>
  <c r="D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2" i="5"/>
  <c r="D2" i="13" a="1"/>
  <c r="E2" i="13" a="1"/>
  <c r="F2" i="13" a="1"/>
  <c r="G2" i="13" a="1"/>
  <c r="H2" i="13" a="1"/>
  <c r="I2" i="13" a="1"/>
  <c r="J2" i="13" a="1"/>
  <c r="K2" i="13" a="1"/>
  <c r="L2" i="13" a="1"/>
  <c r="M2" i="13" a="1"/>
  <c r="N2" i="13" a="1"/>
  <c r="O2" i="13" a="1"/>
  <c r="P2" i="13" a="1"/>
  <c r="Q2" i="13" a="1"/>
  <c r="R2" i="13" a="1"/>
  <c r="S2" i="13" a="1"/>
  <c r="T2" i="13" a="1"/>
  <c r="U2" i="13" a="1"/>
  <c r="V2" i="13" a="1"/>
  <c r="W2" i="13" a="1"/>
  <c r="X2" i="13" a="1"/>
  <c r="Y2" i="13" a="1"/>
  <c r="Z2" i="13" a="1"/>
  <c r="AA2" i="13" a="1"/>
  <c r="AB2" i="13" a="1"/>
  <c r="AC2" i="13" a="1"/>
  <c r="AD2" i="13" a="1"/>
  <c r="AE2" i="13" a="1"/>
  <c r="D3" i="13" a="1"/>
  <c r="E3" i="13" a="1"/>
  <c r="F3" i="13" a="1"/>
  <c r="G3" i="13" a="1"/>
  <c r="H3" i="13" a="1"/>
  <c r="I3" i="13" a="1"/>
  <c r="J3" i="13" a="1"/>
  <c r="K3" i="13" a="1"/>
  <c r="L3" i="13" a="1"/>
  <c r="M3" i="13" a="1"/>
  <c r="N3" i="13" a="1"/>
  <c r="O3" i="13" a="1"/>
  <c r="P3" i="13" a="1"/>
  <c r="Q3" i="13" a="1"/>
  <c r="R3" i="13" a="1"/>
  <c r="S3" i="13" a="1"/>
  <c r="T3" i="13" a="1"/>
  <c r="U3" i="13" a="1"/>
  <c r="V3" i="13" a="1"/>
  <c r="W3" i="13" a="1"/>
  <c r="X3" i="13" a="1"/>
  <c r="Y3" i="13" a="1"/>
  <c r="Z3" i="13" a="1"/>
  <c r="AA3" i="13" a="1"/>
  <c r="AB3" i="13" a="1"/>
  <c r="AC3" i="13" a="1"/>
  <c r="AD3" i="13" a="1"/>
  <c r="AE3" i="13" a="1"/>
  <c r="D4" i="13" a="1"/>
  <c r="E4" i="13" a="1"/>
  <c r="F4" i="13" a="1"/>
  <c r="G4" i="13" a="1"/>
  <c r="H4" i="13" a="1"/>
  <c r="I4" i="13" a="1"/>
  <c r="J4" i="13" a="1"/>
  <c r="K4" i="13" a="1"/>
  <c r="L4" i="13" a="1"/>
  <c r="M4" i="13" a="1"/>
  <c r="N4" i="13" a="1"/>
  <c r="O4" i="13" a="1"/>
  <c r="P4" i="13" a="1"/>
  <c r="Q4" i="13" a="1"/>
  <c r="R4" i="13" a="1"/>
  <c r="S4" i="13" a="1"/>
  <c r="T4" i="13" a="1"/>
  <c r="U4" i="13" a="1"/>
  <c r="V4" i="13" a="1"/>
  <c r="W4" i="13" a="1"/>
  <c r="X4" i="13" a="1"/>
  <c r="Y4" i="13" a="1"/>
  <c r="Z4" i="13" a="1"/>
  <c r="AA4" i="13" a="1"/>
  <c r="AB4" i="13" a="1"/>
  <c r="AC4" i="13" a="1"/>
  <c r="AD4" i="13" a="1"/>
  <c r="AE4" i="13" a="1"/>
  <c r="D5" i="13" a="1"/>
  <c r="E5" i="13" a="1"/>
  <c r="F5" i="13" a="1"/>
  <c r="G5" i="13" a="1"/>
  <c r="H5" i="13" a="1"/>
  <c r="I5" i="13" a="1"/>
  <c r="J5" i="13" a="1"/>
  <c r="K5" i="13" a="1"/>
  <c r="L5" i="13" a="1"/>
  <c r="M5" i="13" a="1"/>
  <c r="N5" i="13" a="1"/>
  <c r="O5" i="13" a="1"/>
  <c r="P5" i="13" a="1"/>
  <c r="Q5" i="13" a="1"/>
  <c r="R5" i="13" a="1"/>
  <c r="S5" i="13" a="1"/>
  <c r="T5" i="13" a="1"/>
  <c r="U5" i="13" a="1"/>
  <c r="V5" i="13" a="1"/>
  <c r="W5" i="13" a="1"/>
  <c r="X5" i="13" a="1"/>
  <c r="Y5" i="13" a="1"/>
  <c r="Z5" i="13" a="1"/>
  <c r="AA5" i="13" a="1"/>
  <c r="AB5" i="13" a="1"/>
  <c r="AC5" i="13" a="1"/>
  <c r="AD5" i="13" a="1"/>
  <c r="AE5" i="13" a="1"/>
  <c r="D6" i="13" a="1"/>
  <c r="E6" i="13" a="1"/>
  <c r="F6" i="13" a="1"/>
  <c r="G6" i="13" a="1"/>
  <c r="H6" i="13" a="1"/>
  <c r="I6" i="13" a="1"/>
  <c r="J6" i="13" a="1"/>
  <c r="K6" i="13" a="1"/>
  <c r="L6" i="13" a="1"/>
  <c r="M6" i="13" a="1"/>
  <c r="N6" i="13" a="1"/>
  <c r="O6" i="13" a="1"/>
  <c r="P6" i="13" a="1"/>
  <c r="Q6" i="13" a="1"/>
  <c r="R6" i="13" a="1"/>
  <c r="S6" i="13" a="1"/>
  <c r="T6" i="13" a="1"/>
  <c r="U6" i="13" a="1"/>
  <c r="V6" i="13" a="1"/>
  <c r="W6" i="13" a="1"/>
  <c r="X6" i="13" a="1"/>
  <c r="Y6" i="13" a="1"/>
  <c r="Z6" i="13" a="1"/>
  <c r="AA6" i="13" a="1"/>
  <c r="AB6" i="13" a="1"/>
  <c r="AC6" i="13" a="1"/>
  <c r="AD6" i="13" a="1"/>
  <c r="AE6" i="13" a="1"/>
  <c r="D7" i="13" a="1"/>
  <c r="E7" i="13" a="1"/>
  <c r="F7" i="13" a="1"/>
  <c r="G7" i="13" a="1"/>
  <c r="H7" i="13" a="1"/>
  <c r="I7" i="13" a="1"/>
  <c r="J7" i="13" a="1"/>
  <c r="K7" i="13" a="1"/>
  <c r="L7" i="13" a="1"/>
  <c r="M7" i="13" a="1"/>
  <c r="N7" i="13" a="1"/>
  <c r="O7" i="13" a="1"/>
  <c r="P7" i="13" a="1"/>
  <c r="Q7" i="13" a="1"/>
  <c r="R7" i="13" a="1"/>
  <c r="S7" i="13" a="1"/>
  <c r="T7" i="13" a="1"/>
  <c r="U7" i="13" a="1"/>
  <c r="V7" i="13" a="1"/>
  <c r="W7" i="13" a="1"/>
  <c r="X7" i="13" a="1"/>
  <c r="Y7" i="13" a="1"/>
  <c r="Z7" i="13" a="1"/>
  <c r="AA7" i="13" a="1"/>
  <c r="AB7" i="13" a="1"/>
  <c r="AC7" i="13" a="1"/>
  <c r="AD7" i="13" a="1"/>
  <c r="AE7" i="13" a="1"/>
  <c r="D8" i="13" a="1"/>
  <c r="E8" i="13" a="1"/>
  <c r="F8" i="13" a="1"/>
  <c r="G8" i="13" a="1"/>
  <c r="H8" i="13" a="1"/>
  <c r="I8" i="13" a="1"/>
  <c r="J8" i="13" a="1"/>
  <c r="K8" i="13" a="1"/>
  <c r="L8" i="13" a="1"/>
  <c r="M8" i="13" a="1"/>
  <c r="N8" i="13" a="1"/>
  <c r="O8" i="13" a="1"/>
  <c r="P8" i="13" a="1"/>
  <c r="Q8" i="13" a="1"/>
  <c r="R8" i="13" a="1"/>
  <c r="S8" i="13" a="1"/>
  <c r="T8" i="13" a="1"/>
  <c r="U8" i="13" a="1"/>
  <c r="V8" i="13" a="1"/>
  <c r="W8" i="13" a="1"/>
  <c r="X8" i="13" a="1"/>
  <c r="Y8" i="13" a="1"/>
  <c r="Z8" i="13" a="1"/>
  <c r="AA8" i="13" a="1"/>
  <c r="AB8" i="13" a="1"/>
  <c r="AC8" i="13" a="1"/>
  <c r="AD8" i="13" a="1"/>
  <c r="AE8" i="13" a="1"/>
  <c r="D9" i="13" a="1"/>
  <c r="E9" i="13" a="1"/>
  <c r="F9" i="13" a="1"/>
  <c r="G9" i="13" a="1"/>
  <c r="H9" i="13" a="1"/>
  <c r="I9" i="13" a="1"/>
  <c r="J9" i="13" a="1"/>
  <c r="K9" i="13" a="1"/>
  <c r="L9" i="13" a="1"/>
  <c r="M9" i="13" a="1"/>
  <c r="N9" i="13" a="1"/>
  <c r="O9" i="13" a="1"/>
  <c r="P9" i="13" a="1"/>
  <c r="Q9" i="13" a="1"/>
  <c r="R9" i="13" a="1"/>
  <c r="S9" i="13" a="1"/>
  <c r="T9" i="13" a="1"/>
  <c r="U9" i="13" a="1"/>
  <c r="V9" i="13" a="1"/>
  <c r="W9" i="13" a="1"/>
  <c r="X9" i="13" a="1"/>
  <c r="Y9" i="13" a="1"/>
  <c r="Z9" i="13" a="1"/>
  <c r="AA9" i="13" a="1"/>
  <c r="AB9" i="13" a="1"/>
  <c r="AC9" i="13" a="1"/>
  <c r="AD9" i="13" a="1"/>
  <c r="AE9" i="13" a="1"/>
  <c r="D10" i="13" a="1"/>
  <c r="E10" i="13" a="1"/>
  <c r="F10" i="13" a="1"/>
  <c r="G10" i="13" a="1"/>
  <c r="H10" i="13" a="1"/>
  <c r="I10" i="13" a="1"/>
  <c r="J10" i="13" a="1"/>
  <c r="K10" i="13" a="1"/>
  <c r="L10" i="13" a="1"/>
  <c r="M10" i="13" a="1"/>
  <c r="N10" i="13" a="1"/>
  <c r="O10" i="13" a="1"/>
  <c r="P10" i="13" a="1"/>
  <c r="Q10" i="13" a="1"/>
  <c r="R10" i="13" a="1"/>
  <c r="S10" i="13" a="1"/>
  <c r="T10" i="13" a="1"/>
  <c r="U10" i="13" a="1"/>
  <c r="V10" i="13" a="1"/>
  <c r="W10" i="13" a="1"/>
  <c r="X10" i="13" a="1"/>
  <c r="Y10" i="13" a="1"/>
  <c r="Z10" i="13" a="1"/>
  <c r="AA10" i="13" a="1"/>
  <c r="AB10" i="13" a="1"/>
  <c r="AC10" i="13" a="1"/>
  <c r="AD10" i="13" a="1"/>
  <c r="AE10" i="13" a="1"/>
  <c r="D11" i="13" a="1"/>
  <c r="E11" i="13" a="1"/>
  <c r="F11" i="13" a="1"/>
  <c r="G11" i="13" a="1"/>
  <c r="H11" i="13" a="1"/>
  <c r="I11" i="13" a="1"/>
  <c r="J11" i="13" a="1"/>
  <c r="K11" i="13" a="1"/>
  <c r="L11" i="13" a="1"/>
  <c r="M11" i="13" a="1"/>
  <c r="N11" i="13" a="1"/>
  <c r="O11" i="13" a="1"/>
  <c r="P11" i="13" a="1"/>
  <c r="Q11" i="13" a="1"/>
  <c r="R11" i="13" a="1"/>
  <c r="S11" i="13" a="1"/>
  <c r="T11" i="13" a="1"/>
  <c r="U11" i="13" a="1"/>
  <c r="V11" i="13" a="1"/>
  <c r="W11" i="13" a="1"/>
  <c r="X11" i="13" a="1"/>
  <c r="Y11" i="13" a="1"/>
  <c r="Z11" i="13" a="1"/>
  <c r="AA11" i="13" a="1"/>
  <c r="AB11" i="13" a="1"/>
  <c r="AC11" i="13" a="1"/>
  <c r="AD11" i="13" a="1"/>
  <c r="AE11" i="13" a="1"/>
  <c r="D12" i="13" a="1"/>
  <c r="E12" i="13" a="1"/>
  <c r="F12" i="13" a="1"/>
  <c r="G12" i="13" a="1"/>
  <c r="H12" i="13" a="1"/>
  <c r="I12" i="13" a="1"/>
  <c r="J12" i="13" a="1"/>
  <c r="K12" i="13" a="1"/>
  <c r="L12" i="13" a="1"/>
  <c r="M12" i="13" a="1"/>
  <c r="N12" i="13" a="1"/>
  <c r="O12" i="13" a="1"/>
  <c r="P12" i="13" a="1"/>
  <c r="Q12" i="13" a="1"/>
  <c r="R12" i="13" a="1"/>
  <c r="S12" i="13" a="1"/>
  <c r="T12" i="13" a="1"/>
  <c r="U12" i="13" a="1"/>
  <c r="V12" i="13" a="1"/>
  <c r="W12" i="13" a="1"/>
  <c r="X12" i="13" a="1"/>
  <c r="Y12" i="13" a="1"/>
  <c r="Z12" i="13" a="1"/>
  <c r="AA12" i="13" a="1"/>
  <c r="AB12" i="13" a="1"/>
  <c r="AC12" i="13" a="1"/>
  <c r="AD12" i="13" a="1"/>
  <c r="AE12" i="13" a="1"/>
  <c r="D13" i="13" a="1"/>
  <c r="E13" i="13" a="1"/>
  <c r="F13" i="13" a="1"/>
  <c r="G13" i="13" a="1"/>
  <c r="H13" i="13" a="1"/>
  <c r="I13" i="13" a="1"/>
  <c r="J13" i="13" a="1"/>
  <c r="K13" i="13" a="1"/>
  <c r="L13" i="13" a="1"/>
  <c r="M13" i="13" a="1"/>
  <c r="N13" i="13" a="1"/>
  <c r="O13" i="13" a="1"/>
  <c r="P13" i="13" a="1"/>
  <c r="Q13" i="13" a="1"/>
  <c r="R13" i="13" a="1"/>
  <c r="S13" i="13" a="1"/>
  <c r="T13" i="13" a="1"/>
  <c r="U13" i="13" a="1"/>
  <c r="V13" i="13" a="1"/>
  <c r="W13" i="13" a="1"/>
  <c r="X13" i="13" a="1"/>
  <c r="Y13" i="13" a="1"/>
  <c r="Z13" i="13" a="1"/>
  <c r="AA13" i="13" a="1"/>
  <c r="AB13" i="13" a="1"/>
  <c r="AC13" i="13" a="1"/>
  <c r="AD13" i="13" a="1"/>
  <c r="AE13" i="13" a="1"/>
  <c r="D14" i="13" a="1"/>
  <c r="E14" i="13" a="1"/>
  <c r="F14" i="13" a="1"/>
  <c r="G14" i="13" a="1"/>
  <c r="H14" i="13" a="1"/>
  <c r="I14" i="13" a="1"/>
  <c r="J14" i="13" a="1"/>
  <c r="K14" i="13" a="1"/>
  <c r="L14" i="13" a="1"/>
  <c r="M14" i="13" a="1"/>
  <c r="N14" i="13" a="1"/>
  <c r="O14" i="13" a="1"/>
  <c r="P14" i="13" a="1"/>
  <c r="Q14" i="13" a="1"/>
  <c r="R14" i="13" a="1"/>
  <c r="S14" i="13" a="1"/>
  <c r="T14" i="13" a="1"/>
  <c r="U14" i="13" a="1"/>
  <c r="V14" i="13" a="1"/>
  <c r="W14" i="13" a="1"/>
  <c r="X14" i="13" a="1"/>
  <c r="Y14" i="13" a="1"/>
  <c r="Z14" i="13" a="1"/>
  <c r="AA14" i="13" a="1"/>
  <c r="AB14" i="13" a="1"/>
  <c r="AC14" i="13" a="1"/>
  <c r="AD14" i="13" a="1"/>
  <c r="AE14" i="13" a="1"/>
  <c r="D15" i="13" a="1"/>
  <c r="E15" i="13" a="1"/>
  <c r="F15" i="13" a="1"/>
  <c r="G15" i="13" a="1"/>
  <c r="H15" i="13" a="1"/>
  <c r="I15" i="13" a="1"/>
  <c r="J15" i="13" a="1"/>
  <c r="K15" i="13" a="1"/>
  <c r="L15" i="13" a="1"/>
  <c r="M15" i="13" a="1"/>
  <c r="N15" i="13" a="1"/>
  <c r="O15" i="13" a="1"/>
  <c r="P15" i="13" a="1"/>
  <c r="Q15" i="13" a="1"/>
  <c r="R15" i="13" a="1"/>
  <c r="S15" i="13" a="1"/>
  <c r="T15" i="13" a="1"/>
  <c r="U15" i="13" a="1"/>
  <c r="V15" i="13" a="1"/>
  <c r="W15" i="13" a="1"/>
  <c r="X15" i="13" a="1"/>
  <c r="Y15" i="13" a="1"/>
  <c r="Z15" i="13" a="1"/>
  <c r="AA15" i="13" a="1"/>
  <c r="AB15" i="13" a="1"/>
  <c r="AC15" i="13" a="1"/>
  <c r="AD15" i="13" a="1"/>
  <c r="AE15" i="13" a="1"/>
  <c r="D16" i="13" a="1"/>
  <c r="E16" i="13" a="1"/>
  <c r="F16" i="13" a="1"/>
  <c r="G16" i="13" a="1"/>
  <c r="H16" i="13" a="1"/>
  <c r="I16" i="13" a="1"/>
  <c r="J16" i="13" a="1"/>
  <c r="K16" i="13" a="1"/>
  <c r="L16" i="13" a="1"/>
  <c r="M16" i="13" a="1"/>
  <c r="N16" i="13" a="1"/>
  <c r="O16" i="13" a="1"/>
  <c r="P16" i="13" a="1"/>
  <c r="Q16" i="13" a="1"/>
  <c r="R16" i="13" a="1"/>
  <c r="S16" i="13" a="1"/>
  <c r="T16" i="13" a="1"/>
  <c r="U16" i="13" a="1"/>
  <c r="V16" i="13" a="1"/>
  <c r="W16" i="13" a="1"/>
  <c r="X16" i="13" a="1"/>
  <c r="Y16" i="13" a="1"/>
  <c r="Z16" i="13" a="1"/>
  <c r="AA16" i="13" a="1"/>
  <c r="AB16" i="13" a="1"/>
  <c r="AC16" i="13" a="1"/>
  <c r="AD16" i="13" a="1"/>
  <c r="AE16" i="13" a="1"/>
  <c r="D17" i="13" a="1"/>
  <c r="E17" i="13" a="1"/>
  <c r="F17" i="13" a="1"/>
  <c r="G17" i="13" a="1"/>
  <c r="H17" i="13" a="1"/>
  <c r="I17" i="13" a="1"/>
  <c r="J17" i="13" a="1"/>
  <c r="K17" i="13" a="1"/>
  <c r="L17" i="13" a="1"/>
  <c r="M17" i="13" a="1"/>
  <c r="N17" i="13" a="1"/>
  <c r="O17" i="13" a="1"/>
  <c r="P17" i="13" a="1"/>
  <c r="Q17" i="13" a="1"/>
  <c r="R17" i="13" a="1"/>
  <c r="S17" i="13" a="1"/>
  <c r="T17" i="13" a="1"/>
  <c r="U17" i="13" a="1"/>
  <c r="V17" i="13" a="1"/>
  <c r="W17" i="13" a="1"/>
  <c r="X17" i="13" a="1"/>
  <c r="Y17" i="13" a="1"/>
  <c r="Z17" i="13" a="1"/>
  <c r="AA17" i="13" a="1"/>
  <c r="AB17" i="13" a="1"/>
  <c r="AC17" i="13" a="1"/>
  <c r="AD17" i="13" a="1"/>
  <c r="AE17" i="13" a="1"/>
  <c r="D18" i="13" a="1"/>
  <c r="E18" i="13" a="1"/>
  <c r="F18" i="13" a="1"/>
  <c r="G18" i="13" a="1"/>
  <c r="H18" i="13" a="1"/>
  <c r="I18" i="13" a="1"/>
  <c r="J18" i="13" a="1"/>
  <c r="K18" i="13" a="1"/>
  <c r="L18" i="13" a="1"/>
  <c r="M18" i="13" a="1"/>
  <c r="N18" i="13" a="1"/>
  <c r="O18" i="13" a="1"/>
  <c r="P18" i="13" a="1"/>
  <c r="Q18" i="13" a="1"/>
  <c r="R18" i="13" a="1"/>
  <c r="S18" i="13" a="1"/>
  <c r="T18" i="13" a="1"/>
  <c r="U18" i="13" a="1"/>
  <c r="V18" i="13" a="1"/>
  <c r="W18" i="13" a="1"/>
  <c r="X18" i="13" a="1"/>
  <c r="Y18" i="13" a="1"/>
  <c r="Z18" i="13" a="1"/>
  <c r="AA18" i="13" a="1"/>
  <c r="AB18" i="13" a="1"/>
  <c r="AC18" i="13" a="1"/>
  <c r="AD18" i="13" a="1"/>
  <c r="AE18" i="13" a="1"/>
  <c r="D19" i="13" a="1"/>
  <c r="E19" i="13" a="1"/>
  <c r="F19" i="13" a="1"/>
  <c r="G19" i="13" a="1"/>
  <c r="H19" i="13" a="1"/>
  <c r="I19" i="13" a="1"/>
  <c r="J19" i="13" a="1"/>
  <c r="K19" i="13" a="1"/>
  <c r="L19" i="13" a="1"/>
  <c r="M19" i="13" a="1"/>
  <c r="N19" i="13" a="1"/>
  <c r="O19" i="13" a="1"/>
  <c r="P19" i="13" a="1"/>
  <c r="Q19" i="13" a="1"/>
  <c r="R19" i="13" a="1"/>
  <c r="S19" i="13" a="1"/>
  <c r="T19" i="13" a="1"/>
  <c r="U19" i="13" a="1"/>
  <c r="V19" i="13" a="1"/>
  <c r="W19" i="13" a="1"/>
  <c r="X19" i="13" a="1"/>
  <c r="Y19" i="13" a="1"/>
  <c r="Z19" i="13" a="1"/>
  <c r="AA19" i="13" a="1"/>
  <c r="AB19" i="13" a="1"/>
  <c r="AC19" i="13" a="1"/>
  <c r="AD19" i="13" a="1"/>
  <c r="AE19" i="13" a="1"/>
  <c r="D20" i="13" a="1"/>
  <c r="E20" i="13" a="1"/>
  <c r="F20" i="13" a="1"/>
  <c r="G20" i="13" a="1"/>
  <c r="H20" i="13" a="1"/>
  <c r="I20" i="13" a="1"/>
  <c r="J20" i="13" a="1"/>
  <c r="K20" i="13" a="1"/>
  <c r="L20" i="13" a="1"/>
  <c r="M20" i="13" a="1"/>
  <c r="N20" i="13" a="1"/>
  <c r="O20" i="13" a="1"/>
  <c r="P20" i="13" a="1"/>
  <c r="Q20" i="13" a="1"/>
  <c r="R20" i="13" a="1"/>
  <c r="S20" i="13" a="1"/>
  <c r="T20" i="13" a="1"/>
  <c r="U20" i="13" a="1"/>
  <c r="V20" i="13" a="1"/>
  <c r="W20" i="13" a="1"/>
  <c r="X20" i="13" a="1"/>
  <c r="Y20" i="13" a="1"/>
  <c r="Z20" i="13" a="1"/>
  <c r="AA20" i="13" a="1"/>
  <c r="AB20" i="13" a="1"/>
  <c r="AC20" i="13" a="1"/>
  <c r="AD20" i="13" a="1"/>
  <c r="AE20" i="13" a="1"/>
  <c r="D21" i="13" a="1"/>
  <c r="E21" i="13" a="1"/>
  <c r="F21" i="13" a="1"/>
  <c r="G21" i="13" a="1"/>
  <c r="H21" i="13" a="1"/>
  <c r="I21" i="13" a="1"/>
  <c r="J21" i="13" a="1"/>
  <c r="K21" i="13" a="1"/>
  <c r="L21" i="13" a="1"/>
  <c r="M21" i="13" a="1"/>
  <c r="N21" i="13" a="1"/>
  <c r="O21" i="13" a="1"/>
  <c r="P21" i="13" a="1"/>
  <c r="Q21" i="13" a="1"/>
  <c r="R21" i="13" a="1"/>
  <c r="S21" i="13" a="1"/>
  <c r="T21" i="13" a="1"/>
  <c r="U21" i="13" a="1"/>
  <c r="V21" i="13" a="1"/>
  <c r="W21" i="13" a="1"/>
  <c r="X21" i="13" a="1"/>
  <c r="Y21" i="13" a="1"/>
  <c r="Z21" i="13" a="1"/>
  <c r="AA21" i="13" a="1"/>
  <c r="AB21" i="13" a="1"/>
  <c r="AC21" i="13" a="1"/>
  <c r="AD21" i="13" a="1"/>
  <c r="AE21" i="13" a="1"/>
  <c r="D22" i="13" a="1"/>
  <c r="E22" i="13" a="1"/>
  <c r="F22" i="13" a="1"/>
  <c r="G22" i="13" a="1"/>
  <c r="H22" i="13" a="1"/>
  <c r="I22" i="13" a="1"/>
  <c r="J22" i="13" a="1"/>
  <c r="K22" i="13" a="1"/>
  <c r="L22" i="13" a="1"/>
  <c r="M22" i="13" a="1"/>
  <c r="N22" i="13" a="1"/>
  <c r="O22" i="13" a="1"/>
  <c r="P22" i="13" a="1"/>
  <c r="Q22" i="13" a="1"/>
  <c r="R22" i="13" a="1"/>
  <c r="S22" i="13" a="1"/>
  <c r="T22" i="13" a="1"/>
  <c r="U22" i="13" a="1"/>
  <c r="V22" i="13" a="1"/>
  <c r="W22" i="13" a="1"/>
  <c r="X22" i="13" a="1"/>
  <c r="Y22" i="13" a="1"/>
  <c r="Z22" i="13" a="1"/>
  <c r="AA22" i="13" a="1"/>
  <c r="AB22" i="13" a="1"/>
  <c r="AC22" i="13" a="1"/>
  <c r="AD22" i="13" a="1"/>
  <c r="AE22" i="13" a="1"/>
  <c r="D23" i="13" a="1"/>
  <c r="E23" i="13" a="1"/>
  <c r="F23" i="13" a="1"/>
  <c r="G23" i="13" a="1"/>
  <c r="H23" i="13" a="1"/>
  <c r="I23" i="13" a="1"/>
  <c r="J23" i="13" a="1"/>
  <c r="K23" i="13" a="1"/>
  <c r="L23" i="13" a="1"/>
  <c r="M23" i="13" a="1"/>
  <c r="N23" i="13" a="1"/>
  <c r="O23" i="13" a="1"/>
  <c r="P23" i="13" a="1"/>
  <c r="Q23" i="13" a="1"/>
  <c r="R23" i="13" a="1"/>
  <c r="S23" i="13" a="1"/>
  <c r="T23" i="13" a="1"/>
  <c r="U23" i="13" a="1"/>
  <c r="V23" i="13" a="1"/>
  <c r="W23" i="13" a="1"/>
  <c r="X23" i="13" a="1"/>
  <c r="Y23" i="13" a="1"/>
  <c r="Z23" i="13" a="1"/>
  <c r="AA23" i="13" a="1"/>
  <c r="AB23" i="13" a="1"/>
  <c r="AC23" i="13" a="1"/>
  <c r="AD23" i="13" a="1"/>
  <c r="AE23" i="13" a="1"/>
  <c r="D24" i="13" a="1"/>
  <c r="E24" i="13" a="1"/>
  <c r="F24" i="13" a="1"/>
  <c r="G24" i="13" a="1"/>
  <c r="H24" i="13" a="1"/>
  <c r="I24" i="13" a="1"/>
  <c r="J24" i="13" a="1"/>
  <c r="K24" i="13" a="1"/>
  <c r="L24" i="13" a="1"/>
  <c r="M24" i="13" a="1"/>
  <c r="N24" i="13" a="1"/>
  <c r="O24" i="13" a="1"/>
  <c r="P24" i="13" a="1"/>
  <c r="Q24" i="13" a="1"/>
  <c r="R24" i="13" a="1"/>
  <c r="S24" i="13" a="1"/>
  <c r="T24" i="13" a="1"/>
  <c r="U24" i="13" a="1"/>
  <c r="V24" i="13" a="1"/>
  <c r="W24" i="13" a="1"/>
  <c r="X24" i="13" a="1"/>
  <c r="Y24" i="13" a="1"/>
  <c r="Z24" i="13" a="1"/>
  <c r="AA24" i="13" a="1"/>
  <c r="AB24" i="13" a="1"/>
  <c r="AC24" i="13" a="1"/>
  <c r="AD24" i="13" a="1"/>
  <c r="AE24" i="13" a="1"/>
  <c r="D25" i="13" a="1"/>
  <c r="E25" i="13" a="1"/>
  <c r="F25" i="13" a="1"/>
  <c r="G25" i="13" a="1"/>
  <c r="H25" i="13" a="1"/>
  <c r="I25" i="13" a="1"/>
  <c r="J25" i="13" a="1"/>
  <c r="K25" i="13" a="1"/>
  <c r="L25" i="13" a="1"/>
  <c r="M25" i="13" a="1"/>
  <c r="N25" i="13" a="1"/>
  <c r="O25" i="13" a="1"/>
  <c r="P25" i="13" a="1"/>
  <c r="Q25" i="13" a="1"/>
  <c r="R25" i="13" a="1"/>
  <c r="S25" i="13" a="1"/>
  <c r="T25" i="13" a="1"/>
  <c r="U25" i="13" a="1"/>
  <c r="V25" i="13" a="1"/>
  <c r="W25" i="13" a="1"/>
  <c r="X25" i="13" a="1"/>
  <c r="Y25" i="13" a="1"/>
  <c r="Z25" i="13" a="1"/>
  <c r="AA25" i="13" a="1"/>
  <c r="AB25" i="13" a="1"/>
  <c r="AC25" i="13" a="1"/>
  <c r="AD25" i="13" a="1"/>
  <c r="AE25" i="13" a="1"/>
  <c r="D26" i="13" a="1"/>
  <c r="E26" i="13" a="1"/>
  <c r="F26" i="13" a="1"/>
  <c r="G26" i="13" a="1"/>
  <c r="H26" i="13" a="1"/>
  <c r="I26" i="13" a="1"/>
  <c r="J26" i="13" a="1"/>
  <c r="K26" i="13" a="1"/>
  <c r="L26" i="13" a="1"/>
  <c r="M26" i="13" a="1"/>
  <c r="N26" i="13" a="1"/>
  <c r="O26" i="13" a="1"/>
  <c r="P26" i="13" a="1"/>
  <c r="Q26" i="13" a="1"/>
  <c r="R26" i="13" a="1"/>
  <c r="S26" i="13" a="1"/>
  <c r="T26" i="13" a="1"/>
  <c r="U26" i="13" a="1"/>
  <c r="V26" i="13" a="1"/>
  <c r="W26" i="13" a="1"/>
  <c r="X26" i="13" a="1"/>
  <c r="Y26" i="13" a="1"/>
  <c r="Z26" i="13" a="1"/>
  <c r="AA26" i="13" a="1"/>
  <c r="AB26" i="13" a="1"/>
  <c r="AC26" i="13" a="1"/>
  <c r="AD26" i="13" a="1"/>
  <c r="AE26" i="13" a="1"/>
  <c r="D27" i="13" a="1"/>
  <c r="E27" i="13" a="1"/>
  <c r="F27" i="13" a="1"/>
  <c r="G27" i="13" a="1"/>
  <c r="H27" i="13" a="1"/>
  <c r="I27" i="13" a="1"/>
  <c r="J27" i="13" a="1"/>
  <c r="K27" i="13" a="1"/>
  <c r="L27" i="13" a="1"/>
  <c r="M27" i="13" a="1"/>
  <c r="N27" i="13" a="1"/>
  <c r="O27" i="13" a="1"/>
  <c r="P27" i="13" a="1"/>
  <c r="Q27" i="13" a="1"/>
  <c r="R27" i="13" a="1"/>
  <c r="S27" i="13" a="1"/>
  <c r="T27" i="13" a="1"/>
  <c r="U27" i="13" a="1"/>
  <c r="V27" i="13" a="1"/>
  <c r="W27" i="13" a="1"/>
  <c r="X27" i="13" a="1"/>
  <c r="Y27" i="13" a="1"/>
  <c r="Z27" i="13" a="1"/>
  <c r="AA27" i="13" a="1"/>
  <c r="AB27" i="13" a="1"/>
  <c r="AC27" i="13" a="1"/>
  <c r="AD27" i="13" a="1"/>
  <c r="AE27" i="13" a="1"/>
  <c r="D28" i="13" a="1"/>
  <c r="E28" i="13" a="1"/>
  <c r="F28" i="13" a="1"/>
  <c r="G28" i="13" a="1"/>
  <c r="H28" i="13" a="1"/>
  <c r="I28" i="13" a="1"/>
  <c r="J28" i="13" a="1"/>
  <c r="K28" i="13" a="1"/>
  <c r="L28" i="13" a="1"/>
  <c r="M28" i="13" a="1"/>
  <c r="N28" i="13" a="1"/>
  <c r="O28" i="13" a="1"/>
  <c r="P28" i="13" a="1"/>
  <c r="Q28" i="13" a="1"/>
  <c r="R28" i="13" a="1"/>
  <c r="S28" i="13" a="1"/>
  <c r="T28" i="13" a="1"/>
  <c r="U28" i="13" a="1"/>
  <c r="V28" i="13" a="1"/>
  <c r="W28" i="13" a="1"/>
  <c r="X28" i="13" a="1"/>
  <c r="Y28" i="13" a="1"/>
  <c r="Z28" i="13" a="1"/>
  <c r="AA28" i="13" a="1"/>
  <c r="AB28" i="13" a="1"/>
  <c r="AC28" i="13" a="1"/>
  <c r="AD28" i="13" a="1"/>
  <c r="AE28" i="13" a="1"/>
  <c r="D29" i="13" a="1"/>
  <c r="E29" i="13" a="1"/>
  <c r="F29" i="13" a="1"/>
  <c r="G29" i="13" a="1"/>
  <c r="H29" i="13" a="1"/>
  <c r="I29" i="13" a="1"/>
  <c r="J29" i="13" a="1"/>
  <c r="K29" i="13" a="1"/>
  <c r="L29" i="13" a="1"/>
  <c r="M29" i="13" a="1"/>
  <c r="N29" i="13" a="1"/>
  <c r="O29" i="13" a="1"/>
  <c r="P29" i="13" a="1"/>
  <c r="Q29" i="13" a="1"/>
  <c r="R29" i="13" a="1"/>
  <c r="S29" i="13" a="1"/>
  <c r="T29" i="13" a="1"/>
  <c r="U29" i="13" a="1"/>
  <c r="V29" i="13" a="1"/>
  <c r="W29" i="13" a="1"/>
  <c r="X29" i="13" a="1"/>
  <c r="Y29" i="13" a="1"/>
  <c r="Z29" i="13" a="1"/>
  <c r="AA29" i="13" a="1"/>
  <c r="AB29" i="13" a="1"/>
  <c r="AC29" i="13" a="1"/>
  <c r="AD29" i="13" a="1"/>
  <c r="AE29" i="13" a="1"/>
  <c r="D30" i="13" a="1"/>
  <c r="E30" i="13" a="1"/>
  <c r="F30" i="13" a="1"/>
  <c r="G30" i="13" a="1"/>
  <c r="H30" i="13" a="1"/>
  <c r="I30" i="13" a="1"/>
  <c r="J30" i="13" a="1"/>
  <c r="K30" i="13" a="1"/>
  <c r="L30" i="13" a="1"/>
  <c r="M30" i="13" a="1"/>
  <c r="N30" i="13" a="1"/>
  <c r="O30" i="13" a="1"/>
  <c r="P30" i="13" a="1"/>
  <c r="Q30" i="13" a="1"/>
  <c r="R30" i="13" a="1"/>
  <c r="S30" i="13" a="1"/>
  <c r="T30" i="13" a="1"/>
  <c r="U30" i="13" a="1"/>
  <c r="V30" i="13" a="1"/>
  <c r="W30" i="13" a="1"/>
  <c r="X30" i="13" a="1"/>
  <c r="Y30" i="13" a="1"/>
  <c r="Z30" i="13" a="1"/>
  <c r="AA30" i="13" a="1"/>
  <c r="AB30" i="13" a="1"/>
  <c r="AC30" i="13" a="1"/>
  <c r="AD30" i="13" a="1"/>
  <c r="AE30" i="13" a="1"/>
  <c r="D31" i="13" a="1"/>
  <c r="E31" i="13" a="1"/>
  <c r="F31" i="13" a="1"/>
  <c r="G31" i="13" a="1"/>
  <c r="H31" i="13" a="1"/>
  <c r="I31" i="13" a="1"/>
  <c r="J31" i="13" a="1"/>
  <c r="K31" i="13" a="1"/>
  <c r="L31" i="13" a="1"/>
  <c r="M31" i="13" a="1"/>
  <c r="N31" i="13" a="1"/>
  <c r="O31" i="13" a="1"/>
  <c r="P31" i="13" a="1"/>
  <c r="Q31" i="13" a="1"/>
  <c r="R31" i="13" a="1"/>
  <c r="S31" i="13" a="1"/>
  <c r="T31" i="13" a="1"/>
  <c r="U31" i="13" a="1"/>
  <c r="V31" i="13" a="1"/>
  <c r="W31" i="13" a="1"/>
  <c r="X31" i="13" a="1"/>
  <c r="Y31" i="13" a="1"/>
  <c r="Z31" i="13" a="1"/>
  <c r="AA31" i="13" a="1"/>
  <c r="AB31" i="13" a="1"/>
  <c r="AC31" i="13" a="1"/>
  <c r="AD31" i="13" a="1"/>
  <c r="AE31" i="13" a="1"/>
  <c r="D32" i="13" a="1"/>
  <c r="E32" i="13" a="1"/>
  <c r="F32" i="13" a="1"/>
  <c r="G32" i="13" a="1"/>
  <c r="H32" i="13" a="1"/>
  <c r="I32" i="13" a="1"/>
  <c r="J32" i="13" a="1"/>
  <c r="K32" i="13" a="1"/>
  <c r="L32" i="13" a="1"/>
  <c r="M32" i="13" a="1"/>
  <c r="N32" i="13" a="1"/>
  <c r="O32" i="13" a="1"/>
  <c r="P32" i="13" a="1"/>
  <c r="Q32" i="13" a="1"/>
  <c r="R32" i="13" a="1"/>
  <c r="S32" i="13" a="1"/>
  <c r="T32" i="13" a="1"/>
  <c r="U32" i="13" a="1"/>
  <c r="V32" i="13" a="1"/>
  <c r="W32" i="13" a="1"/>
  <c r="X32" i="13" a="1"/>
  <c r="Y32" i="13" a="1"/>
  <c r="Z32" i="13" a="1"/>
  <c r="AA32" i="13" a="1"/>
  <c r="AB32" i="13" a="1"/>
  <c r="AC32" i="13" a="1"/>
  <c r="AD32" i="13" a="1"/>
  <c r="AE32" i="13" a="1"/>
  <c r="D33" i="13" a="1"/>
  <c r="E33" i="13" a="1"/>
  <c r="F33" i="13" a="1"/>
  <c r="G33" i="13" a="1"/>
  <c r="H33" i="13" a="1"/>
  <c r="I33" i="13" a="1"/>
  <c r="J33" i="13" a="1"/>
  <c r="K33" i="13" a="1"/>
  <c r="L33" i="13" a="1"/>
  <c r="M33" i="13" a="1"/>
  <c r="N33" i="13" a="1"/>
  <c r="O33" i="13" a="1"/>
  <c r="P33" i="13" a="1"/>
  <c r="Q33" i="13" a="1"/>
  <c r="R33" i="13" a="1"/>
  <c r="S33" i="13" a="1"/>
  <c r="T33" i="13" a="1"/>
  <c r="U33" i="13" a="1"/>
  <c r="V33" i="13" a="1"/>
  <c r="W33" i="13" a="1"/>
  <c r="X33" i="13" a="1"/>
  <c r="Y33" i="13" a="1"/>
  <c r="Z33" i="13" a="1"/>
  <c r="AA33" i="13" a="1"/>
  <c r="AB33" i="13" a="1"/>
  <c r="AC33" i="13" a="1"/>
  <c r="AD33" i="13" a="1"/>
  <c r="AE33" i="13" a="1"/>
  <c r="D34" i="13" a="1"/>
  <c r="E34" i="13" a="1"/>
  <c r="F34" i="13" a="1"/>
  <c r="G34" i="13" a="1"/>
  <c r="H34" i="13" a="1"/>
  <c r="I34" i="13" a="1"/>
  <c r="J34" i="13" a="1"/>
  <c r="K34" i="13" a="1"/>
  <c r="L34" i="13" a="1"/>
  <c r="M34" i="13" a="1"/>
  <c r="N34" i="13" a="1"/>
  <c r="O34" i="13" a="1"/>
  <c r="P34" i="13" a="1"/>
  <c r="Q34" i="13" a="1"/>
  <c r="R34" i="13" a="1"/>
  <c r="S34" i="13" a="1"/>
  <c r="T34" i="13" a="1"/>
  <c r="U34" i="13" a="1"/>
  <c r="V34" i="13" a="1"/>
  <c r="W34" i="13" a="1"/>
  <c r="X34" i="13" a="1"/>
  <c r="Y34" i="13" a="1"/>
  <c r="Z34" i="13" a="1"/>
  <c r="AA34" i="13" a="1"/>
  <c r="AB34" i="13" a="1"/>
  <c r="AC34" i="13" a="1"/>
  <c r="AD34" i="13" a="1"/>
  <c r="AE34" i="13" a="1"/>
  <c r="D35" i="13" a="1"/>
  <c r="E35" i="13" a="1"/>
  <c r="F35" i="13" a="1"/>
  <c r="G35" i="13" a="1"/>
  <c r="H35" i="13" a="1"/>
  <c r="I35" i="13" a="1"/>
  <c r="J35" i="13" a="1"/>
  <c r="K35" i="13" a="1"/>
  <c r="L35" i="13" a="1"/>
  <c r="M35" i="13" a="1"/>
  <c r="N35" i="13" a="1"/>
  <c r="O35" i="13" a="1"/>
  <c r="P35" i="13" a="1"/>
  <c r="Q35" i="13" a="1"/>
  <c r="R35" i="13" a="1"/>
  <c r="S35" i="13" a="1"/>
  <c r="T35" i="13" a="1"/>
  <c r="U35" i="13" a="1"/>
  <c r="V35" i="13" a="1"/>
  <c r="W35" i="13" a="1"/>
  <c r="X35" i="13" a="1"/>
  <c r="Y35" i="13" a="1"/>
  <c r="Z35" i="13" a="1"/>
  <c r="AA35" i="13" a="1"/>
  <c r="AB35" i="13" a="1"/>
  <c r="AC35" i="13" a="1"/>
  <c r="AD35" i="13" a="1"/>
  <c r="AE35" i="13" a="1"/>
  <c r="D36" i="13" a="1"/>
  <c r="E36" i="13" a="1"/>
  <c r="F36" i="13" a="1"/>
  <c r="G36" i="13" a="1"/>
  <c r="H36" i="13" a="1"/>
  <c r="I36" i="13" a="1"/>
  <c r="J36" i="13" a="1"/>
  <c r="K36" i="13" a="1"/>
  <c r="L36" i="13" a="1"/>
  <c r="M36" i="13" a="1"/>
  <c r="N36" i="13" a="1"/>
  <c r="O36" i="13" a="1"/>
  <c r="P36" i="13" a="1"/>
  <c r="Q36" i="13" a="1"/>
  <c r="R36" i="13" a="1"/>
  <c r="S36" i="13" a="1"/>
  <c r="T36" i="13" a="1"/>
  <c r="U36" i="13" a="1"/>
  <c r="V36" i="13" a="1"/>
  <c r="W36" i="13" a="1"/>
  <c r="X36" i="13" a="1"/>
  <c r="Y36" i="13" a="1"/>
  <c r="Z36" i="13" a="1"/>
  <c r="AA36" i="13" a="1"/>
  <c r="AB36" i="13" a="1"/>
  <c r="AC36" i="13" a="1"/>
  <c r="AD36" i="13" a="1"/>
  <c r="AE36" i="13" a="1"/>
  <c r="D37" i="13" a="1"/>
  <c r="E37" i="13" a="1"/>
  <c r="F37" i="13" a="1"/>
  <c r="G37" i="13" a="1"/>
  <c r="H37" i="13" a="1"/>
  <c r="I37" i="13" a="1"/>
  <c r="J37" i="13" a="1"/>
  <c r="K37" i="13" a="1"/>
  <c r="L37" i="13" a="1"/>
  <c r="M37" i="13" a="1"/>
  <c r="N37" i="13" a="1"/>
  <c r="O37" i="13" a="1"/>
  <c r="P37" i="13" a="1"/>
  <c r="Q37" i="13" a="1"/>
  <c r="R37" i="13" a="1"/>
  <c r="S37" i="13" a="1"/>
  <c r="T37" i="13" a="1"/>
  <c r="U37" i="13" a="1"/>
  <c r="V37" i="13" a="1"/>
  <c r="W37" i="13" a="1"/>
  <c r="X37" i="13" a="1"/>
  <c r="Y37" i="13" a="1"/>
  <c r="Z37" i="13" a="1"/>
  <c r="AA37" i="13" a="1"/>
  <c r="AB37" i="13" a="1"/>
  <c r="AC37" i="13" a="1"/>
  <c r="AD37" i="13" a="1"/>
  <c r="AE37" i="13" a="1"/>
  <c r="D38" i="13" a="1"/>
  <c r="E38" i="13" a="1"/>
  <c r="F38" i="13" a="1"/>
  <c r="G38" i="13" a="1"/>
  <c r="H38" i="13" a="1"/>
  <c r="I38" i="13" a="1"/>
  <c r="J38" i="13" a="1"/>
  <c r="K38" i="13" a="1"/>
  <c r="L38" i="13" a="1"/>
  <c r="M38" i="13" a="1"/>
  <c r="N38" i="13" a="1"/>
  <c r="O38" i="13" a="1"/>
  <c r="P38" i="13" a="1"/>
  <c r="Q38" i="13" a="1"/>
  <c r="R38" i="13" a="1"/>
  <c r="S38" i="13" a="1"/>
  <c r="T38" i="13" a="1"/>
  <c r="U38" i="13" a="1"/>
  <c r="V38" i="13" a="1"/>
  <c r="W38" i="13" a="1"/>
  <c r="X38" i="13" a="1"/>
  <c r="Y38" i="13" a="1"/>
  <c r="Z38" i="13" a="1"/>
  <c r="AA38" i="13" a="1"/>
  <c r="AB38" i="13" a="1"/>
  <c r="AC38" i="13" a="1"/>
  <c r="AD38" i="13" a="1"/>
  <c r="AE38" i="13" a="1"/>
  <c r="D39" i="13" a="1"/>
  <c r="E39" i="13" a="1"/>
  <c r="F39" i="13" a="1"/>
  <c r="G39" i="13" a="1"/>
  <c r="H39" i="13" a="1"/>
  <c r="I39" i="13" a="1"/>
  <c r="J39" i="13" a="1"/>
  <c r="K39" i="13" a="1"/>
  <c r="L39" i="13" a="1"/>
  <c r="M39" i="13" a="1"/>
  <c r="N39" i="13" a="1"/>
  <c r="O39" i="13" a="1"/>
  <c r="P39" i="13" a="1"/>
  <c r="Q39" i="13" a="1"/>
  <c r="R39" i="13" a="1"/>
  <c r="S39" i="13" a="1"/>
  <c r="T39" i="13" a="1"/>
  <c r="U39" i="13" a="1"/>
  <c r="V39" i="13" a="1"/>
  <c r="W39" i="13" a="1"/>
  <c r="X39" i="13" a="1"/>
  <c r="Y39" i="13" a="1"/>
  <c r="Z39" i="13" a="1"/>
  <c r="AA39" i="13" a="1"/>
  <c r="AB39" i="13" a="1"/>
  <c r="AC39" i="13" a="1"/>
  <c r="AD39" i="13" a="1"/>
  <c r="AE39" i="13" a="1"/>
  <c r="D40" i="13" a="1"/>
  <c r="E40" i="13" a="1"/>
  <c r="F40" i="13" a="1"/>
  <c r="G40" i="13" a="1"/>
  <c r="H40" i="13" a="1"/>
  <c r="I40" i="13" a="1"/>
  <c r="J40" i="13" a="1"/>
  <c r="K40" i="13" a="1"/>
  <c r="L40" i="13" a="1"/>
  <c r="M40" i="13" a="1"/>
  <c r="N40" i="13" a="1"/>
  <c r="O40" i="13" a="1"/>
  <c r="P40" i="13" a="1"/>
  <c r="Q40" i="13" a="1"/>
  <c r="R40" i="13" a="1"/>
  <c r="S40" i="13" a="1"/>
  <c r="T40" i="13" a="1"/>
  <c r="U40" i="13" a="1"/>
  <c r="V40" i="13" a="1"/>
  <c r="W40" i="13" a="1"/>
  <c r="X40" i="13" a="1"/>
  <c r="Y40" i="13" a="1"/>
  <c r="Z40" i="13" a="1"/>
  <c r="AA40" i="13" a="1"/>
  <c r="AB40" i="13" a="1"/>
  <c r="AC40" i="13" a="1"/>
  <c r="AD40" i="13" a="1"/>
  <c r="AE40" i="13" a="1"/>
  <c r="D41" i="13" a="1"/>
  <c r="E41" i="13" a="1"/>
  <c r="F41" i="13" a="1"/>
  <c r="G41" i="13" a="1"/>
  <c r="H41" i="13" a="1"/>
  <c r="I41" i="13" a="1"/>
  <c r="J41" i="13" a="1"/>
  <c r="K41" i="13" a="1"/>
  <c r="L41" i="13" a="1"/>
  <c r="M41" i="13" a="1"/>
  <c r="N41" i="13" a="1"/>
  <c r="O41" i="13" a="1"/>
  <c r="P41" i="13" a="1"/>
  <c r="Q41" i="13" a="1"/>
  <c r="R41" i="13" a="1"/>
  <c r="S41" i="13" a="1"/>
  <c r="T41" i="13" a="1"/>
  <c r="U41" i="13" a="1"/>
  <c r="V41" i="13" a="1"/>
  <c r="W41" i="13" a="1"/>
  <c r="X41" i="13" a="1"/>
  <c r="Y41" i="13" a="1"/>
  <c r="Z41" i="13" a="1"/>
  <c r="AA41" i="13" a="1"/>
  <c r="AB41" i="13" a="1"/>
  <c r="AC41" i="13" a="1"/>
  <c r="AD41" i="13" a="1"/>
  <c r="AE41" i="13" a="1"/>
  <c r="D42" i="13" a="1"/>
  <c r="E42" i="13" a="1"/>
  <c r="F42" i="13" a="1"/>
  <c r="G42" i="13" a="1"/>
  <c r="H42" i="13" a="1"/>
  <c r="I42" i="13" a="1"/>
  <c r="J42" i="13" a="1"/>
  <c r="K42" i="13" a="1"/>
  <c r="L42" i="13" a="1"/>
  <c r="M42" i="13" a="1"/>
  <c r="N42" i="13" a="1"/>
  <c r="O42" i="13" a="1"/>
  <c r="P42" i="13" a="1"/>
  <c r="Q42" i="13" a="1"/>
  <c r="R42" i="13" a="1"/>
  <c r="S42" i="13" a="1"/>
  <c r="T42" i="13" a="1"/>
  <c r="U42" i="13" a="1"/>
  <c r="V42" i="13" a="1"/>
  <c r="W42" i="13" a="1"/>
  <c r="X42" i="13" a="1"/>
  <c r="Y42" i="13" a="1"/>
  <c r="Z42" i="13" a="1"/>
  <c r="AA42" i="13" a="1"/>
  <c r="AB42" i="13" a="1"/>
  <c r="AC42" i="13" a="1"/>
  <c r="AD42" i="13" a="1"/>
  <c r="AE42" i="13" a="1"/>
  <c r="D43" i="13" a="1"/>
  <c r="E43" i="13" a="1"/>
  <c r="F43" i="13" a="1"/>
  <c r="G43" i="13" a="1"/>
  <c r="H43" i="13" a="1"/>
  <c r="I43" i="13" a="1"/>
  <c r="J43" i="13" a="1"/>
  <c r="K43" i="13" a="1"/>
  <c r="L43" i="13" a="1"/>
  <c r="M43" i="13" a="1"/>
  <c r="N43" i="13" a="1"/>
  <c r="O43" i="13" a="1"/>
  <c r="P43" i="13" a="1"/>
  <c r="Q43" i="13" a="1"/>
  <c r="R43" i="13" a="1"/>
  <c r="S43" i="13" a="1"/>
  <c r="T43" i="13" a="1"/>
  <c r="U43" i="13" a="1"/>
  <c r="V43" i="13" a="1"/>
  <c r="W43" i="13" a="1"/>
  <c r="X43" i="13" a="1"/>
  <c r="Y43" i="13" a="1"/>
  <c r="Z43" i="13" a="1"/>
  <c r="AA43" i="13" a="1"/>
  <c r="AB43" i="13" a="1"/>
  <c r="AC43" i="13" a="1"/>
  <c r="AD43" i="13" a="1"/>
  <c r="AE43" i="13" a="1"/>
  <c r="C3" i="13" a="1"/>
  <c r="C4" i="13" a="1"/>
  <c r="C5" i="13" a="1"/>
  <c r="C6" i="13" a="1"/>
  <c r="C7" i="13" a="1"/>
  <c r="C8" i="13" a="1"/>
  <c r="C9" i="13" a="1"/>
  <c r="C10" i="13" a="1"/>
  <c r="C11" i="13" a="1"/>
  <c r="C12" i="13" a="1"/>
  <c r="C13" i="13" a="1"/>
  <c r="C14" i="13" a="1"/>
  <c r="C15" i="13" a="1"/>
  <c r="C16" i="13" a="1"/>
  <c r="C17" i="13" a="1"/>
  <c r="C18" i="13" a="1"/>
  <c r="C19" i="13" a="1"/>
  <c r="C20" i="13" a="1"/>
  <c r="C21" i="13" a="1"/>
  <c r="C22" i="13" a="1"/>
  <c r="C23" i="13" a="1"/>
  <c r="C24" i="13" a="1"/>
  <c r="C25" i="13" a="1"/>
  <c r="C26" i="13" a="1"/>
  <c r="C27" i="13" a="1"/>
  <c r="C28" i="13" a="1"/>
  <c r="C29" i="13" a="1"/>
  <c r="C30" i="13" a="1"/>
  <c r="C31" i="13" a="1"/>
  <c r="C32" i="13" a="1"/>
  <c r="C33" i="13" a="1"/>
  <c r="C34" i="13" a="1"/>
  <c r="C35" i="13" a="1"/>
  <c r="C36" i="13" a="1"/>
  <c r="C37" i="13" a="1"/>
  <c r="C38" i="13" a="1"/>
  <c r="C39" i="13" a="1"/>
  <c r="C40" i="13" a="1"/>
  <c r="C41" i="13" a="1"/>
  <c r="C42" i="13" a="1"/>
  <c r="C43" i="13" a="1"/>
  <c r="C2" i="13" a="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B9" i="15" l="1" a="1"/>
  <c r="C9" i="15"/>
  <c r="A2" i="13"/>
  <c r="A3" i="13"/>
  <c r="A2" i="14" a="1"/>
  <c r="B1" i="14" a="1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2" i="8" a="1"/>
  <c r="B1" i="8" a="1"/>
  <c r="B1" i="7" a="1"/>
  <c r="A2" i="5" a="1"/>
  <c r="B1" i="5" a="1"/>
  <c r="A2" i="7" a="1"/>
  <c r="A2" i="6" a="1"/>
  <c r="B1" i="6" a="1"/>
  <c r="O3" i="6" l="1"/>
  <c r="O3" i="7" s="1"/>
  <c r="O3" i="8" s="1"/>
  <c r="C4" i="6"/>
  <c r="C4" i="7" s="1"/>
  <c r="C4" i="8" s="1"/>
  <c r="G5" i="6"/>
  <c r="G5" i="7" s="1"/>
  <c r="G5" i="8" s="1"/>
  <c r="C6" i="6"/>
  <c r="C6" i="7" s="1"/>
  <c r="C6" i="8" s="1"/>
  <c r="G6" i="6"/>
  <c r="G6" i="7" s="1"/>
  <c r="G6" i="8" s="1"/>
  <c r="K6" i="6"/>
  <c r="K6" i="7" s="1"/>
  <c r="K6" i="8" s="1"/>
  <c r="O6" i="6"/>
  <c r="O6" i="7" s="1"/>
  <c r="O6" i="8" s="1"/>
  <c r="C7" i="6"/>
  <c r="C7" i="7" s="1"/>
  <c r="C7" i="8" s="1"/>
  <c r="G7" i="6"/>
  <c r="G7" i="7" s="1"/>
  <c r="G7" i="8" s="1"/>
  <c r="K7" i="6"/>
  <c r="K7" i="7" s="1"/>
  <c r="K7" i="8" s="1"/>
  <c r="O7" i="6"/>
  <c r="O7" i="7" s="1"/>
  <c r="O7" i="8" s="1"/>
  <c r="C8" i="6"/>
  <c r="C8" i="7" s="1"/>
  <c r="C8" i="8" s="1"/>
  <c r="O8" i="6"/>
  <c r="O8" i="7" s="1"/>
  <c r="O8" i="8" s="1"/>
  <c r="C9" i="6"/>
  <c r="C9" i="7" s="1"/>
  <c r="C9" i="8" s="1"/>
  <c r="G9" i="6"/>
  <c r="G9" i="7" s="1"/>
  <c r="G9" i="8" s="1"/>
  <c r="G10" i="6"/>
  <c r="G10" i="7" s="1"/>
  <c r="G10" i="8" s="1"/>
  <c r="K10" i="6"/>
  <c r="K10" i="7" s="1"/>
  <c r="K10" i="8" s="1"/>
  <c r="C11" i="6"/>
  <c r="C11" i="7" s="1"/>
  <c r="C11" i="8" s="1"/>
  <c r="K11" i="6"/>
  <c r="K11" i="7" s="1"/>
  <c r="K11" i="8" s="1"/>
  <c r="O11" i="6"/>
  <c r="O11" i="7" s="1"/>
  <c r="O11" i="8" s="1"/>
  <c r="C12" i="6"/>
  <c r="C12" i="7" s="1"/>
  <c r="C12" i="8" s="1"/>
  <c r="O12" i="6"/>
  <c r="O12" i="7" s="1"/>
  <c r="O12" i="8" s="1"/>
  <c r="C13" i="6"/>
  <c r="C13" i="7" s="1"/>
  <c r="C13" i="8" s="1"/>
  <c r="G13" i="6"/>
  <c r="G13" i="7" s="1"/>
  <c r="G13" i="8" s="1"/>
  <c r="O13" i="6"/>
  <c r="O13" i="7" s="1"/>
  <c r="O13" i="8" s="1"/>
  <c r="D3" i="6"/>
  <c r="D3" i="7" s="1"/>
  <c r="D3" i="8" s="1"/>
  <c r="H3" i="6"/>
  <c r="H3" i="7" s="1"/>
  <c r="H3" i="8" s="1"/>
  <c r="L3" i="6"/>
  <c r="L3" i="7" s="1"/>
  <c r="L3" i="8" s="1"/>
  <c r="P3" i="6"/>
  <c r="P3" i="7" s="1"/>
  <c r="P3" i="8" s="1"/>
  <c r="D4" i="6"/>
  <c r="D4" i="7" s="1"/>
  <c r="D4" i="8" s="1"/>
  <c r="H4" i="6"/>
  <c r="H4" i="7" s="1"/>
  <c r="H4" i="8" s="1"/>
  <c r="L4" i="6"/>
  <c r="L4" i="7" s="1"/>
  <c r="L4" i="8" s="1"/>
  <c r="L5" i="6"/>
  <c r="L5" i="7" s="1"/>
  <c r="L5" i="8" s="1"/>
  <c r="P5" i="6"/>
  <c r="P5" i="7" s="1"/>
  <c r="P5" i="8" s="1"/>
  <c r="D6" i="6"/>
  <c r="D6" i="7" s="1"/>
  <c r="D6" i="8" s="1"/>
  <c r="L6" i="6"/>
  <c r="L6" i="7" s="1"/>
  <c r="L6" i="8" s="1"/>
  <c r="P6" i="6"/>
  <c r="P6" i="7" s="1"/>
  <c r="P6" i="8" s="1"/>
  <c r="D7" i="6"/>
  <c r="D7" i="7" s="1"/>
  <c r="D7" i="8" s="1"/>
  <c r="H7" i="6"/>
  <c r="H7" i="7" s="1"/>
  <c r="H7" i="8" s="1"/>
  <c r="L7" i="6"/>
  <c r="L7" i="7" s="1"/>
  <c r="L7" i="8" s="1"/>
  <c r="P7" i="6"/>
  <c r="P7" i="7" s="1"/>
  <c r="P7" i="8" s="1"/>
  <c r="H8" i="6"/>
  <c r="H8" i="7" s="1"/>
  <c r="H8" i="8" s="1"/>
  <c r="L8" i="6"/>
  <c r="L8" i="7" s="1"/>
  <c r="L8" i="8" s="1"/>
  <c r="P8" i="6"/>
  <c r="P8" i="7" s="1"/>
  <c r="P8" i="8" s="1"/>
  <c r="D9" i="6"/>
  <c r="D9" i="7" s="1"/>
  <c r="D9" i="8" s="1"/>
  <c r="H9" i="6"/>
  <c r="H9" i="7" s="1"/>
  <c r="H9" i="8" s="1"/>
  <c r="L9" i="6"/>
  <c r="L9" i="7" s="1"/>
  <c r="L9" i="8" s="1"/>
  <c r="P9" i="6"/>
  <c r="P9" i="7" s="1"/>
  <c r="P9" i="8" s="1"/>
  <c r="D10" i="6"/>
  <c r="D10" i="7" s="1"/>
  <c r="D10" i="8" s="1"/>
  <c r="H10" i="6"/>
  <c r="H10" i="7" s="1"/>
  <c r="H10" i="8" s="1"/>
  <c r="L10" i="6"/>
  <c r="L10" i="7" s="1"/>
  <c r="L10" i="8" s="1"/>
  <c r="P10" i="6"/>
  <c r="P10" i="7" s="1"/>
  <c r="P10" i="8" s="1"/>
  <c r="D11" i="6"/>
  <c r="D11" i="7" s="1"/>
  <c r="D11" i="8" s="1"/>
  <c r="H11" i="6"/>
  <c r="H11" i="7" s="1"/>
  <c r="H11" i="8" s="1"/>
  <c r="L11" i="6"/>
  <c r="L11" i="7" s="1"/>
  <c r="L11" i="8" s="1"/>
  <c r="D12" i="6"/>
  <c r="D12" i="7" s="1"/>
  <c r="D12" i="8" s="1"/>
  <c r="H12" i="6"/>
  <c r="H12" i="7" s="1"/>
  <c r="H12" i="8" s="1"/>
  <c r="E3" i="6"/>
  <c r="E3" i="7" s="1"/>
  <c r="E3" i="8" s="1"/>
  <c r="I3" i="6"/>
  <c r="I3" i="7" s="1"/>
  <c r="I3" i="8" s="1"/>
  <c r="Q3" i="6"/>
  <c r="Q3" i="7" s="1"/>
  <c r="Q3" i="8" s="1"/>
  <c r="E4" i="6"/>
  <c r="E4" i="7" s="1"/>
  <c r="E4" i="8" s="1"/>
  <c r="I4" i="6"/>
  <c r="I4" i="7" s="1"/>
  <c r="I4" i="8" s="1"/>
  <c r="E5" i="6"/>
  <c r="E5" i="7" s="1"/>
  <c r="E5" i="8" s="1"/>
  <c r="I5" i="6"/>
  <c r="I5" i="7" s="1"/>
  <c r="I5" i="8" s="1"/>
  <c r="M5" i="6"/>
  <c r="M5" i="7" s="1"/>
  <c r="M5" i="8" s="1"/>
  <c r="Q5" i="6"/>
  <c r="Q5" i="7" s="1"/>
  <c r="Q5" i="8" s="1"/>
  <c r="I6" i="6"/>
  <c r="I6" i="7" s="1"/>
  <c r="I6" i="8" s="1"/>
  <c r="M6" i="6"/>
  <c r="M6" i="7" s="1"/>
  <c r="M6" i="8" s="1"/>
  <c r="Q6" i="6"/>
  <c r="Q6" i="7" s="1"/>
  <c r="Q6" i="8" s="1"/>
  <c r="E7" i="6"/>
  <c r="E7" i="7" s="1"/>
  <c r="E7" i="8" s="1"/>
  <c r="M7" i="6"/>
  <c r="M7" i="7" s="1"/>
  <c r="M7" i="8" s="1"/>
  <c r="Q7" i="6"/>
  <c r="Q7" i="7" s="1"/>
  <c r="Q7" i="8" s="1"/>
  <c r="E8" i="6"/>
  <c r="E8" i="7" s="1"/>
  <c r="E8" i="8" s="1"/>
  <c r="I8" i="6"/>
  <c r="I8" i="7" s="1"/>
  <c r="I8" i="8" s="1"/>
  <c r="Q8" i="6"/>
  <c r="Q8" i="7" s="1"/>
  <c r="Q8" i="8" s="1"/>
  <c r="I9" i="6"/>
  <c r="I9" i="7" s="1"/>
  <c r="I9" i="8" s="1"/>
  <c r="M9" i="6"/>
  <c r="M9" i="7" s="1"/>
  <c r="M9" i="8" s="1"/>
  <c r="I10" i="6"/>
  <c r="I10" i="7" s="1"/>
  <c r="I10" i="8" s="1"/>
  <c r="M10" i="6"/>
  <c r="M10" i="7" s="1"/>
  <c r="M10" i="8" s="1"/>
  <c r="Q10" i="6"/>
  <c r="Q10" i="7" s="1"/>
  <c r="Q10" i="8" s="1"/>
  <c r="E11" i="6"/>
  <c r="E11" i="7" s="1"/>
  <c r="E11" i="8" s="1"/>
  <c r="M11" i="6"/>
  <c r="M11" i="7" s="1"/>
  <c r="M11" i="8" s="1"/>
  <c r="Q11" i="6"/>
  <c r="Q11" i="7" s="1"/>
  <c r="Q11" i="8" s="1"/>
  <c r="E12" i="6"/>
  <c r="E12" i="7" s="1"/>
  <c r="E12" i="8" s="1"/>
  <c r="I12" i="6"/>
  <c r="I12" i="7" s="1"/>
  <c r="I12" i="8" s="1"/>
  <c r="M12" i="6"/>
  <c r="M12" i="7" s="1"/>
  <c r="M12" i="8" s="1"/>
  <c r="Q12" i="6"/>
  <c r="Q12" i="7" s="1"/>
  <c r="Q12" i="8" s="1"/>
  <c r="E13" i="6"/>
  <c r="E13" i="7" s="1"/>
  <c r="E13" i="8" s="1"/>
  <c r="I13" i="6"/>
  <c r="I13" i="7" s="1"/>
  <c r="I13" i="8" s="1"/>
  <c r="M13" i="6"/>
  <c r="M13" i="7" s="1"/>
  <c r="M13" i="8" s="1"/>
  <c r="Q13" i="6"/>
  <c r="Q13" i="7" s="1"/>
  <c r="Q13" i="8" s="1"/>
  <c r="F3" i="6"/>
  <c r="F3" i="7" s="1"/>
  <c r="F3" i="8" s="1"/>
  <c r="N3" i="6"/>
  <c r="N3" i="7" s="1"/>
  <c r="N3" i="8" s="1"/>
  <c r="R3" i="6"/>
  <c r="R3" i="7" s="1"/>
  <c r="R3" i="8" s="1"/>
  <c r="F4" i="6"/>
  <c r="F4" i="7" s="1"/>
  <c r="F4" i="8" s="1"/>
  <c r="J4" i="6"/>
  <c r="J4" i="7" s="1"/>
  <c r="J4" i="8" s="1"/>
  <c r="R4" i="6"/>
  <c r="R4" i="7" s="1"/>
  <c r="R4" i="8" s="1"/>
  <c r="F5" i="6"/>
  <c r="F5" i="7" s="1"/>
  <c r="F5" i="8" s="1"/>
  <c r="J5" i="6"/>
  <c r="J5" i="7" s="1"/>
  <c r="J5" i="8" s="1"/>
  <c r="N5" i="6"/>
  <c r="N5" i="7" s="1"/>
  <c r="N5" i="8" s="1"/>
  <c r="F6" i="6"/>
  <c r="F6" i="7" s="1"/>
  <c r="F6" i="8" s="1"/>
  <c r="J6" i="6"/>
  <c r="J6" i="7" s="1"/>
  <c r="J6" i="8" s="1"/>
  <c r="N6" i="6"/>
  <c r="N6" i="7" s="1"/>
  <c r="N6" i="8" s="1"/>
  <c r="R6" i="6"/>
  <c r="R6" i="7" s="1"/>
  <c r="R6" i="8" s="1"/>
  <c r="F7" i="6"/>
  <c r="F7" i="7" s="1"/>
  <c r="F7" i="8" s="1"/>
  <c r="J7" i="6"/>
  <c r="J7" i="7" s="1"/>
  <c r="J7" i="8" s="1"/>
  <c r="N7" i="6"/>
  <c r="N7" i="7" s="1"/>
  <c r="N7" i="8" s="1"/>
  <c r="R7" i="6"/>
  <c r="R7" i="7" s="1"/>
  <c r="R7" i="8" s="1"/>
  <c r="F8" i="6"/>
  <c r="F8" i="7" s="1"/>
  <c r="F8" i="8" s="1"/>
  <c r="J8" i="6"/>
  <c r="J8" i="7" s="1"/>
  <c r="J8" i="8" s="1"/>
  <c r="N8" i="6"/>
  <c r="N8" i="7" s="1"/>
  <c r="N8" i="8" s="1"/>
  <c r="R8" i="6"/>
  <c r="R8" i="7" s="1"/>
  <c r="R8" i="8" s="1"/>
  <c r="F9" i="6"/>
  <c r="F9" i="7" s="1"/>
  <c r="F9" i="8" s="1"/>
  <c r="J9" i="6"/>
  <c r="J9" i="7" s="1"/>
  <c r="J9" i="8" s="1"/>
  <c r="N9" i="6"/>
  <c r="N9" i="7" s="1"/>
  <c r="N9" i="8" s="1"/>
  <c r="N10" i="6"/>
  <c r="N10" i="7" s="1"/>
  <c r="N10" i="8" s="1"/>
  <c r="R10" i="6"/>
  <c r="R10" i="7" s="1"/>
  <c r="R10" i="8" s="1"/>
  <c r="F11" i="6"/>
  <c r="F11" i="7" s="1"/>
  <c r="F11" i="8" s="1"/>
  <c r="N11" i="6"/>
  <c r="N11" i="7" s="1"/>
  <c r="N11" i="8" s="1"/>
  <c r="R11" i="6"/>
  <c r="R11" i="7" s="1"/>
  <c r="R11" i="8" s="1"/>
  <c r="F12" i="6"/>
  <c r="F12" i="7" s="1"/>
  <c r="F12" i="8" s="1"/>
  <c r="J12" i="6"/>
  <c r="J12" i="7" s="1"/>
  <c r="J12" i="8" s="1"/>
  <c r="N12" i="6"/>
  <c r="N12" i="7" s="1"/>
  <c r="N12" i="8" s="1"/>
  <c r="R12" i="6"/>
  <c r="R12" i="7" s="1"/>
  <c r="R12" i="8" s="1"/>
  <c r="F13" i="6"/>
  <c r="F13" i="7" s="1"/>
  <c r="F13" i="8" s="1"/>
  <c r="J13" i="6"/>
  <c r="J13" i="7" s="1"/>
  <c r="J13" i="8" s="1"/>
  <c r="N13" i="6"/>
  <c r="N13" i="7" s="1"/>
  <c r="N13" i="8" s="1"/>
  <c r="R13" i="6"/>
  <c r="R13" i="7" s="1"/>
  <c r="R13" i="8" s="1"/>
  <c r="F14" i="6"/>
  <c r="F14" i="7" s="1"/>
  <c r="F14" i="8" s="1"/>
  <c r="L12" i="6"/>
  <c r="L12" i="7" s="1"/>
  <c r="L12" i="8" s="1"/>
  <c r="P13" i="6"/>
  <c r="P13" i="7" s="1"/>
  <c r="P13" i="8" s="1"/>
  <c r="H14" i="6"/>
  <c r="H14" i="7" s="1"/>
  <c r="H14" i="8" s="1"/>
  <c r="L14" i="6"/>
  <c r="L14" i="7" s="1"/>
  <c r="L14" i="8" s="1"/>
  <c r="P14" i="6"/>
  <c r="P14" i="7" s="1"/>
  <c r="P14" i="8" s="1"/>
  <c r="D15" i="6"/>
  <c r="D15" i="7" s="1"/>
  <c r="D15" i="8" s="1"/>
  <c r="H15" i="6"/>
  <c r="H15" i="7" s="1"/>
  <c r="H15" i="8" s="1"/>
  <c r="L15" i="6"/>
  <c r="L15" i="7" s="1"/>
  <c r="L15" i="8" s="1"/>
  <c r="P15" i="6"/>
  <c r="P15" i="7" s="1"/>
  <c r="P15" i="8" s="1"/>
  <c r="D16" i="6"/>
  <c r="D16" i="7" s="1"/>
  <c r="D16" i="8" s="1"/>
  <c r="H16" i="6"/>
  <c r="H16" i="7" s="1"/>
  <c r="H16" i="8" s="1"/>
  <c r="L16" i="6"/>
  <c r="L16" i="7" s="1"/>
  <c r="L16" i="8" s="1"/>
  <c r="P16" i="6"/>
  <c r="P16" i="7" s="1"/>
  <c r="P16" i="8" s="1"/>
  <c r="D17" i="6"/>
  <c r="D17" i="7" s="1"/>
  <c r="D17" i="8" s="1"/>
  <c r="H17" i="6"/>
  <c r="H17" i="7" s="1"/>
  <c r="H17" i="8" s="1"/>
  <c r="L17" i="6"/>
  <c r="L17" i="7" s="1"/>
  <c r="L17" i="8" s="1"/>
  <c r="P17" i="6"/>
  <c r="P17" i="7" s="1"/>
  <c r="P17" i="8" s="1"/>
  <c r="H18" i="6"/>
  <c r="H18" i="7" s="1"/>
  <c r="H18" i="8" s="1"/>
  <c r="L18" i="6"/>
  <c r="L18" i="7" s="1"/>
  <c r="L18" i="8" s="1"/>
  <c r="P18" i="6"/>
  <c r="P18" i="7" s="1"/>
  <c r="P18" i="8" s="1"/>
  <c r="P12" i="6"/>
  <c r="P12" i="7" s="1"/>
  <c r="P12" i="8" s="1"/>
  <c r="D13" i="6"/>
  <c r="D13" i="7" s="1"/>
  <c r="D13" i="8" s="1"/>
  <c r="I14" i="6"/>
  <c r="I14" i="7" s="1"/>
  <c r="I14" i="8" s="1"/>
  <c r="M14" i="6"/>
  <c r="M14" i="7" s="1"/>
  <c r="M14" i="8" s="1"/>
  <c r="Q14" i="6"/>
  <c r="Q14" i="7" s="1"/>
  <c r="Q14" i="8" s="1"/>
  <c r="E15" i="6"/>
  <c r="E15" i="7" s="1"/>
  <c r="E15" i="8" s="1"/>
  <c r="Q15" i="6"/>
  <c r="Q15" i="7" s="1"/>
  <c r="Q15" i="8" s="1"/>
  <c r="E16" i="6"/>
  <c r="E16" i="7" s="1"/>
  <c r="E16" i="8" s="1"/>
  <c r="I16" i="6"/>
  <c r="I16" i="7" s="1"/>
  <c r="I16" i="8" s="1"/>
  <c r="Q16" i="6"/>
  <c r="Q16" i="7" s="1"/>
  <c r="Q16" i="8" s="1"/>
  <c r="I17" i="6"/>
  <c r="I17" i="7" s="1"/>
  <c r="I17" i="8" s="1"/>
  <c r="M17" i="6"/>
  <c r="M17" i="7" s="1"/>
  <c r="M17" i="8" s="1"/>
  <c r="I18" i="6"/>
  <c r="I18" i="7" s="1"/>
  <c r="I18" i="8" s="1"/>
  <c r="M18" i="6"/>
  <c r="M18" i="7" s="1"/>
  <c r="M18" i="8" s="1"/>
  <c r="Q18" i="6"/>
  <c r="Q18" i="7" s="1"/>
  <c r="Q18" i="8" s="1"/>
  <c r="H13" i="6"/>
  <c r="H13" i="7" s="1"/>
  <c r="H13" i="8" s="1"/>
  <c r="E14" i="6"/>
  <c r="E14" i="7" s="1"/>
  <c r="E14" i="8" s="1"/>
  <c r="J14" i="6"/>
  <c r="J14" i="7" s="1"/>
  <c r="J14" i="8" s="1"/>
  <c r="N14" i="6"/>
  <c r="N14" i="7" s="1"/>
  <c r="N14" i="8" s="1"/>
  <c r="J15" i="6"/>
  <c r="J15" i="7" s="1"/>
  <c r="J15" i="8" s="1"/>
  <c r="N15" i="6"/>
  <c r="N15" i="7" s="1"/>
  <c r="N15" i="8" s="1"/>
  <c r="R15" i="6"/>
  <c r="R15" i="7" s="1"/>
  <c r="R15" i="8" s="1"/>
  <c r="F16" i="6"/>
  <c r="F16" i="7" s="1"/>
  <c r="F16" i="8" s="1"/>
  <c r="J16" i="6"/>
  <c r="J16" i="7" s="1"/>
  <c r="J16" i="8" s="1"/>
  <c r="N16" i="6"/>
  <c r="N16" i="7" s="1"/>
  <c r="N16" i="8" s="1"/>
  <c r="R16" i="6"/>
  <c r="R16" i="7" s="1"/>
  <c r="R16" i="8" s="1"/>
  <c r="F17" i="6"/>
  <c r="F17" i="7" s="1"/>
  <c r="F17" i="8" s="1"/>
  <c r="J17" i="6"/>
  <c r="J17" i="7" s="1"/>
  <c r="J17" i="8" s="1"/>
  <c r="N17" i="6"/>
  <c r="N17" i="7" s="1"/>
  <c r="N17" i="8" s="1"/>
  <c r="R17" i="6"/>
  <c r="R17" i="7" s="1"/>
  <c r="R17" i="8" s="1"/>
  <c r="F18" i="6"/>
  <c r="F18" i="7" s="1"/>
  <c r="F18" i="8" s="1"/>
  <c r="J18" i="6"/>
  <c r="J18" i="7" s="1"/>
  <c r="J18" i="8" s="1"/>
  <c r="N18" i="6"/>
  <c r="N18" i="7" s="1"/>
  <c r="N18" i="8" s="1"/>
  <c r="L13" i="6"/>
  <c r="L13" i="7" s="1"/>
  <c r="L13" i="8" s="1"/>
  <c r="K14" i="6"/>
  <c r="K14" i="7" s="1"/>
  <c r="K14" i="8" s="1"/>
  <c r="O14" i="6"/>
  <c r="O14" i="7" s="1"/>
  <c r="O14" i="8" s="1"/>
  <c r="C15" i="6"/>
  <c r="C15" i="7" s="1"/>
  <c r="C15" i="8" s="1"/>
  <c r="G15" i="6"/>
  <c r="G15" i="7" s="1"/>
  <c r="G15" i="8" s="1"/>
  <c r="K15" i="6"/>
  <c r="K15" i="7" s="1"/>
  <c r="K15" i="8" s="1"/>
  <c r="O15" i="6"/>
  <c r="O15" i="7" s="1"/>
  <c r="O15" i="8" s="1"/>
  <c r="C16" i="6"/>
  <c r="C16" i="7" s="1"/>
  <c r="C16" i="8" s="1"/>
  <c r="G16" i="6"/>
  <c r="G16" i="7" s="1"/>
  <c r="G16" i="8" s="1"/>
  <c r="K16" i="6"/>
  <c r="K16" i="7" s="1"/>
  <c r="K16" i="8" s="1"/>
  <c r="G17" i="6"/>
  <c r="G17" i="7" s="1"/>
  <c r="G17" i="8" s="1"/>
  <c r="K17" i="6"/>
  <c r="K17" i="7" s="1"/>
  <c r="K17" i="8" s="1"/>
  <c r="O17" i="6"/>
  <c r="O17" i="7" s="1"/>
  <c r="O17" i="8" s="1"/>
  <c r="C18" i="6"/>
  <c r="C18" i="7" s="1"/>
  <c r="C18" i="8" s="1"/>
  <c r="K18" i="6"/>
  <c r="K18" i="7" s="1"/>
  <c r="K18" i="8" s="1"/>
  <c r="O18" i="6"/>
  <c r="O18" i="7" s="1"/>
  <c r="O18" i="8" s="1"/>
  <c r="W5" i="6"/>
  <c r="W5" i="7" s="1"/>
  <c r="W5" i="8" s="1"/>
  <c r="W4" i="6"/>
  <c r="W4" i="7" s="1"/>
  <c r="W4" i="8" s="1"/>
  <c r="W3" i="6"/>
  <c r="W3" i="7" s="1"/>
  <c r="W3" i="8" s="1"/>
  <c r="AA3" i="6"/>
  <c r="AA3" i="7" s="1"/>
  <c r="AA3" i="8" s="1"/>
  <c r="E29" i="6"/>
  <c r="E29" i="7" s="1"/>
  <c r="E29" i="8" s="1"/>
  <c r="Z3" i="6"/>
  <c r="Z3" i="7" s="1"/>
  <c r="Z3" i="8" s="1"/>
  <c r="AA4" i="6"/>
  <c r="AA4" i="7" s="1"/>
  <c r="AA4" i="8" s="1"/>
  <c r="Z12" i="6"/>
  <c r="Z12" i="7" s="1"/>
  <c r="Z12" i="8" s="1"/>
  <c r="AD13" i="6"/>
  <c r="AD13" i="7" s="1"/>
  <c r="AD13" i="8" s="1"/>
  <c r="AC18" i="6"/>
  <c r="AC18" i="7" s="1"/>
  <c r="AC18" i="8" s="1"/>
  <c r="U19" i="6"/>
  <c r="U19" i="7" s="1"/>
  <c r="U19" i="8" s="1"/>
  <c r="O20" i="6"/>
  <c r="O20" i="7" s="1"/>
  <c r="O20" i="8" s="1"/>
  <c r="C25" i="6"/>
  <c r="C25" i="7" s="1"/>
  <c r="C25" i="8" s="1"/>
  <c r="N26" i="6"/>
  <c r="N26" i="7" s="1"/>
  <c r="N26" i="8" s="1"/>
  <c r="W18" i="6"/>
  <c r="W18" i="7" s="1"/>
  <c r="W18" i="8" s="1"/>
  <c r="N20" i="6"/>
  <c r="N20" i="7" s="1"/>
  <c r="N20" i="8" s="1"/>
  <c r="W24" i="6"/>
  <c r="W24" i="7" s="1"/>
  <c r="W24" i="8" s="1"/>
  <c r="Z29" i="6"/>
  <c r="Z29" i="7" s="1"/>
  <c r="Z29" i="8" s="1"/>
  <c r="D20" i="6"/>
  <c r="D20" i="7" s="1"/>
  <c r="D20" i="8" s="1"/>
  <c r="W21" i="6"/>
  <c r="W21" i="7" s="1"/>
  <c r="W21" i="8" s="1"/>
  <c r="W17" i="6"/>
  <c r="W17" i="7" s="1"/>
  <c r="W17" i="8" s="1"/>
  <c r="AA20" i="6"/>
  <c r="AA20" i="7" s="1"/>
  <c r="AA20" i="8" s="1"/>
  <c r="O23" i="6"/>
  <c r="O23" i="7" s="1"/>
  <c r="O23" i="8" s="1"/>
  <c r="AA21" i="6"/>
  <c r="AA21" i="7" s="1"/>
  <c r="AA21" i="8" s="1"/>
  <c r="W23" i="6"/>
  <c r="W23" i="7" s="1"/>
  <c r="W23" i="8" s="1"/>
  <c r="K25" i="6"/>
  <c r="K25" i="7" s="1"/>
  <c r="K25" i="8" s="1"/>
  <c r="X18" i="6"/>
  <c r="X18" i="7" s="1"/>
  <c r="X18" i="8" s="1"/>
  <c r="AA19" i="6"/>
  <c r="AA19" i="7" s="1"/>
  <c r="AA19" i="8" s="1"/>
  <c r="T20" i="6"/>
  <c r="T20" i="7" s="1"/>
  <c r="T20" i="8" s="1"/>
  <c r="T24" i="6"/>
  <c r="T24" i="7" s="1"/>
  <c r="T24" i="8" s="1"/>
  <c r="AA5" i="6"/>
  <c r="AA5" i="7" s="1"/>
  <c r="AA5" i="8" s="1"/>
  <c r="AB6" i="6"/>
  <c r="AB6" i="7" s="1"/>
  <c r="AB6" i="8" s="1"/>
  <c r="AA18" i="6"/>
  <c r="AA18" i="7" s="1"/>
  <c r="AA18" i="8" s="1"/>
  <c r="G20" i="6"/>
  <c r="G20" i="7" s="1"/>
  <c r="G20" i="8" s="1"/>
  <c r="C22" i="6"/>
  <c r="C22" i="7" s="1"/>
  <c r="C22" i="8" s="1"/>
  <c r="S24" i="6"/>
  <c r="S24" i="7" s="1"/>
  <c r="S24" i="8" s="1"/>
  <c r="Z26" i="6"/>
  <c r="Z26" i="7" s="1"/>
  <c r="Z26" i="8" s="1"/>
  <c r="J28" i="6"/>
  <c r="J28" i="7" s="1"/>
  <c r="J28" i="8" s="1"/>
  <c r="W12" i="6"/>
  <c r="W12" i="7" s="1"/>
  <c r="W12" i="8" s="1"/>
  <c r="AB16" i="6"/>
  <c r="AB16" i="7" s="1"/>
  <c r="AB16" i="8" s="1"/>
  <c r="T17" i="6"/>
  <c r="T17" i="7" s="1"/>
  <c r="T17" i="8" s="1"/>
  <c r="S20" i="6"/>
  <c r="S20" i="7" s="1"/>
  <c r="S20" i="8" s="1"/>
  <c r="C23" i="6"/>
  <c r="C23" i="7" s="1"/>
  <c r="C23" i="8" s="1"/>
  <c r="AC10" i="6"/>
  <c r="AC10" i="7" s="1"/>
  <c r="AC10" i="8" s="1"/>
  <c r="T19" i="6"/>
  <c r="T19" i="7" s="1"/>
  <c r="T19" i="8" s="1"/>
  <c r="W20" i="6"/>
  <c r="W20" i="7" s="1"/>
  <c r="W20" i="8" s="1"/>
  <c r="R20" i="6"/>
  <c r="R20" i="7" s="1"/>
  <c r="R20" i="8" s="1"/>
  <c r="AA23" i="6"/>
  <c r="AA23" i="7" s="1"/>
  <c r="AA23" i="8" s="1"/>
  <c r="R25" i="6"/>
  <c r="R25" i="7" s="1"/>
  <c r="R25" i="8" s="1"/>
  <c r="C20" i="6"/>
  <c r="C20" i="7" s="1"/>
  <c r="C20" i="8" s="1"/>
  <c r="K21" i="6"/>
  <c r="K21" i="7" s="1"/>
  <c r="K21" i="8" s="1"/>
  <c r="G21" i="6"/>
  <c r="G21" i="7" s="1"/>
  <c r="G21" i="8" s="1"/>
  <c r="C24" i="6"/>
  <c r="C24" i="7" s="1"/>
  <c r="C24" i="8" s="1"/>
  <c r="Z6" i="6" l="1"/>
  <c r="Z6" i="7" s="1"/>
  <c r="Z6" i="8" s="1"/>
  <c r="U3" i="6"/>
  <c r="U3" i="7" s="1"/>
  <c r="U3" i="8" s="1"/>
  <c r="T4" i="6"/>
  <c r="T4" i="7" s="1"/>
  <c r="T4" i="8" s="1"/>
  <c r="V4" i="6"/>
  <c r="V4" i="7" s="1"/>
  <c r="V4" i="8" s="1"/>
  <c r="V5" i="6"/>
  <c r="V5" i="7" s="1"/>
  <c r="V5" i="8" s="1"/>
  <c r="Z5" i="6"/>
  <c r="Z5" i="7" s="1"/>
  <c r="Z5" i="8" s="1"/>
  <c r="X4" i="6"/>
  <c r="X4" i="7" s="1"/>
  <c r="X4" i="8" s="1"/>
  <c r="Y3" i="6"/>
  <c r="Y3" i="7" s="1"/>
  <c r="Y3" i="8" s="1"/>
  <c r="AB5" i="6"/>
  <c r="AB5" i="7" s="1"/>
  <c r="AB5" i="8" s="1"/>
  <c r="U6" i="6"/>
  <c r="U6" i="7" s="1"/>
  <c r="U6" i="8" s="1"/>
  <c r="T3" i="6"/>
  <c r="T3" i="7" s="1"/>
  <c r="T3" i="8" s="1"/>
  <c r="Y4" i="6"/>
  <c r="Y4" i="7" s="1"/>
  <c r="Y4" i="8" s="1"/>
  <c r="AD3" i="6"/>
  <c r="AD3" i="7" s="1"/>
  <c r="AD3" i="8" s="1"/>
  <c r="AC4" i="6"/>
  <c r="AC4" i="7" s="1"/>
  <c r="AC4" i="8" s="1"/>
  <c r="U5" i="6"/>
  <c r="U5" i="7" s="1"/>
  <c r="U5" i="8" s="1"/>
  <c r="X3" i="6"/>
  <c r="X3" i="7" s="1"/>
  <c r="X3" i="8" s="1"/>
  <c r="AB4" i="6"/>
  <c r="AB4" i="7" s="1"/>
  <c r="AB4" i="8" s="1"/>
  <c r="AC3" i="6"/>
  <c r="AC3" i="7" s="1"/>
  <c r="AC3" i="8" s="1"/>
  <c r="R28" i="6"/>
  <c r="R28" i="7" s="1"/>
  <c r="R28" i="8" s="1"/>
  <c r="X5" i="6"/>
  <c r="X5" i="7" s="1"/>
  <c r="X5" i="8" s="1"/>
  <c r="AD6" i="6"/>
  <c r="AD6" i="7" s="1"/>
  <c r="AD6" i="8" s="1"/>
  <c r="Z8" i="6"/>
  <c r="Z8" i="7" s="1"/>
  <c r="Z8" i="8" s="1"/>
  <c r="T11" i="6"/>
  <c r="T11" i="7" s="1"/>
  <c r="T11" i="8" s="1"/>
  <c r="J20" i="6"/>
  <c r="J20" i="7" s="1"/>
  <c r="J20" i="8" s="1"/>
  <c r="D21" i="6"/>
  <c r="D21" i="7" s="1"/>
  <c r="D21" i="8" s="1"/>
  <c r="N21" i="6"/>
  <c r="N21" i="7" s="1"/>
  <c r="N21" i="8" s="1"/>
  <c r="W16" i="6"/>
  <c r="W16" i="7" s="1"/>
  <c r="W16" i="8" s="1"/>
  <c r="X19" i="6"/>
  <c r="X19" i="7" s="1"/>
  <c r="X19" i="8" s="1"/>
  <c r="AB21" i="6"/>
  <c r="AB21" i="7" s="1"/>
  <c r="AB21" i="8" s="1"/>
  <c r="U7" i="6"/>
  <c r="U7" i="7" s="1"/>
  <c r="U7" i="8" s="1"/>
  <c r="L21" i="6"/>
  <c r="L21" i="7" s="1"/>
  <c r="L21" i="8" s="1"/>
  <c r="Y5" i="6"/>
  <c r="Y5" i="7" s="1"/>
  <c r="Y5" i="8" s="1"/>
  <c r="AC5" i="6"/>
  <c r="AC5" i="7" s="1"/>
  <c r="AC5" i="8" s="1"/>
  <c r="AA16" i="6"/>
  <c r="AA16" i="7" s="1"/>
  <c r="AA16" i="8" s="1"/>
  <c r="AD24" i="6"/>
  <c r="AD24" i="7" s="1"/>
  <c r="AD24" i="8" s="1"/>
  <c r="J30" i="6"/>
  <c r="J30" i="7" s="1"/>
  <c r="J30" i="8" s="1"/>
  <c r="AC6" i="6"/>
  <c r="AC6" i="7" s="1"/>
  <c r="AC6" i="8" s="1"/>
  <c r="L19" i="6"/>
  <c r="L19" i="7" s="1"/>
  <c r="L19" i="8" s="1"/>
  <c r="X20" i="6"/>
  <c r="X20" i="7" s="1"/>
  <c r="X20" i="8" s="1"/>
  <c r="H22" i="6"/>
  <c r="H22" i="7" s="1"/>
  <c r="H22" i="8" s="1"/>
  <c r="L25" i="6"/>
  <c r="L25" i="7" s="1"/>
  <c r="L25" i="8" s="1"/>
  <c r="U14" i="6"/>
  <c r="U14" i="7" s="1"/>
  <c r="U14" i="8" s="1"/>
  <c r="K28" i="6"/>
  <c r="K28" i="7" s="1"/>
  <c r="K28" i="8" s="1"/>
  <c r="R30" i="6"/>
  <c r="R30" i="7" s="1"/>
  <c r="R30" i="8" s="1"/>
  <c r="Y6" i="6"/>
  <c r="Y6" i="7" s="1"/>
  <c r="Y6" i="8" s="1"/>
  <c r="H19" i="6"/>
  <c r="H19" i="7" s="1"/>
  <c r="H19" i="8" s="1"/>
  <c r="AC7" i="6"/>
  <c r="AC7" i="7" s="1"/>
  <c r="AC7" i="8" s="1"/>
  <c r="Y8" i="6"/>
  <c r="Y8" i="7" s="1"/>
  <c r="Y8" i="8" s="1"/>
  <c r="G22" i="6"/>
  <c r="G22" i="7" s="1"/>
  <c r="G22" i="8" s="1"/>
  <c r="U22" i="6"/>
  <c r="U22" i="7" s="1"/>
  <c r="U22" i="8" s="1"/>
  <c r="K23" i="6"/>
  <c r="K23" i="7" s="1"/>
  <c r="K23" i="8" s="1"/>
  <c r="AB23" i="6"/>
  <c r="AB23" i="7" s="1"/>
  <c r="AB23" i="8" s="1"/>
  <c r="AB25" i="6"/>
  <c r="AB25" i="7" s="1"/>
  <c r="AB25" i="8" s="1"/>
  <c r="T26" i="6"/>
  <c r="T26" i="7" s="1"/>
  <c r="T26" i="8" s="1"/>
  <c r="J27" i="6"/>
  <c r="J27" i="7" s="1"/>
  <c r="J27" i="8" s="1"/>
  <c r="AA27" i="6"/>
  <c r="AA27" i="7" s="1"/>
  <c r="AA27" i="8" s="1"/>
  <c r="L28" i="6"/>
  <c r="L28" i="7" s="1"/>
  <c r="L28" i="8" s="1"/>
  <c r="G29" i="6"/>
  <c r="G29" i="7" s="1"/>
  <c r="G29" i="8" s="1"/>
  <c r="AB29" i="6"/>
  <c r="AB29" i="7" s="1"/>
  <c r="AB29" i="8" s="1"/>
  <c r="AC30" i="6"/>
  <c r="AC30" i="7" s="1"/>
  <c r="AC30" i="8" s="1"/>
  <c r="T30" i="6"/>
  <c r="T30" i="7" s="1"/>
  <c r="T30" i="8" s="1"/>
  <c r="W8" i="6"/>
  <c r="W8" i="7" s="1"/>
  <c r="W8" i="8" s="1"/>
  <c r="AB14" i="6"/>
  <c r="AB14" i="7" s="1"/>
  <c r="AB14" i="8" s="1"/>
  <c r="AB19" i="6"/>
  <c r="AB19" i="7" s="1"/>
  <c r="AB19" i="8" s="1"/>
  <c r="P21" i="6"/>
  <c r="P21" i="7" s="1"/>
  <c r="P21" i="8" s="1"/>
  <c r="X22" i="6"/>
  <c r="X22" i="7" s="1"/>
  <c r="X22" i="8" s="1"/>
  <c r="P24" i="6"/>
  <c r="P24" i="7" s="1"/>
  <c r="P24" i="8" s="1"/>
  <c r="D26" i="6"/>
  <c r="D26" i="7" s="1"/>
  <c r="D26" i="8" s="1"/>
  <c r="W27" i="6"/>
  <c r="W27" i="7" s="1"/>
  <c r="W27" i="8" s="1"/>
  <c r="AD28" i="6"/>
  <c r="AD28" i="7" s="1"/>
  <c r="AD28" i="8" s="1"/>
  <c r="I30" i="6"/>
  <c r="I30" i="7" s="1"/>
  <c r="I30" i="8" s="1"/>
  <c r="Z7" i="6"/>
  <c r="Z7" i="7" s="1"/>
  <c r="Z7" i="8" s="1"/>
  <c r="V9" i="6"/>
  <c r="V9" i="7" s="1"/>
  <c r="V9" i="8" s="1"/>
  <c r="Y10" i="6"/>
  <c r="Y10" i="7" s="1"/>
  <c r="Y10" i="8" s="1"/>
  <c r="Y16" i="6"/>
  <c r="Y16" i="7" s="1"/>
  <c r="Y16" i="8" s="1"/>
  <c r="W19" i="6"/>
  <c r="W19" i="7" s="1"/>
  <c r="W19" i="8" s="1"/>
  <c r="AB20" i="6"/>
  <c r="AB20" i="7" s="1"/>
  <c r="AB20" i="8" s="1"/>
  <c r="S22" i="6"/>
  <c r="S22" i="7" s="1"/>
  <c r="S22" i="8" s="1"/>
  <c r="Z23" i="6"/>
  <c r="Z23" i="7" s="1"/>
  <c r="Z23" i="8" s="1"/>
  <c r="O25" i="6"/>
  <c r="O25" i="7" s="1"/>
  <c r="O25" i="8" s="1"/>
  <c r="W26" i="6"/>
  <c r="W26" i="7" s="1"/>
  <c r="W26" i="8" s="1"/>
  <c r="AB28" i="6"/>
  <c r="AB28" i="7" s="1"/>
  <c r="AB28" i="8" s="1"/>
  <c r="AC29" i="6"/>
  <c r="AC29" i="7" s="1"/>
  <c r="AC29" i="8" s="1"/>
  <c r="U10" i="6"/>
  <c r="U10" i="7" s="1"/>
  <c r="U10" i="8" s="1"/>
  <c r="V15" i="6"/>
  <c r="V15" i="7" s="1"/>
  <c r="V15" i="8" s="1"/>
  <c r="AC16" i="6"/>
  <c r="AC16" i="7" s="1"/>
  <c r="AC16" i="8" s="1"/>
  <c r="Y18" i="6"/>
  <c r="Y18" i="7" s="1"/>
  <c r="Y18" i="8" s="1"/>
  <c r="H20" i="6"/>
  <c r="H20" i="7" s="1"/>
  <c r="H20" i="8" s="1"/>
  <c r="I21" i="6"/>
  <c r="I21" i="7" s="1"/>
  <c r="I21" i="8" s="1"/>
  <c r="L22" i="6"/>
  <c r="L22" i="7" s="1"/>
  <c r="L22" i="8" s="1"/>
  <c r="S25" i="6"/>
  <c r="S25" i="7" s="1"/>
  <c r="S25" i="8" s="1"/>
  <c r="D27" i="6"/>
  <c r="D27" i="7" s="1"/>
  <c r="D27" i="8" s="1"/>
  <c r="W10" i="6"/>
  <c r="W10" i="7" s="1"/>
  <c r="W10" i="8" s="1"/>
  <c r="AC11" i="6"/>
  <c r="AC11" i="7" s="1"/>
  <c r="AC11" i="8" s="1"/>
  <c r="V13" i="6"/>
  <c r="V13" i="7" s="1"/>
  <c r="V13" i="8" s="1"/>
  <c r="AD14" i="6"/>
  <c r="AD14" i="7" s="1"/>
  <c r="AD14" i="8" s="1"/>
  <c r="I20" i="6"/>
  <c r="I20" i="7" s="1"/>
  <c r="I20" i="8" s="1"/>
  <c r="O21" i="6"/>
  <c r="O21" i="7" s="1"/>
  <c r="O21" i="8" s="1"/>
  <c r="AA22" i="6"/>
  <c r="AA22" i="7" s="1"/>
  <c r="AA22" i="8" s="1"/>
  <c r="AA24" i="6"/>
  <c r="AA24" i="7" s="1"/>
  <c r="AA24" i="8" s="1"/>
  <c r="AD25" i="6"/>
  <c r="AD25" i="7" s="1"/>
  <c r="AD25" i="8" s="1"/>
  <c r="X27" i="6"/>
  <c r="X27" i="7" s="1"/>
  <c r="X27" i="8" s="1"/>
  <c r="I29" i="6"/>
  <c r="I29" i="7" s="1"/>
  <c r="I29" i="8" s="1"/>
  <c r="D30" i="6"/>
  <c r="D30" i="7" s="1"/>
  <c r="D30" i="8" s="1"/>
  <c r="AB9" i="6"/>
  <c r="AB9" i="7" s="1"/>
  <c r="AB9" i="8" s="1"/>
  <c r="S14" i="6"/>
  <c r="S14" i="7" s="1"/>
  <c r="S14" i="8" s="1"/>
  <c r="V17" i="6"/>
  <c r="V17" i="7" s="1"/>
  <c r="V17" i="8" s="1"/>
  <c r="AB18" i="6"/>
  <c r="AB18" i="7" s="1"/>
  <c r="AB18" i="8" s="1"/>
  <c r="AC20" i="6"/>
  <c r="AC20" i="7" s="1"/>
  <c r="AC20" i="8" s="1"/>
  <c r="O22" i="6"/>
  <c r="O22" i="7" s="1"/>
  <c r="O22" i="8" s="1"/>
  <c r="H24" i="6"/>
  <c r="H24" i="7" s="1"/>
  <c r="H24" i="8" s="1"/>
  <c r="Q25" i="6"/>
  <c r="Q25" i="7" s="1"/>
  <c r="Q25" i="8" s="1"/>
  <c r="AD26" i="6"/>
  <c r="AD26" i="7" s="1"/>
  <c r="AD26" i="8" s="1"/>
  <c r="AC21" i="6"/>
  <c r="AC21" i="7" s="1"/>
  <c r="AC21" i="8" s="1"/>
  <c r="U4" i="6"/>
  <c r="U4" i="7" s="1"/>
  <c r="U4" i="8" s="1"/>
  <c r="X21" i="6"/>
  <c r="X21" i="7" s="1"/>
  <c r="X21" i="8" s="1"/>
  <c r="Q22" i="6"/>
  <c r="Q22" i="7" s="1"/>
  <c r="Q22" i="8" s="1"/>
  <c r="AC26" i="6"/>
  <c r="AC26" i="7" s="1"/>
  <c r="AC26" i="8" s="1"/>
  <c r="F28" i="6"/>
  <c r="F28" i="7" s="1"/>
  <c r="F28" i="8" s="1"/>
  <c r="C29" i="6"/>
  <c r="C29" i="7" s="1"/>
  <c r="C29" i="8" s="1"/>
  <c r="W29" i="6"/>
  <c r="W29" i="7" s="1"/>
  <c r="W29" i="8" s="1"/>
  <c r="S30" i="6"/>
  <c r="S30" i="7" s="1"/>
  <c r="S30" i="8" s="1"/>
  <c r="C30" i="6"/>
  <c r="C30" i="7" s="1"/>
  <c r="C30" i="8" s="1"/>
  <c r="L30" i="6"/>
  <c r="L30" i="7" s="1"/>
  <c r="L30" i="8" s="1"/>
  <c r="AD30" i="6"/>
  <c r="AD30" i="7" s="1"/>
  <c r="AD30" i="8" s="1"/>
  <c r="AB3" i="6"/>
  <c r="AB3" i="7" s="1"/>
  <c r="AB3" i="8" s="1"/>
  <c r="Z9" i="6"/>
  <c r="Z9" i="7" s="1"/>
  <c r="Z9" i="8" s="1"/>
  <c r="U12" i="6"/>
  <c r="U12" i="7" s="1"/>
  <c r="U12" i="8" s="1"/>
  <c r="U16" i="6"/>
  <c r="U16" i="7" s="1"/>
  <c r="U16" i="8" s="1"/>
  <c r="F20" i="6"/>
  <c r="F20" i="7" s="1"/>
  <c r="F20" i="8" s="1"/>
  <c r="H21" i="6"/>
  <c r="H21" i="7" s="1"/>
  <c r="H21" i="8" s="1"/>
  <c r="N22" i="6"/>
  <c r="N22" i="7" s="1"/>
  <c r="N22" i="8" s="1"/>
  <c r="J23" i="6"/>
  <c r="J23" i="7" s="1"/>
  <c r="J23" i="8" s="1"/>
  <c r="U24" i="6"/>
  <c r="U24" i="7" s="1"/>
  <c r="U24" i="8" s="1"/>
  <c r="J26" i="6"/>
  <c r="J26" i="7" s="1"/>
  <c r="J26" i="8" s="1"/>
  <c r="AC27" i="6"/>
  <c r="AC27" i="7" s="1"/>
  <c r="AC27" i="8" s="1"/>
  <c r="H29" i="6"/>
  <c r="H29" i="7" s="1"/>
  <c r="H29" i="8" s="1"/>
  <c r="AA12" i="6"/>
  <c r="AA12" i="7" s="1"/>
  <c r="AA12" i="8" s="1"/>
  <c r="AD17" i="6"/>
  <c r="AD17" i="7" s="1"/>
  <c r="AD17" i="8" s="1"/>
  <c r="F21" i="6"/>
  <c r="F21" i="7" s="1"/>
  <c r="F21" i="8" s="1"/>
  <c r="M22" i="6"/>
  <c r="M22" i="7" s="1"/>
  <c r="M22" i="8" s="1"/>
  <c r="T23" i="6"/>
  <c r="T23" i="7" s="1"/>
  <c r="T23" i="8" s="1"/>
  <c r="AC25" i="6"/>
  <c r="AC25" i="7" s="1"/>
  <c r="AC25" i="8" s="1"/>
  <c r="N27" i="6"/>
  <c r="N27" i="7" s="1"/>
  <c r="N27" i="8" s="1"/>
  <c r="Q28" i="6"/>
  <c r="Q28" i="7" s="1"/>
  <c r="Q28" i="8" s="1"/>
  <c r="Y29" i="6"/>
  <c r="Y29" i="7" s="1"/>
  <c r="Y29" i="8" s="1"/>
  <c r="U11" i="6"/>
  <c r="U11" i="7" s="1"/>
  <c r="U11" i="8" s="1"/>
  <c r="Y13" i="6"/>
  <c r="Y13" i="7" s="1"/>
  <c r="Y13" i="8" s="1"/>
  <c r="AB15" i="6"/>
  <c r="AB15" i="7" s="1"/>
  <c r="AB15" i="8" s="1"/>
  <c r="U20" i="6"/>
  <c r="U20" i="7" s="1"/>
  <c r="U20" i="8" s="1"/>
  <c r="Y22" i="6"/>
  <c r="Y22" i="7" s="1"/>
  <c r="Y22" i="8" s="1"/>
  <c r="AB27" i="6"/>
  <c r="AB27" i="7" s="1"/>
  <c r="AB27" i="8" s="1"/>
  <c r="U21" i="6"/>
  <c r="U21" i="7" s="1"/>
  <c r="U21" i="8" s="1"/>
  <c r="I23" i="6"/>
  <c r="I23" i="7" s="1"/>
  <c r="I23" i="8" s="1"/>
  <c r="P26" i="6"/>
  <c r="P26" i="7" s="1"/>
  <c r="P26" i="8" s="1"/>
  <c r="C28" i="6"/>
  <c r="C28" i="7" s="1"/>
  <c r="C28" i="8" s="1"/>
  <c r="D29" i="6"/>
  <c r="D29" i="7" s="1"/>
  <c r="D29" i="8" s="1"/>
  <c r="AD12" i="6"/>
  <c r="AD12" i="7" s="1"/>
  <c r="AD12" i="8" s="1"/>
  <c r="X14" i="6"/>
  <c r="X14" i="7" s="1"/>
  <c r="X14" i="8" s="1"/>
  <c r="U18" i="6"/>
  <c r="U18" i="7" s="1"/>
  <c r="U18" i="8" s="1"/>
  <c r="M25" i="6"/>
  <c r="M25" i="7" s="1"/>
  <c r="M25" i="8" s="1"/>
  <c r="E26" i="6"/>
  <c r="E26" i="7" s="1"/>
  <c r="E26" i="8" s="1"/>
  <c r="O26" i="6"/>
  <c r="O26" i="7" s="1"/>
  <c r="O26" i="8" s="1"/>
  <c r="E27" i="6"/>
  <c r="E27" i="7" s="1"/>
  <c r="E27" i="8" s="1"/>
  <c r="U27" i="6"/>
  <c r="U27" i="7" s="1"/>
  <c r="U27" i="8" s="1"/>
  <c r="Q29" i="6"/>
  <c r="Q29" i="7" s="1"/>
  <c r="Q29" i="8" s="1"/>
  <c r="T29" i="6"/>
  <c r="T29" i="7" s="1"/>
  <c r="T29" i="8" s="1"/>
  <c r="Z4" i="6"/>
  <c r="Z4" i="7" s="1"/>
  <c r="Z4" i="8" s="1"/>
  <c r="U23" i="6"/>
  <c r="U23" i="7" s="1"/>
  <c r="U23" i="8" s="1"/>
  <c r="AB26" i="6"/>
  <c r="AB26" i="7" s="1"/>
  <c r="AB26" i="8" s="1"/>
  <c r="T28" i="6"/>
  <c r="T28" i="7" s="1"/>
  <c r="T28" i="8" s="1"/>
  <c r="X29" i="6"/>
  <c r="X29" i="7" s="1"/>
  <c r="X29" i="8" s="1"/>
  <c r="AA30" i="6"/>
  <c r="AA30" i="7" s="1"/>
  <c r="AA30" i="8" s="1"/>
  <c r="AD4" i="6"/>
  <c r="AD4" i="7" s="1"/>
  <c r="AD4" i="8" s="1"/>
  <c r="AD10" i="6"/>
  <c r="AD10" i="7" s="1"/>
  <c r="AD10" i="8" s="1"/>
  <c r="AC22" i="6"/>
  <c r="AC22" i="7" s="1"/>
  <c r="AC22" i="8" s="1"/>
  <c r="Z17" i="6"/>
  <c r="Z17" i="7" s="1"/>
  <c r="Z17" i="8" s="1"/>
  <c r="AB22" i="6"/>
  <c r="AB22" i="7" s="1"/>
  <c r="AB22" i="8" s="1"/>
  <c r="Q24" i="6"/>
  <c r="Q24" i="7" s="1"/>
  <c r="Q24" i="8" s="1"/>
  <c r="AA25" i="6"/>
  <c r="AA25" i="7" s="1"/>
  <c r="AA25" i="8" s="1"/>
  <c r="L27" i="6"/>
  <c r="L27" i="7" s="1"/>
  <c r="L27" i="8" s="1"/>
  <c r="Z28" i="6"/>
  <c r="Z28" i="7" s="1"/>
  <c r="Z28" i="8" s="1"/>
  <c r="N30" i="6"/>
  <c r="N30" i="7" s="1"/>
  <c r="N30" i="8" s="1"/>
  <c r="AA29" i="6"/>
  <c r="AA29" i="7" s="1"/>
  <c r="AA29" i="8" s="1"/>
  <c r="Y30" i="6"/>
  <c r="Y30" i="7" s="1"/>
  <c r="Y30" i="8" s="1"/>
  <c r="X6" i="6"/>
  <c r="X6" i="7" s="1"/>
  <c r="X6" i="8" s="1"/>
  <c r="Y7" i="6"/>
  <c r="Y7" i="7" s="1"/>
  <c r="Y7" i="8" s="1"/>
  <c r="T9" i="6"/>
  <c r="T9" i="7" s="1"/>
  <c r="T9" i="8" s="1"/>
  <c r="T10" i="6"/>
  <c r="T10" i="7" s="1"/>
  <c r="T10" i="8" s="1"/>
  <c r="AD11" i="6"/>
  <c r="AD11" i="7" s="1"/>
  <c r="AD11" i="8" s="1"/>
  <c r="AB13" i="6"/>
  <c r="AB13" i="7" s="1"/>
  <c r="AB13" i="8" s="1"/>
  <c r="D19" i="6"/>
  <c r="D19" i="7" s="1"/>
  <c r="D19" i="8" s="1"/>
  <c r="L20" i="6"/>
  <c r="L20" i="7" s="1"/>
  <c r="L20" i="8" s="1"/>
  <c r="V21" i="6"/>
  <c r="V21" i="7" s="1"/>
  <c r="V21" i="8" s="1"/>
  <c r="D23" i="6"/>
  <c r="D23" i="7" s="1"/>
  <c r="D23" i="8" s="1"/>
  <c r="G24" i="6"/>
  <c r="G24" i="7" s="1"/>
  <c r="G24" i="8" s="1"/>
  <c r="X25" i="6"/>
  <c r="X25" i="7" s="1"/>
  <c r="X25" i="8" s="1"/>
  <c r="O27" i="6"/>
  <c r="O27" i="7" s="1"/>
  <c r="O27" i="8" s="1"/>
  <c r="Y28" i="6"/>
  <c r="Y28" i="7" s="1"/>
  <c r="Y28" i="8" s="1"/>
  <c r="AD29" i="6"/>
  <c r="AD29" i="7" s="1"/>
  <c r="AD29" i="8" s="1"/>
  <c r="V8" i="6"/>
  <c r="V8" i="7" s="1"/>
  <c r="V8" i="8" s="1"/>
  <c r="AC9" i="6"/>
  <c r="AC9" i="7" s="1"/>
  <c r="AC9" i="8" s="1"/>
  <c r="AA14" i="6"/>
  <c r="AA14" i="7" s="1"/>
  <c r="AA14" i="8" s="1"/>
  <c r="Y17" i="6"/>
  <c r="Y17" i="7" s="1"/>
  <c r="Y17" i="8" s="1"/>
  <c r="V20" i="6"/>
  <c r="V20" i="7" s="1"/>
  <c r="V20" i="8" s="1"/>
  <c r="Y21" i="6"/>
  <c r="Y21" i="7" s="1"/>
  <c r="Y21" i="8" s="1"/>
  <c r="N23" i="6"/>
  <c r="N23" i="7" s="1"/>
  <c r="N23" i="8" s="1"/>
  <c r="Z24" i="6"/>
  <c r="Z24" i="7" s="1"/>
  <c r="Z24" i="8" s="1"/>
  <c r="L26" i="6"/>
  <c r="L26" i="7" s="1"/>
  <c r="L26" i="8" s="1"/>
  <c r="T27" i="6"/>
  <c r="T27" i="7" s="1"/>
  <c r="T27" i="8" s="1"/>
  <c r="V28" i="6"/>
  <c r="V28" i="7" s="1"/>
  <c r="V28" i="8" s="1"/>
  <c r="U29" i="6"/>
  <c r="U29" i="7" s="1"/>
  <c r="U29" i="8" s="1"/>
  <c r="W30" i="6"/>
  <c r="W30" i="7" s="1"/>
  <c r="W30" i="8" s="1"/>
  <c r="W7" i="6"/>
  <c r="W7" i="7" s="1"/>
  <c r="W7" i="8" s="1"/>
  <c r="U9" i="6"/>
  <c r="U9" i="7" s="1"/>
  <c r="U9" i="8" s="1"/>
  <c r="Z10" i="6"/>
  <c r="Z10" i="7" s="1"/>
  <c r="Z10" i="8" s="1"/>
  <c r="T14" i="6"/>
  <c r="T14" i="7" s="1"/>
  <c r="T14" i="8" s="1"/>
  <c r="T18" i="6"/>
  <c r="T18" i="7" s="1"/>
  <c r="T18" i="8" s="1"/>
  <c r="AC19" i="6"/>
  <c r="AC19" i="7" s="1"/>
  <c r="AC19" i="8" s="1"/>
  <c r="Y25" i="6"/>
  <c r="Y25" i="7" s="1"/>
  <c r="Y25" i="8" s="1"/>
  <c r="P27" i="6"/>
  <c r="P27" i="7" s="1"/>
  <c r="P27" i="8" s="1"/>
  <c r="AC15" i="6"/>
  <c r="AC15" i="7" s="1"/>
  <c r="AC15" i="8" s="1"/>
  <c r="N19" i="6"/>
  <c r="N19" i="7" s="1"/>
  <c r="N19" i="8" s="1"/>
  <c r="I22" i="6"/>
  <c r="I22" i="7" s="1"/>
  <c r="I22" i="8" s="1"/>
  <c r="D25" i="6"/>
  <c r="D25" i="7" s="1"/>
  <c r="D25" i="8" s="1"/>
  <c r="G26" i="6"/>
  <c r="G26" i="7" s="1"/>
  <c r="G26" i="8" s="1"/>
  <c r="M27" i="6"/>
  <c r="M27" i="7" s="1"/>
  <c r="M27" i="8" s="1"/>
  <c r="AA28" i="6"/>
  <c r="AA28" i="7" s="1"/>
  <c r="AA28" i="8" s="1"/>
  <c r="M30" i="6"/>
  <c r="M30" i="7" s="1"/>
  <c r="M30" i="8" s="1"/>
  <c r="S26" i="6"/>
  <c r="S26" i="7" s="1"/>
  <c r="S26" i="8" s="1"/>
  <c r="AD27" i="6"/>
  <c r="AD27" i="7" s="1"/>
  <c r="AD27" i="8" s="1"/>
  <c r="W28" i="6"/>
  <c r="W28" i="7" s="1"/>
  <c r="W28" i="8" s="1"/>
  <c r="J29" i="6"/>
  <c r="J29" i="7" s="1"/>
  <c r="J29" i="8" s="1"/>
  <c r="V6" i="6"/>
  <c r="V6" i="7" s="1"/>
  <c r="V6" i="8" s="1"/>
  <c r="X7" i="6"/>
  <c r="X7" i="7" s="1"/>
  <c r="X7" i="8" s="1"/>
  <c r="X10" i="6"/>
  <c r="X10" i="7" s="1"/>
  <c r="X10" i="8" s="1"/>
  <c r="T12" i="6"/>
  <c r="T12" i="7" s="1"/>
  <c r="T12" i="8" s="1"/>
  <c r="Z13" i="6"/>
  <c r="Z13" i="7" s="1"/>
  <c r="Z13" i="8" s="1"/>
  <c r="Y15" i="6"/>
  <c r="Y15" i="7" s="1"/>
  <c r="Y15" i="8" s="1"/>
  <c r="J21" i="6"/>
  <c r="J21" i="7" s="1"/>
  <c r="J21" i="8" s="1"/>
  <c r="AC12" i="6"/>
  <c r="AC12" i="7" s="1"/>
  <c r="AC12" i="8" s="1"/>
  <c r="Z22" i="6"/>
  <c r="Z22" i="7" s="1"/>
  <c r="Z22" i="8" s="1"/>
  <c r="Y23" i="6"/>
  <c r="Y23" i="7" s="1"/>
  <c r="Y23" i="8" s="1"/>
  <c r="J24" i="6"/>
  <c r="J24" i="7" s="1"/>
  <c r="J24" i="8" s="1"/>
  <c r="U28" i="6"/>
  <c r="U28" i="7" s="1"/>
  <c r="U28" i="8" s="1"/>
  <c r="P30" i="6"/>
  <c r="P30" i="7" s="1"/>
  <c r="P30" i="8" s="1"/>
  <c r="H26" i="6"/>
  <c r="H26" i="7" s="1"/>
  <c r="H26" i="8" s="1"/>
  <c r="I27" i="6"/>
  <c r="I27" i="7" s="1"/>
  <c r="I27" i="8" s="1"/>
  <c r="P29" i="6"/>
  <c r="P29" i="7" s="1"/>
  <c r="P29" i="8" s="1"/>
  <c r="X12" i="6"/>
  <c r="X12" i="7" s="1"/>
  <c r="X12" i="8" s="1"/>
  <c r="Z20" i="6"/>
  <c r="Z20" i="7" s="1"/>
  <c r="Z20" i="8" s="1"/>
  <c r="AD22" i="6"/>
  <c r="AD22" i="7" s="1"/>
  <c r="AD22" i="8" s="1"/>
  <c r="E21" i="6"/>
  <c r="E21" i="7" s="1"/>
  <c r="E21" i="8" s="1"/>
  <c r="P22" i="6"/>
  <c r="P22" i="7" s="1"/>
  <c r="P22" i="8" s="1"/>
  <c r="D24" i="6"/>
  <c r="D24" i="7" s="1"/>
  <c r="D24" i="8" s="1"/>
  <c r="P25" i="6"/>
  <c r="P25" i="7" s="1"/>
  <c r="P25" i="8" s="1"/>
  <c r="AA26" i="6"/>
  <c r="AA26" i="7" s="1"/>
  <c r="AA26" i="8" s="1"/>
  <c r="S28" i="6"/>
  <c r="S28" i="7" s="1"/>
  <c r="S28" i="8" s="1"/>
  <c r="V29" i="6"/>
  <c r="V29" i="7" s="1"/>
  <c r="V29" i="8" s="1"/>
  <c r="Z30" i="6"/>
  <c r="Z30" i="7" s="1"/>
  <c r="Z30" i="8" s="1"/>
  <c r="X9" i="6"/>
  <c r="X9" i="7" s="1"/>
  <c r="X9" i="8" s="1"/>
  <c r="AA11" i="6"/>
  <c r="AA11" i="7" s="1"/>
  <c r="AA11" i="8" s="1"/>
  <c r="T15" i="6"/>
  <c r="T15" i="7" s="1"/>
  <c r="T15" i="8" s="1"/>
  <c r="T16" i="6"/>
  <c r="T16" i="7" s="1"/>
  <c r="T16" i="8" s="1"/>
  <c r="AA17" i="6"/>
  <c r="AA17" i="7" s="1"/>
  <c r="AA17" i="8" s="1"/>
  <c r="K20" i="6"/>
  <c r="K20" i="7" s="1"/>
  <c r="K20" i="8" s="1"/>
  <c r="R21" i="6"/>
  <c r="R21" i="7" s="1"/>
  <c r="R21" i="8" s="1"/>
  <c r="L23" i="6"/>
  <c r="L23" i="7" s="1"/>
  <c r="L23" i="8" s="1"/>
  <c r="V24" i="6"/>
  <c r="V24" i="7" s="1"/>
  <c r="V24" i="8" s="1"/>
  <c r="F26" i="6"/>
  <c r="F26" i="7" s="1"/>
  <c r="F26" i="8" s="1"/>
  <c r="S27" i="6"/>
  <c r="S27" i="7" s="1"/>
  <c r="S27" i="8" s="1"/>
  <c r="AC28" i="6"/>
  <c r="AC28" i="7" s="1"/>
  <c r="AC28" i="8" s="1"/>
  <c r="O29" i="6"/>
  <c r="O29" i="7" s="1"/>
  <c r="O29" i="8" s="1"/>
  <c r="V3" i="6"/>
  <c r="V3" i="7" s="1"/>
  <c r="V3" i="8" s="1"/>
  <c r="AD5" i="6"/>
  <c r="AD5" i="7" s="1"/>
  <c r="AD5" i="8" s="1"/>
  <c r="AA6" i="6"/>
  <c r="AA6" i="7" s="1"/>
  <c r="AA6" i="8" s="1"/>
  <c r="AD7" i="6"/>
  <c r="AD7" i="7" s="1"/>
  <c r="AD7" i="8" s="1"/>
  <c r="W9" i="6"/>
  <c r="W9" i="7" s="1"/>
  <c r="W9" i="8" s="1"/>
  <c r="AB10" i="6"/>
  <c r="AB10" i="7" s="1"/>
  <c r="AB10" i="8" s="1"/>
  <c r="Y11" i="6"/>
  <c r="Y11" i="7" s="1"/>
  <c r="Y11" i="8" s="1"/>
  <c r="U13" i="6"/>
  <c r="U13" i="7" s="1"/>
  <c r="U13" i="8" s="1"/>
  <c r="Z14" i="6"/>
  <c r="Z14" i="7" s="1"/>
  <c r="Z14" i="8" s="1"/>
  <c r="AD15" i="6"/>
  <c r="AD15" i="7" s="1"/>
  <c r="AD15" i="8" s="1"/>
  <c r="V16" i="6"/>
  <c r="V16" i="7" s="1"/>
  <c r="V16" i="8" s="1"/>
  <c r="X17" i="6"/>
  <c r="X17" i="7" s="1"/>
  <c r="X17" i="8" s="1"/>
  <c r="P19" i="6"/>
  <c r="P19" i="7" s="1"/>
  <c r="P19" i="8" s="1"/>
  <c r="E20" i="6"/>
  <c r="E20" i="7" s="1"/>
  <c r="E20" i="8" s="1"/>
  <c r="Y20" i="6"/>
  <c r="Y20" i="7" s="1"/>
  <c r="Y20" i="8" s="1"/>
  <c r="S21" i="6"/>
  <c r="S21" i="7" s="1"/>
  <c r="S21" i="8" s="1"/>
  <c r="K22" i="6"/>
  <c r="K22" i="7" s="1"/>
  <c r="K22" i="8" s="1"/>
  <c r="F23" i="6"/>
  <c r="F23" i="7" s="1"/>
  <c r="F23" i="8" s="1"/>
  <c r="S23" i="6"/>
  <c r="S23" i="7" s="1"/>
  <c r="S23" i="8" s="1"/>
  <c r="E24" i="6"/>
  <c r="E24" i="7" s="1"/>
  <c r="E24" i="8" s="1"/>
  <c r="N24" i="6"/>
  <c r="N24" i="7" s="1"/>
  <c r="N24" i="8" s="1"/>
  <c r="Y24" i="6"/>
  <c r="Y24" i="7" s="1"/>
  <c r="Y24" i="8" s="1"/>
  <c r="H25" i="6"/>
  <c r="H25" i="7" s="1"/>
  <c r="H25" i="8" s="1"/>
  <c r="V25" i="6"/>
  <c r="V25" i="7" s="1"/>
  <c r="V25" i="8" s="1"/>
  <c r="K26" i="6"/>
  <c r="K26" i="7" s="1"/>
  <c r="K26" i="8" s="1"/>
  <c r="Y26" i="6"/>
  <c r="Y26" i="7" s="1"/>
  <c r="Y26" i="8" s="1"/>
  <c r="Q27" i="6"/>
  <c r="Q27" i="7" s="1"/>
  <c r="Q27" i="8" s="1"/>
  <c r="P28" i="6"/>
  <c r="P28" i="7" s="1"/>
  <c r="P28" i="8" s="1"/>
  <c r="L29" i="6"/>
  <c r="L29" i="7" s="1"/>
  <c r="L29" i="8" s="1"/>
  <c r="E30" i="6"/>
  <c r="E30" i="7" s="1"/>
  <c r="E30" i="8" s="1"/>
  <c r="X30" i="6"/>
  <c r="X30" i="7" s="1"/>
  <c r="X30" i="8" s="1"/>
  <c r="H30" i="6"/>
  <c r="H30" i="7" s="1"/>
  <c r="H30" i="8" s="1"/>
  <c r="X11" i="6"/>
  <c r="X11" i="7" s="1"/>
  <c r="X11" i="8" s="1"/>
  <c r="V14" i="6"/>
  <c r="V14" i="7" s="1"/>
  <c r="V14" i="8" s="1"/>
  <c r="X15" i="6"/>
  <c r="X15" i="7" s="1"/>
  <c r="X15" i="8" s="1"/>
  <c r="V19" i="6"/>
  <c r="V19" i="7" s="1"/>
  <c r="V19" i="8" s="1"/>
  <c r="AD20" i="6"/>
  <c r="AD20" i="7" s="1"/>
  <c r="AD20" i="8" s="1"/>
  <c r="T22" i="6"/>
  <c r="T22" i="7" s="1"/>
  <c r="T22" i="8" s="1"/>
  <c r="P23" i="6"/>
  <c r="P23" i="7" s="1"/>
  <c r="P23" i="8" s="1"/>
  <c r="E25" i="6"/>
  <c r="E25" i="7" s="1"/>
  <c r="E25" i="8" s="1"/>
  <c r="R26" i="6"/>
  <c r="R26" i="7" s="1"/>
  <c r="R26" i="8" s="1"/>
  <c r="O28" i="6"/>
  <c r="O28" i="7" s="1"/>
  <c r="O28" i="8" s="1"/>
  <c r="S29" i="6"/>
  <c r="S29" i="7" s="1"/>
  <c r="S29" i="8" s="1"/>
  <c r="U30" i="6"/>
  <c r="U30" i="7" s="1"/>
  <c r="U30" i="8" s="1"/>
  <c r="AB8" i="6"/>
  <c r="AB8" i="7" s="1"/>
  <c r="AB8" i="8" s="1"/>
  <c r="V12" i="6"/>
  <c r="V12" i="7" s="1"/>
  <c r="V12" i="8" s="1"/>
  <c r="X13" i="6"/>
  <c r="X13" i="7" s="1"/>
  <c r="X13" i="8" s="1"/>
  <c r="U15" i="6"/>
  <c r="U15" i="7" s="1"/>
  <c r="U15" i="8" s="1"/>
  <c r="P20" i="6"/>
  <c r="P20" i="7" s="1"/>
  <c r="P20" i="8" s="1"/>
  <c r="T21" i="6"/>
  <c r="T21" i="7" s="1"/>
  <c r="T21" i="8" s="1"/>
  <c r="G23" i="6"/>
  <c r="G23" i="7" s="1"/>
  <c r="G23" i="8" s="1"/>
  <c r="I24" i="6"/>
  <c r="I24" i="7" s="1"/>
  <c r="I24" i="8" s="1"/>
  <c r="I25" i="6"/>
  <c r="I25" i="7" s="1"/>
  <c r="I25" i="8" s="1"/>
  <c r="Q26" i="6"/>
  <c r="Q26" i="7" s="1"/>
  <c r="Q26" i="8" s="1"/>
  <c r="D28" i="6"/>
  <c r="D28" i="7" s="1"/>
  <c r="D28" i="8" s="1"/>
  <c r="F29" i="6"/>
  <c r="F29" i="7" s="1"/>
  <c r="F29" i="8" s="1"/>
  <c r="F30" i="6"/>
  <c r="F30" i="7" s="1"/>
  <c r="F30" i="8" s="1"/>
  <c r="AB30" i="6"/>
  <c r="AB30" i="7" s="1"/>
  <c r="AB30" i="8" s="1"/>
  <c r="AB7" i="6"/>
  <c r="AB7" i="7" s="1"/>
  <c r="AB7" i="8" s="1"/>
  <c r="AA9" i="6"/>
  <c r="AA9" i="7" s="1"/>
  <c r="AA9" i="8" s="1"/>
  <c r="Y14" i="6"/>
  <c r="Y14" i="7" s="1"/>
  <c r="Y14" i="8" s="1"/>
  <c r="M20" i="6"/>
  <c r="M20" i="7" s="1"/>
  <c r="M20" i="8" s="1"/>
  <c r="Q21" i="6"/>
  <c r="Q21" i="7" s="1"/>
  <c r="Q21" i="8" s="1"/>
  <c r="R22" i="6"/>
  <c r="R22" i="7" s="1"/>
  <c r="R22" i="8" s="1"/>
  <c r="C26" i="6"/>
  <c r="C26" i="7" s="1"/>
  <c r="C26" i="8" s="1"/>
  <c r="K27" i="6"/>
  <c r="K27" i="7" s="1"/>
  <c r="K27" i="8" s="1"/>
  <c r="AD8" i="6"/>
  <c r="AD8" i="7" s="1"/>
  <c r="AD8" i="8" s="1"/>
  <c r="W11" i="6"/>
  <c r="W11" i="7" s="1"/>
  <c r="W11" i="8" s="1"/>
  <c r="AB12" i="6"/>
  <c r="AB12" i="7" s="1"/>
  <c r="AB12" i="8" s="1"/>
  <c r="W14" i="6"/>
  <c r="W14" i="7" s="1"/>
  <c r="W14" i="8" s="1"/>
  <c r="AD18" i="6"/>
  <c r="AD18" i="7" s="1"/>
  <c r="AD18" i="8" s="1"/>
  <c r="D22" i="6"/>
  <c r="D22" i="7" s="1"/>
  <c r="D22" i="8" s="1"/>
  <c r="R24" i="6"/>
  <c r="R24" i="7" s="1"/>
  <c r="R24" i="8" s="1"/>
  <c r="Z25" i="6"/>
  <c r="Z25" i="7" s="1"/>
  <c r="Z25" i="8" s="1"/>
  <c r="R27" i="6"/>
  <c r="R27" i="7" s="1"/>
  <c r="R27" i="8" s="1"/>
  <c r="X28" i="6"/>
  <c r="X28" i="7" s="1"/>
  <c r="X28" i="8" s="1"/>
  <c r="G30" i="6"/>
  <c r="G30" i="7" s="1"/>
  <c r="G30" i="8" s="1"/>
  <c r="AC13" i="6"/>
  <c r="AC13" i="7" s="1"/>
  <c r="AC13" i="8" s="1"/>
  <c r="Z15" i="6"/>
  <c r="Z15" i="7" s="1"/>
  <c r="Z15" i="8" s="1"/>
  <c r="E22" i="6"/>
  <c r="E22" i="7" s="1"/>
  <c r="E22" i="8" s="1"/>
  <c r="Q23" i="6"/>
  <c r="Q23" i="7" s="1"/>
  <c r="Q23" i="8" s="1"/>
  <c r="F25" i="6"/>
  <c r="F25" i="7" s="1"/>
  <c r="F25" i="8" s="1"/>
  <c r="M26" i="6"/>
  <c r="M26" i="7" s="1"/>
  <c r="M26" i="8" s="1"/>
  <c r="Y27" i="6"/>
  <c r="Y27" i="7" s="1"/>
  <c r="Y27" i="8" s="1"/>
  <c r="AD16" i="6"/>
  <c r="AD16" i="7" s="1"/>
  <c r="AD16" i="8" s="1"/>
  <c r="U17" i="6"/>
  <c r="U17" i="7" s="1"/>
  <c r="U17" i="8" s="1"/>
  <c r="AC17" i="6"/>
  <c r="AC17" i="7" s="1"/>
  <c r="AC17" i="8" s="1"/>
  <c r="Z18" i="6"/>
  <c r="Z18" i="7" s="1"/>
  <c r="Z18" i="8" s="1"/>
  <c r="AD21" i="6"/>
  <c r="AD21" i="7" s="1"/>
  <c r="AD21" i="8" s="1"/>
  <c r="H27" i="6"/>
  <c r="H27" i="7" s="1"/>
  <c r="H27" i="8" s="1"/>
  <c r="G28" i="6"/>
  <c r="G28" i="7" s="1"/>
  <c r="G28" i="8" s="1"/>
  <c r="M29" i="6"/>
  <c r="M29" i="7" s="1"/>
  <c r="M29" i="8" s="1"/>
  <c r="O30" i="6"/>
  <c r="O30" i="7" s="1"/>
  <c r="O30" i="8" s="1"/>
  <c r="T5" i="6"/>
  <c r="T5" i="7" s="1"/>
  <c r="T5" i="8" s="1"/>
  <c r="W6" i="6"/>
  <c r="W6" i="7" s="1"/>
  <c r="W6" i="8" s="1"/>
  <c r="T7" i="6"/>
  <c r="T7" i="7" s="1"/>
  <c r="T7" i="8" s="1"/>
  <c r="Z11" i="6"/>
  <c r="Z11" i="7" s="1"/>
  <c r="Z11" i="8" s="1"/>
  <c r="AA15" i="6"/>
  <c r="AA15" i="7" s="1"/>
  <c r="AA15" i="8" s="1"/>
  <c r="V18" i="6"/>
  <c r="V18" i="7" s="1"/>
  <c r="V18" i="8" s="1"/>
  <c r="AD19" i="6"/>
  <c r="AD19" i="7" s="1"/>
  <c r="AD19" i="8" s="1"/>
  <c r="M21" i="6"/>
  <c r="M21" i="7" s="1"/>
  <c r="M21" i="8" s="1"/>
  <c r="W22" i="6"/>
  <c r="W22" i="7" s="1"/>
  <c r="W22" i="8" s="1"/>
  <c r="AD23" i="6"/>
  <c r="AD23" i="7" s="1"/>
  <c r="AD23" i="8" s="1"/>
  <c r="T25" i="6"/>
  <c r="T25" i="7" s="1"/>
  <c r="T25" i="8" s="1"/>
  <c r="C27" i="6"/>
  <c r="C27" i="7" s="1"/>
  <c r="C27" i="8" s="1"/>
  <c r="Z27" i="6"/>
  <c r="Z27" i="7" s="1"/>
  <c r="Z27" i="8" s="1"/>
  <c r="K29" i="6"/>
  <c r="K29" i="7" s="1"/>
  <c r="K29" i="8" s="1"/>
  <c r="K30" i="6"/>
  <c r="K30" i="7" s="1"/>
  <c r="K30" i="8" s="1"/>
  <c r="T6" i="6"/>
  <c r="T6" i="7" s="1"/>
  <c r="T6" i="8" s="1"/>
  <c r="AA8" i="6"/>
  <c r="AA8" i="7" s="1"/>
  <c r="AA8" i="8" s="1"/>
  <c r="AB11" i="6"/>
  <c r="AB11" i="7" s="1"/>
  <c r="AB11" i="8" s="1"/>
  <c r="T13" i="6"/>
  <c r="T13" i="7" s="1"/>
  <c r="T13" i="8" s="1"/>
  <c r="AC14" i="6"/>
  <c r="AC14" i="7" s="1"/>
  <c r="AC14" i="8" s="1"/>
  <c r="X16" i="6"/>
  <c r="X16" i="7" s="1"/>
  <c r="X16" i="8" s="1"/>
  <c r="C21" i="6"/>
  <c r="C21" i="7" s="1"/>
  <c r="C21" i="8" s="1"/>
  <c r="F22" i="6"/>
  <c r="F22" i="7" s="1"/>
  <c r="F22" i="8" s="1"/>
  <c r="I26" i="6"/>
  <c r="I26" i="7" s="1"/>
  <c r="I26" i="8" s="1"/>
  <c r="V27" i="6"/>
  <c r="V27" i="7" s="1"/>
  <c r="V27" i="8" s="1"/>
  <c r="AA7" i="6"/>
  <c r="AA7" i="7" s="1"/>
  <c r="AA7" i="8" s="1"/>
  <c r="X8" i="6"/>
  <c r="X8" i="7" s="1"/>
  <c r="X8" i="8" s="1"/>
  <c r="AD9" i="6"/>
  <c r="AD9" i="7" s="1"/>
  <c r="AD9" i="8" s="1"/>
  <c r="AA13" i="6"/>
  <c r="AA13" i="7" s="1"/>
  <c r="AA13" i="8" s="1"/>
  <c r="AB17" i="6"/>
  <c r="AB17" i="7" s="1"/>
  <c r="AB17" i="8" s="1"/>
  <c r="Z19" i="6"/>
  <c r="Z19" i="7" s="1"/>
  <c r="Z19" i="8" s="1"/>
  <c r="Z21" i="6"/>
  <c r="Z21" i="7" s="1"/>
  <c r="Z21" i="8" s="1"/>
  <c r="V23" i="6"/>
  <c r="V23" i="7" s="1"/>
  <c r="V23" i="8" s="1"/>
  <c r="J25" i="6"/>
  <c r="J25" i="7" s="1"/>
  <c r="J25" i="8" s="1"/>
  <c r="V26" i="6"/>
  <c r="V26" i="7" s="1"/>
  <c r="V26" i="8" s="1"/>
  <c r="H28" i="6"/>
  <c r="H28" i="7" s="1"/>
  <c r="H28" i="8" s="1"/>
  <c r="N29" i="6"/>
  <c r="N29" i="7" s="1"/>
  <c r="N29" i="8" s="1"/>
  <c r="Q30" i="6"/>
  <c r="Q30" i="7" s="1"/>
  <c r="Q30" i="8" s="1"/>
  <c r="AC8" i="6"/>
  <c r="AC8" i="7" s="1"/>
  <c r="AC8" i="8" s="1"/>
  <c r="V10" i="6"/>
  <c r="V10" i="7" s="1"/>
  <c r="V10" i="8" s="1"/>
  <c r="V11" i="6"/>
  <c r="V11" i="7" s="1"/>
  <c r="V11" i="8" s="1"/>
  <c r="Y12" i="6"/>
  <c r="Y12" i="7" s="1"/>
  <c r="Y12" i="8" s="1"/>
  <c r="Q20" i="6"/>
  <c r="Q20" i="7" s="1"/>
  <c r="Q20" i="8" s="1"/>
  <c r="E23" i="6"/>
  <c r="E23" i="7" s="1"/>
  <c r="E23" i="8" s="1"/>
  <c r="M24" i="6"/>
  <c r="M24" i="7" s="1"/>
  <c r="M24" i="8" s="1"/>
  <c r="W25" i="6"/>
  <c r="W25" i="7" s="1"/>
  <c r="W25" i="8" s="1"/>
  <c r="G27" i="6"/>
  <c r="G27" i="7" s="1"/>
  <c r="G27" i="8" s="1"/>
  <c r="I28" i="6"/>
  <c r="I28" i="7" s="1"/>
  <c r="I28" i="8" s="1"/>
  <c r="H23" i="6"/>
  <c r="H23" i="7" s="1"/>
  <c r="H23" i="8" s="1"/>
  <c r="M23" i="6"/>
  <c r="M23" i="7" s="1"/>
  <c r="M23" i="8" s="1"/>
  <c r="R23" i="6"/>
  <c r="R23" i="7" s="1"/>
  <c r="R23" i="8" s="1"/>
  <c r="X23" i="6"/>
  <c r="X23" i="7" s="1"/>
  <c r="X23" i="8" s="1"/>
  <c r="AC23" i="6"/>
  <c r="AC23" i="7" s="1"/>
  <c r="AC23" i="8" s="1"/>
  <c r="F24" i="6"/>
  <c r="F24" i="7" s="1"/>
  <c r="F24" i="8" s="1"/>
  <c r="L24" i="6"/>
  <c r="L24" i="7" s="1"/>
  <c r="L24" i="8" s="1"/>
  <c r="O24" i="6"/>
  <c r="O24" i="7" s="1"/>
  <c r="O24" i="8" s="1"/>
  <c r="X24" i="6"/>
  <c r="X24" i="7" s="1"/>
  <c r="X24" i="8" s="1"/>
  <c r="AB24" i="6"/>
  <c r="AB24" i="7" s="1"/>
  <c r="AB24" i="8" s="1"/>
  <c r="G25" i="6"/>
  <c r="G25" i="7" s="1"/>
  <c r="G25" i="8" s="1"/>
  <c r="N25" i="6"/>
  <c r="N25" i="7" s="1"/>
  <c r="N25" i="8" s="1"/>
  <c r="U26" i="6"/>
  <c r="U26" i="7" s="1"/>
  <c r="U26" i="8" s="1"/>
  <c r="E28" i="6"/>
  <c r="E28" i="7" s="1"/>
  <c r="E28" i="8" s="1"/>
  <c r="U8" i="6"/>
  <c r="U8" i="7" s="1"/>
  <c r="U8" i="8" s="1"/>
  <c r="Y9" i="6"/>
  <c r="Y9" i="7" s="1"/>
  <c r="Y9" i="8" s="1"/>
  <c r="AA10" i="6"/>
  <c r="AA10" i="7" s="1"/>
  <c r="AA10" i="8" s="1"/>
  <c r="W15" i="6"/>
  <c r="W15" i="7" s="1"/>
  <c r="W15" i="8" s="1"/>
  <c r="V22" i="6"/>
  <c r="V22" i="7" s="1"/>
  <c r="V22" i="8" s="1"/>
  <c r="K24" i="6"/>
  <c r="K24" i="7" s="1"/>
  <c r="K24" i="8" s="1"/>
  <c r="U25" i="6"/>
  <c r="U25" i="7" s="1"/>
  <c r="U25" i="8" s="1"/>
  <c r="F27" i="6"/>
  <c r="F27" i="7" s="1"/>
  <c r="F27" i="8" s="1"/>
  <c r="N28" i="6"/>
  <c r="N28" i="7" s="1"/>
  <c r="N28" i="8" s="1"/>
  <c r="R29" i="6"/>
  <c r="R29" i="7" s="1"/>
  <c r="R29" i="8" s="1"/>
  <c r="V30" i="6"/>
  <c r="V30" i="7" s="1"/>
  <c r="V30" i="8" s="1"/>
  <c r="V7" i="6"/>
  <c r="V7" i="7" s="1"/>
  <c r="V7" i="8" s="1"/>
  <c r="T8" i="6"/>
  <c r="T8" i="7" s="1"/>
  <c r="T8" i="8" s="1"/>
  <c r="W13" i="6"/>
  <c r="W13" i="7" s="1"/>
  <c r="W13" i="8" s="1"/>
  <c r="Z16" i="6"/>
  <c r="Z16" i="7" s="1"/>
  <c r="Z16" i="8" s="1"/>
  <c r="Y19" i="6"/>
  <c r="Y19" i="7" s="1"/>
  <c r="Y19" i="8" s="1"/>
  <c r="J22" i="6"/>
  <c r="J22" i="7" s="1"/>
  <c r="J22" i="8" s="1"/>
  <c r="AC24" i="6"/>
  <c r="AC24" i="7" s="1"/>
  <c r="AC24" i="8" s="1"/>
  <c r="X26" i="6"/>
  <c r="X26" i="7" s="1"/>
  <c r="X26" i="8" s="1"/>
  <c r="M28" i="6"/>
  <c r="M28" i="7" s="1"/>
  <c r="M28" i="8" s="1"/>
  <c r="E10" i="6"/>
  <c r="E10" i="7" s="1"/>
  <c r="E10" i="8" s="1"/>
  <c r="O4" i="6"/>
  <c r="O4" i="7" s="1"/>
  <c r="O4" i="8" s="1"/>
  <c r="O5" i="6"/>
  <c r="O5" i="7" s="1"/>
  <c r="O5" i="8" s="1"/>
  <c r="G4" i="6"/>
  <c r="G4" i="7" s="1"/>
  <c r="G4" i="8" s="1"/>
  <c r="K3" i="6"/>
  <c r="K3" i="7" s="1"/>
  <c r="K3" i="8" s="1"/>
  <c r="S4" i="6"/>
  <c r="S4" i="7" s="1"/>
  <c r="S4" i="8" s="1"/>
  <c r="K5" i="6"/>
  <c r="K5" i="7" s="1"/>
  <c r="K5" i="8" s="1"/>
  <c r="C5" i="6"/>
  <c r="C5" i="7" s="1"/>
  <c r="C3" i="6"/>
  <c r="C3" i="7" s="1"/>
  <c r="C3" i="8" s="1"/>
  <c r="S3" i="6"/>
  <c r="S3" i="7" s="1"/>
  <c r="S3" i="8" s="1"/>
  <c r="G3" i="6"/>
  <c r="G3" i="7" s="1"/>
  <c r="G3" i="8" s="1"/>
  <c r="S6" i="6"/>
  <c r="S6" i="7" s="1"/>
  <c r="S6" i="8" s="1"/>
  <c r="S7" i="6"/>
  <c r="S7" i="7" s="1"/>
  <c r="S7" i="8" s="1"/>
  <c r="S15" i="6"/>
  <c r="S15" i="7" s="1"/>
  <c r="S15" i="8" s="1"/>
  <c r="S9" i="6"/>
  <c r="S9" i="7" s="1"/>
  <c r="S9" i="8" s="1"/>
  <c r="I19" i="6"/>
  <c r="I19" i="7" s="1"/>
  <c r="I19" i="8" s="1"/>
  <c r="S11" i="6"/>
  <c r="S11" i="7" s="1"/>
  <c r="S11" i="8" s="1"/>
  <c r="S16" i="6"/>
  <c r="S16" i="7" s="1"/>
  <c r="S16" i="8" s="1"/>
  <c r="Q19" i="6"/>
  <c r="Q19" i="7" s="1"/>
  <c r="Q19" i="8" s="1"/>
  <c r="C19" i="6"/>
  <c r="C19" i="7" s="1"/>
  <c r="C19" i="8" s="1"/>
  <c r="R19" i="6"/>
  <c r="R19" i="7" s="1"/>
  <c r="R19" i="8" s="1"/>
  <c r="S19" i="6"/>
  <c r="S19" i="7" s="1"/>
  <c r="S19" i="8" s="1"/>
  <c r="S13" i="6"/>
  <c r="S13" i="7" s="1"/>
  <c r="S13" i="8" s="1"/>
  <c r="J19" i="6"/>
  <c r="J19" i="7" s="1"/>
  <c r="J19" i="8" s="1"/>
  <c r="S8" i="6"/>
  <c r="S8" i="7" s="1"/>
  <c r="S8" i="8" s="1"/>
  <c r="S17" i="6"/>
  <c r="S17" i="7" s="1"/>
  <c r="S17" i="8" s="1"/>
  <c r="K19" i="6"/>
  <c r="K19" i="7" s="1"/>
  <c r="K19" i="8" s="1"/>
  <c r="S5" i="6"/>
  <c r="S5" i="7" s="1"/>
  <c r="S5" i="8" s="1"/>
  <c r="S18" i="6"/>
  <c r="S18" i="7" s="1"/>
  <c r="S18" i="8" s="1"/>
  <c r="G19" i="6"/>
  <c r="G19" i="7" s="1"/>
  <c r="G19" i="8" s="1"/>
  <c r="F19" i="6"/>
  <c r="F19" i="7" s="1"/>
  <c r="F19" i="8" s="1"/>
  <c r="E19" i="6"/>
  <c r="E19" i="7" s="1"/>
  <c r="E19" i="8" s="1"/>
  <c r="S12" i="6"/>
  <c r="S12" i="7" s="1"/>
  <c r="S12" i="8" s="1"/>
  <c r="S10" i="6"/>
  <c r="S10" i="7" s="1"/>
  <c r="S10" i="8" s="1"/>
  <c r="M19" i="6"/>
  <c r="M19" i="7" s="1"/>
  <c r="M19" i="8" s="1"/>
  <c r="O19" i="6"/>
  <c r="O19" i="7" s="1"/>
  <c r="O19" i="8" s="1"/>
  <c r="K4" i="6"/>
  <c r="K4" i="7" s="1"/>
  <c r="K4" i="8" s="1"/>
  <c r="E9" i="6"/>
  <c r="E9" i="7" s="1"/>
  <c r="E9" i="8" s="1"/>
  <c r="K8" i="6"/>
  <c r="K8" i="7" s="1"/>
  <c r="K8" i="8" s="1"/>
  <c r="K9" i="6"/>
  <c r="K9" i="7" s="1"/>
  <c r="K9" i="8" s="1"/>
  <c r="Q17" i="6"/>
  <c r="Q17" i="7" s="1"/>
  <c r="Q17" i="8" s="1"/>
  <c r="O9" i="6"/>
  <c r="O9" i="7" s="1"/>
  <c r="O9" i="8" s="1"/>
  <c r="O10" i="6"/>
  <c r="O10" i="7" s="1"/>
  <c r="O10" i="8" s="1"/>
  <c r="D14" i="6"/>
  <c r="D14" i="7" s="1"/>
  <c r="D14" i="8" s="1"/>
  <c r="M15" i="6"/>
  <c r="M15" i="7" s="1"/>
  <c r="M15" i="8" s="1"/>
  <c r="G11" i="6"/>
  <c r="G11" i="7" s="1"/>
  <c r="G11" i="8" s="1"/>
  <c r="N4" i="6"/>
  <c r="N4" i="7" s="1"/>
  <c r="N4" i="8" s="1"/>
  <c r="K12" i="6"/>
  <c r="K12" i="7" s="1"/>
  <c r="K12" i="8" s="1"/>
  <c r="Q9" i="6"/>
  <c r="Q9" i="7" s="1"/>
  <c r="Q9" i="8" s="1"/>
  <c r="I11" i="6"/>
  <c r="I11" i="7" s="1"/>
  <c r="I11" i="8" s="1"/>
  <c r="I15" i="6"/>
  <c r="I15" i="7" s="1"/>
  <c r="I15" i="8" s="1"/>
  <c r="G12" i="6"/>
  <c r="G12" i="7" s="1"/>
  <c r="G12" i="8" s="1"/>
  <c r="E17" i="6"/>
  <c r="E17" i="7" s="1"/>
  <c r="E17" i="8" s="1"/>
  <c r="M4" i="6"/>
  <c r="M4" i="7" s="1"/>
  <c r="M4" i="8" s="1"/>
  <c r="R5" i="6"/>
  <c r="R5" i="7" s="1"/>
  <c r="R5" i="8" s="1"/>
  <c r="P4" i="6"/>
  <c r="P4" i="7" s="1"/>
  <c r="P4" i="8" s="1"/>
  <c r="M3" i="6"/>
  <c r="M3" i="7" s="1"/>
  <c r="M3" i="8" s="1"/>
  <c r="Q4" i="6"/>
  <c r="Q4" i="7" s="1"/>
  <c r="Q4" i="8" s="1"/>
  <c r="H6" i="6"/>
  <c r="H6" i="7" s="1"/>
  <c r="H6" i="8" s="1"/>
  <c r="J3" i="6"/>
  <c r="J3" i="7" s="1"/>
  <c r="J3" i="8" s="1"/>
  <c r="D5" i="6"/>
  <c r="D5" i="7" s="1"/>
  <c r="D5" i="8" s="1"/>
  <c r="G8" i="6"/>
  <c r="G8" i="7" s="1"/>
  <c r="G8" i="8" s="1"/>
  <c r="C10" i="6"/>
  <c r="C10" i="7" s="1"/>
  <c r="C10" i="8" s="1"/>
  <c r="C17" i="6"/>
  <c r="C17" i="7" s="1"/>
  <c r="C17" i="8" s="1"/>
  <c r="R18" i="6"/>
  <c r="R18" i="7" s="1"/>
  <c r="R18" i="8" s="1"/>
  <c r="I7" i="6"/>
  <c r="I7" i="7" s="1"/>
  <c r="I7" i="8" s="1"/>
  <c r="J11" i="6"/>
  <c r="J11" i="7" s="1"/>
  <c r="J11" i="8" s="1"/>
  <c r="G14" i="6"/>
  <c r="G14" i="7" s="1"/>
  <c r="G14" i="8" s="1"/>
  <c r="O16" i="6"/>
  <c r="O16" i="7" s="1"/>
  <c r="O16" i="8" s="1"/>
  <c r="P11" i="6"/>
  <c r="P11" i="7" s="1"/>
  <c r="P11" i="8" s="1"/>
  <c r="E6" i="6"/>
  <c r="E6" i="7" s="1"/>
  <c r="E6" i="8" s="1"/>
  <c r="J10" i="6"/>
  <c r="J10" i="7" s="1"/>
  <c r="J10" i="8" s="1"/>
  <c r="E18" i="6"/>
  <c r="E18" i="7" s="1"/>
  <c r="E18" i="8" s="1"/>
  <c r="D18" i="6"/>
  <c r="D18" i="7" s="1"/>
  <c r="D18" i="8" s="1"/>
  <c r="F15" i="6"/>
  <c r="F15" i="7" s="1"/>
  <c r="F15" i="8" s="1"/>
  <c r="F10" i="6"/>
  <c r="F10" i="7" s="1"/>
  <c r="F10" i="8" s="1"/>
  <c r="K13" i="6"/>
  <c r="K13" i="7" s="1"/>
  <c r="K13" i="8" s="1"/>
  <c r="D8" i="6"/>
  <c r="D8" i="7" s="1"/>
  <c r="D8" i="8" s="1"/>
  <c r="M16" i="6"/>
  <c r="M16" i="7" s="1"/>
  <c r="M16" i="8" s="1"/>
  <c r="C14" i="6"/>
  <c r="C14" i="7" s="1"/>
  <c r="C14" i="8" s="1"/>
  <c r="R14" i="6"/>
  <c r="R14" i="7" s="1"/>
  <c r="R14" i="8" s="1"/>
  <c r="R9" i="6"/>
  <c r="R9" i="7" s="1"/>
  <c r="R9" i="8" s="1"/>
  <c r="M8" i="6"/>
  <c r="M8" i="7" s="1"/>
  <c r="M8" i="8" s="1"/>
  <c r="G18" i="6"/>
  <c r="G18" i="7" s="1"/>
  <c r="G18" i="8" s="1"/>
  <c r="H5" i="6"/>
  <c r="H5" i="7" s="1"/>
  <c r="H5" i="8" s="1"/>
  <c r="J2" i="6"/>
  <c r="J2" i="7" s="1"/>
  <c r="J2" i="8" s="1"/>
  <c r="B2" i="6"/>
  <c r="C36" i="15"/>
  <c r="C37" i="15"/>
  <c r="C35" i="15"/>
  <c r="C34" i="15"/>
  <c r="C33" i="15"/>
  <c r="C32" i="15"/>
  <c r="D27" i="15"/>
  <c r="D35" i="15"/>
  <c r="D36" i="15"/>
  <c r="D33" i="15"/>
  <c r="D34" i="15"/>
  <c r="D29" i="15"/>
  <c r="D31" i="15"/>
  <c r="D30" i="15"/>
  <c r="D32" i="15"/>
  <c r="D28" i="15"/>
  <c r="D26" i="15"/>
  <c r="B14" i="6"/>
  <c r="B14" i="7" s="1"/>
  <c r="B14" i="8" s="1"/>
  <c r="D21" i="15" s="1"/>
  <c r="B30" i="6"/>
  <c r="B30" i="7" s="1"/>
  <c r="B30" i="8" s="1"/>
  <c r="D37" i="15" s="1"/>
  <c r="B7" i="6"/>
  <c r="B7" i="7" s="1"/>
  <c r="B7" i="8" s="1"/>
  <c r="D14" i="15" s="1"/>
  <c r="B23" i="6"/>
  <c r="B23" i="7" s="1"/>
  <c r="B23" i="8" s="1"/>
  <c r="B4" i="6"/>
  <c r="B4" i="7" s="1"/>
  <c r="B4" i="8" s="1"/>
  <c r="D11" i="15" s="1"/>
  <c r="B20" i="6"/>
  <c r="B20" i="7" s="1"/>
  <c r="B20" i="8" s="1"/>
  <c r="B17" i="6"/>
  <c r="B17" i="7" s="1"/>
  <c r="B17" i="8" s="1"/>
  <c r="D24" i="15" s="1"/>
  <c r="B18" i="6"/>
  <c r="B18" i="7" s="1"/>
  <c r="B18" i="8" s="1"/>
  <c r="B11" i="6"/>
  <c r="B11" i="7" s="1"/>
  <c r="B11" i="8" s="1"/>
  <c r="B27" i="6"/>
  <c r="B27" i="7" s="1"/>
  <c r="B27" i="8" s="1"/>
  <c r="B8" i="6"/>
  <c r="B8" i="7" s="1"/>
  <c r="B8" i="8" s="1"/>
  <c r="D15" i="15" s="1"/>
  <c r="B24" i="6"/>
  <c r="B24" i="7" s="1"/>
  <c r="B24" i="8" s="1"/>
  <c r="B5" i="6"/>
  <c r="B5" i="7" s="1"/>
  <c r="B5" i="8" s="1"/>
  <c r="D12" i="15" s="1"/>
  <c r="B21" i="6"/>
  <c r="B21" i="7" s="1"/>
  <c r="B21" i="8" s="1"/>
  <c r="B6" i="6"/>
  <c r="B6" i="7" s="1"/>
  <c r="B6" i="8" s="1"/>
  <c r="D13" i="15" s="1"/>
  <c r="B22" i="6"/>
  <c r="B22" i="7" s="1"/>
  <c r="B22" i="8" s="1"/>
  <c r="B15" i="6"/>
  <c r="B15" i="7" s="1"/>
  <c r="B15" i="8" s="1"/>
  <c r="D22" i="15" s="1"/>
  <c r="B12" i="6"/>
  <c r="B12" i="7" s="1"/>
  <c r="B12" i="8" s="1"/>
  <c r="D19" i="15" s="1"/>
  <c r="B28" i="6"/>
  <c r="B28" i="7" s="1"/>
  <c r="B28" i="8" s="1"/>
  <c r="B9" i="6"/>
  <c r="B9" i="7" s="1"/>
  <c r="B9" i="8" s="1"/>
  <c r="D16" i="15" s="1"/>
  <c r="B25" i="6"/>
  <c r="B25" i="7" s="1"/>
  <c r="B25" i="8" s="1"/>
  <c r="B10" i="6"/>
  <c r="B10" i="7" s="1"/>
  <c r="B10" i="8" s="1"/>
  <c r="B26" i="6"/>
  <c r="B26" i="7" s="1"/>
  <c r="B26" i="8" s="1"/>
  <c r="B3" i="6"/>
  <c r="B3" i="7" s="1"/>
  <c r="B3" i="8" s="1"/>
  <c r="B19" i="6"/>
  <c r="B19" i="7" s="1"/>
  <c r="B19" i="8" s="1"/>
  <c r="B16" i="6"/>
  <c r="B16" i="7" s="1"/>
  <c r="B16" i="8" s="1"/>
  <c r="D23" i="15" s="1"/>
  <c r="B13" i="6"/>
  <c r="B13" i="7" s="1"/>
  <c r="B13" i="8" s="1"/>
  <c r="D20" i="15" s="1"/>
  <c r="B29" i="6"/>
  <c r="B29" i="7" s="1"/>
  <c r="B29" i="8" s="1"/>
  <c r="F2" i="6" l="1"/>
  <c r="F2" i="7" s="1"/>
  <c r="F2" i="8" s="1"/>
  <c r="AB2" i="6"/>
  <c r="AB2" i="7" s="1"/>
  <c r="AB2" i="8" s="1"/>
  <c r="Z2" i="6"/>
  <c r="Z2" i="7" s="1"/>
  <c r="Z2" i="8" s="1"/>
  <c r="H2" i="6"/>
  <c r="H2" i="7" s="1"/>
  <c r="H2" i="8" s="1"/>
  <c r="D2" i="6"/>
  <c r="D2" i="7" s="1"/>
  <c r="D2" i="8" s="1"/>
  <c r="AA2" i="6"/>
  <c r="AA2" i="7" s="1"/>
  <c r="AA2" i="8" s="1"/>
  <c r="C2" i="6"/>
  <c r="C2" i="7" s="1"/>
  <c r="C2" i="8" s="1"/>
  <c r="N2" i="6"/>
  <c r="N2" i="7" s="1"/>
  <c r="N2" i="8" s="1"/>
  <c r="T2" i="6"/>
  <c r="T2" i="7" s="1"/>
  <c r="T2" i="8" s="1"/>
  <c r="R2" i="6"/>
  <c r="R2" i="7" s="1"/>
  <c r="R2" i="8" s="1"/>
  <c r="Q2" i="6"/>
  <c r="Q2" i="7" s="1"/>
  <c r="Q2" i="8" s="1"/>
  <c r="L2" i="6"/>
  <c r="L2" i="7" s="1"/>
  <c r="L2" i="8" s="1"/>
  <c r="E2" i="6"/>
  <c r="E2" i="7" s="1"/>
  <c r="E2" i="8" s="1"/>
  <c r="K2" i="6"/>
  <c r="K2" i="7" s="1"/>
  <c r="K2" i="8" s="1"/>
  <c r="AD2" i="6"/>
  <c r="AD2" i="7" s="1"/>
  <c r="AD2" i="8" s="1"/>
  <c r="X2" i="6"/>
  <c r="X2" i="7" s="1"/>
  <c r="X2" i="8" s="1"/>
  <c r="U2" i="6"/>
  <c r="U2" i="7" s="1"/>
  <c r="U2" i="8" s="1"/>
  <c r="O2" i="6"/>
  <c r="O2" i="7" s="1"/>
  <c r="O2" i="8" s="1"/>
  <c r="W2" i="6"/>
  <c r="W2" i="7" s="1"/>
  <c r="W2" i="8" s="1"/>
  <c r="G2" i="6"/>
  <c r="G2" i="7" s="1"/>
  <c r="G2" i="8" s="1"/>
  <c r="S2" i="6"/>
  <c r="S2" i="7" s="1"/>
  <c r="S2" i="8" s="1"/>
  <c r="Y2" i="6"/>
  <c r="Y2" i="7" s="1"/>
  <c r="Y2" i="8" s="1"/>
  <c r="V2" i="6"/>
  <c r="V2" i="7" s="1"/>
  <c r="V2" i="8" s="1"/>
  <c r="I2" i="6"/>
  <c r="I2" i="7" s="1"/>
  <c r="I2" i="8" s="1"/>
  <c r="P2" i="6"/>
  <c r="P2" i="7" s="1"/>
  <c r="P2" i="8" s="1"/>
  <c r="AC2" i="6"/>
  <c r="AC2" i="7" s="1"/>
  <c r="AC2" i="8" s="1"/>
  <c r="D17" i="15"/>
  <c r="D18" i="15"/>
  <c r="M2" i="6"/>
  <c r="M2" i="7" s="1"/>
  <c r="M2" i="8" s="1"/>
  <c r="D25" i="15"/>
  <c r="D10" i="15"/>
  <c r="B2" i="7"/>
  <c r="B2" i="8" s="1"/>
  <c r="D9" i="15" s="1"/>
  <c r="E9" i="15" s="1"/>
  <c r="C27" i="15"/>
  <c r="C29" i="15"/>
  <c r="C26" i="15"/>
  <c r="C31" i="15"/>
  <c r="C28" i="15"/>
  <c r="C30" i="15"/>
  <c r="N44" i="15" l="1" a="1"/>
  <c r="E32" i="15"/>
  <c r="E30" i="15"/>
  <c r="E28" i="15"/>
  <c r="E33" i="15"/>
  <c r="E29" i="15"/>
  <c r="E31" i="15"/>
  <c r="E34" i="15"/>
  <c r="E36" i="15"/>
  <c r="E37" i="15"/>
  <c r="E35" i="15"/>
  <c r="E27" i="15"/>
  <c r="E26" i="15"/>
  <c r="AB2" i="14" a="1"/>
  <c r="N2" i="14" a="1"/>
  <c r="B2" i="14" a="1"/>
  <c r="E2" i="14" a="1"/>
  <c r="J2" i="14" a="1"/>
  <c r="V2" i="14" a="1"/>
  <c r="L2" i="14" a="1"/>
  <c r="AA2" i="14" a="1"/>
  <c r="T2" i="14" a="1"/>
  <c r="O2" i="14" a="1"/>
  <c r="Y2" i="14" a="1"/>
  <c r="D2" i="14" a="1"/>
  <c r="P2" i="14" a="1"/>
  <c r="AC2" i="14" a="1"/>
  <c r="F2" i="14" a="1"/>
  <c r="H2" i="14" a="1"/>
  <c r="Q2" i="14" a="1"/>
  <c r="U2" i="14" a="1"/>
  <c r="S2" i="14" a="1"/>
  <c r="C2" i="14" a="1"/>
  <c r="K2" i="14" a="1"/>
  <c r="R2" i="14" a="1"/>
  <c r="Z2" i="14" a="1"/>
  <c r="W2" i="14" a="1"/>
  <c r="G2" i="14" a="1"/>
  <c r="X2" i="14" a="1"/>
  <c r="AD2" i="14" a="1"/>
  <c r="M2" i="14" a="1"/>
  <c r="I2" i="14" a="1"/>
  <c r="I3" i="14" a="1"/>
  <c r="C3" i="14" a="1"/>
  <c r="F3" i="14" a="1"/>
  <c r="K3" i="14" a="1"/>
  <c r="J3" i="14" a="1"/>
  <c r="Z3" i="14" a="1"/>
  <c r="G3" i="14" a="1"/>
  <c r="L3" i="14" a="1"/>
  <c r="AD3" i="14" a="1"/>
  <c r="AB3" i="14" a="1"/>
  <c r="U3" i="14" a="1"/>
  <c r="B3" i="14" a="1"/>
  <c r="C10" i="15" s="1"/>
  <c r="H3" i="14" a="1"/>
  <c r="AC3" i="14" a="1"/>
  <c r="AA3" i="14" a="1"/>
  <c r="W3" i="14" a="1"/>
  <c r="Q3" i="14" a="1"/>
  <c r="Y3" i="14" a="1"/>
  <c r="V3" i="14" a="1"/>
  <c r="N3" i="14" a="1"/>
  <c r="M3" i="14" a="1"/>
  <c r="E3" i="14" a="1"/>
  <c r="R3" i="14" a="1"/>
  <c r="D3" i="14" a="1"/>
  <c r="X3" i="14" a="1"/>
  <c r="T3" i="14" a="1"/>
  <c r="S3" i="14" a="1"/>
  <c r="P3" i="14" a="1"/>
  <c r="O3" i="14" a="1"/>
  <c r="B4" i="14" a="1"/>
  <c r="I9" i="14" a="1"/>
  <c r="G4" i="14" a="1"/>
  <c r="J9" i="14" a="1"/>
  <c r="K9" i="14" a="1"/>
  <c r="D4" i="14" a="1"/>
  <c r="D9" i="14" a="1"/>
  <c r="AB9" i="14" a="1"/>
  <c r="C4" i="14" a="1"/>
  <c r="I4" i="14" a="1"/>
  <c r="H4" i="14" a="1"/>
  <c r="C9" i="14" a="1"/>
  <c r="AD4" i="14" a="1"/>
  <c r="AB4" i="14" a="1"/>
  <c r="Z4" i="14" a="1"/>
  <c r="Y9" i="14" a="1"/>
  <c r="X9" i="14" a="1"/>
  <c r="W9" i="14" a="1"/>
  <c r="V4" i="14" a="1"/>
  <c r="B9" i="14" a="1"/>
  <c r="E9" i="14" a="1"/>
  <c r="E4" i="14" a="1"/>
  <c r="J4" i="14" a="1"/>
  <c r="AC4" i="14" a="1"/>
  <c r="AA9" i="14" a="1"/>
  <c r="Z9" i="14" a="1"/>
  <c r="V9" i="14" a="1"/>
  <c r="U9" i="14" a="1"/>
  <c r="T9" i="14" a="1"/>
  <c r="Q4" i="14" a="1"/>
  <c r="P4" i="14" a="1"/>
  <c r="P9" i="14" a="1"/>
  <c r="R4" i="14" a="1"/>
  <c r="R9" i="14" a="1"/>
  <c r="G9" i="14" a="1"/>
  <c r="L9" i="14" a="1"/>
  <c r="F4" i="14" a="1"/>
  <c r="C16" i="15" s="1"/>
  <c r="AD9" i="14" a="1"/>
  <c r="AA4" i="14" a="1"/>
  <c r="Y4" i="14" a="1"/>
  <c r="X4" i="14" a="1"/>
  <c r="T4" i="14" a="1"/>
  <c r="S9" i="14" a="1"/>
  <c r="O4" i="14" a="1"/>
  <c r="O9" i="14" a="1"/>
  <c r="K4" i="14" a="1"/>
  <c r="H9" i="14" a="1"/>
  <c r="S4" i="14" a="1"/>
  <c r="W4" i="14" a="1"/>
  <c r="F9" i="14" a="1"/>
  <c r="AC9" i="14" a="1"/>
  <c r="U4" i="14" a="1"/>
  <c r="Q9" i="14" a="1"/>
  <c r="M9" i="14" a="1"/>
  <c r="L4" i="14" a="1"/>
  <c r="N9" i="14" a="1"/>
  <c r="N4" i="14" a="1"/>
  <c r="M4" i="14" a="1"/>
  <c r="K5" i="14" a="1"/>
  <c r="R5" i="14" a="1"/>
  <c r="E5" i="14" a="1"/>
  <c r="AD5" i="14" a="1"/>
  <c r="AC5" i="14" a="1"/>
  <c r="G5" i="14" a="1"/>
  <c r="F5" i="14" a="1"/>
  <c r="D5" i="14" a="1"/>
  <c r="Z5" i="14" a="1"/>
  <c r="V5" i="14" a="1"/>
  <c r="C5" i="14" a="1"/>
  <c r="I5" i="14" a="1"/>
  <c r="AA5" i="14" a="1"/>
  <c r="X5" i="14" a="1"/>
  <c r="L5" i="14" a="1"/>
  <c r="Y5" i="14" a="1"/>
  <c r="W5" i="14" a="1"/>
  <c r="T5" i="14" a="1"/>
  <c r="P5" i="14" a="1"/>
  <c r="O5" i="14" a="1"/>
  <c r="B5" i="14" a="1"/>
  <c r="C12" i="15" s="1"/>
  <c r="J5" i="14" a="1"/>
  <c r="H5" i="14" a="1"/>
  <c r="U5" i="14" a="1"/>
  <c r="M5" i="14" a="1"/>
  <c r="AB5" i="14" a="1"/>
  <c r="N5" i="14" a="1"/>
  <c r="Q5" i="14" a="1"/>
  <c r="S5" i="14" a="1"/>
  <c r="L6" i="14" a="1"/>
  <c r="C6" i="14" a="1"/>
  <c r="AB6" i="14" a="1"/>
  <c r="AA6" i="14" a="1"/>
  <c r="B6" i="14" a="1"/>
  <c r="G6" i="14" a="1"/>
  <c r="E6" i="14" a="1"/>
  <c r="Y6" i="14" a="1"/>
  <c r="D6" i="14" a="1"/>
  <c r="K6" i="14" a="1"/>
  <c r="AD6" i="14" a="1"/>
  <c r="X6" i="14" a="1"/>
  <c r="T6" i="14" a="1"/>
  <c r="O6" i="14" a="1"/>
  <c r="R6" i="14" a="1"/>
  <c r="H6" i="14" a="1"/>
  <c r="W6" i="14" a="1"/>
  <c r="S6" i="14" a="1"/>
  <c r="P6" i="14" a="1"/>
  <c r="J6" i="14" a="1"/>
  <c r="I6" i="14" a="1"/>
  <c r="F6" i="14" a="1"/>
  <c r="N6" i="14" a="1"/>
  <c r="U6" i="14" a="1"/>
  <c r="Q6" i="14" a="1"/>
  <c r="AC6" i="14" a="1"/>
  <c r="Z6" i="14" a="1"/>
  <c r="M6" i="14" a="1"/>
  <c r="V6" i="14" a="1"/>
  <c r="K7" i="14" a="1"/>
  <c r="H7" i="14" a="1"/>
  <c r="D7" i="14" a="1"/>
  <c r="B7" i="14" a="1"/>
  <c r="R7" i="14" a="1"/>
  <c r="AD7" i="14" a="1"/>
  <c r="AC7" i="14" a="1"/>
  <c r="AA7" i="14" a="1"/>
  <c r="X7" i="14" a="1"/>
  <c r="E7" i="14" a="1"/>
  <c r="J7" i="14" a="1"/>
  <c r="Y7" i="14" a="1"/>
  <c r="W7" i="14" a="1"/>
  <c r="S7" i="14" a="1"/>
  <c r="Q7" i="14" a="1"/>
  <c r="G7" i="14" a="1"/>
  <c r="L7" i="14" a="1"/>
  <c r="F7" i="14" a="1"/>
  <c r="AB7" i="14" a="1"/>
  <c r="Z7" i="14" a="1"/>
  <c r="V7" i="14" a="1"/>
  <c r="U7" i="14" a="1"/>
  <c r="C7" i="14" a="1"/>
  <c r="I7" i="14" a="1"/>
  <c r="O7" i="14" a="1"/>
  <c r="P7" i="14" a="1"/>
  <c r="T7" i="14" a="1"/>
  <c r="N7" i="14" a="1"/>
  <c r="M7" i="14" a="1"/>
  <c r="B8" i="14" a="1"/>
  <c r="J8" i="14" a="1"/>
  <c r="F8" i="14" a="1"/>
  <c r="G8" i="14" a="1"/>
  <c r="I8" i="14" a="1"/>
  <c r="AB8" i="14" a="1"/>
  <c r="AA8" i="14" a="1"/>
  <c r="X8" i="14" a="1"/>
  <c r="L8" i="14" a="1"/>
  <c r="R8" i="14" a="1"/>
  <c r="D8" i="14" a="1"/>
  <c r="Y8" i="14" a="1"/>
  <c r="W8" i="14" a="1"/>
  <c r="H8" i="14" a="1"/>
  <c r="K8" i="14" a="1"/>
  <c r="AC8" i="14" a="1"/>
  <c r="V8" i="14" a="1"/>
  <c r="U8" i="14" a="1"/>
  <c r="Q8" i="14" a="1"/>
  <c r="P8" i="14" a="1"/>
  <c r="E8" i="14" a="1"/>
  <c r="C8" i="14" a="1"/>
  <c r="Z8" i="14" a="1"/>
  <c r="T8" i="14" a="1"/>
  <c r="AD8" i="14" a="1"/>
  <c r="N8" i="14" a="1"/>
  <c r="M8" i="14" a="1"/>
  <c r="S8" i="14" a="1"/>
  <c r="O8" i="14" a="1"/>
  <c r="R10" i="14" a="1"/>
  <c r="L10" i="14" a="1"/>
  <c r="E10" i="14" a="1"/>
  <c r="B10" i="14" a="1"/>
  <c r="J10" i="14" a="1"/>
  <c r="D10" i="14" a="1"/>
  <c r="C10" i="14" a="1"/>
  <c r="F10" i="14" a="1"/>
  <c r="I10" i="14" a="1"/>
  <c r="AB10" i="14" a="1"/>
  <c r="Q10" i="14" a="1"/>
  <c r="P10" i="14" a="1"/>
  <c r="N10" i="14" a="1"/>
  <c r="K10" i="14" a="1"/>
  <c r="AD10" i="14" a="1"/>
  <c r="O10" i="14" a="1"/>
  <c r="H10" i="14" a="1"/>
  <c r="G10" i="14" a="1"/>
  <c r="M10" i="14" a="1"/>
  <c r="T10" i="14" a="1"/>
  <c r="AC10" i="14" a="1"/>
  <c r="AA10" i="14" a="1"/>
  <c r="Y10" i="14" a="1"/>
  <c r="S10" i="14" a="1"/>
  <c r="V10" i="14" a="1"/>
  <c r="Z10" i="14" a="1"/>
  <c r="W10" i="14" a="1"/>
  <c r="U10" i="14" a="1"/>
  <c r="X10" i="14" a="1"/>
  <c r="R11" i="14" a="1"/>
  <c r="I11" i="14" a="1"/>
  <c r="E11" i="14" a="1"/>
  <c r="AC11" i="14" a="1"/>
  <c r="K11" i="14" a="1"/>
  <c r="F11" i="14" a="1"/>
  <c r="C18" i="15" s="1"/>
  <c r="AB11" i="14" a="1"/>
  <c r="V11" i="14" a="1"/>
  <c r="J11" i="14" a="1"/>
  <c r="D11" i="14" a="1"/>
  <c r="AD11" i="14" a="1"/>
  <c r="W11" i="14" a="1"/>
  <c r="Q11" i="14" a="1"/>
  <c r="P11" i="14" a="1"/>
  <c r="B11" i="14" a="1"/>
  <c r="H11" i="14" a="1"/>
  <c r="C11" i="14" a="1"/>
  <c r="AA11" i="14" a="1"/>
  <c r="Z11" i="14" a="1"/>
  <c r="L11" i="14" a="1"/>
  <c r="G11" i="14" a="1"/>
  <c r="T11" i="14" a="1"/>
  <c r="U11" i="14" a="1"/>
  <c r="M11" i="14" a="1"/>
  <c r="Y11" i="14" a="1"/>
  <c r="N11" i="14" a="1"/>
  <c r="X11" i="14" a="1"/>
  <c r="S11" i="14" a="1"/>
  <c r="O11" i="14" a="1"/>
  <c r="R12" i="14" a="1"/>
  <c r="I12" i="14" a="1"/>
  <c r="E12" i="14" a="1"/>
  <c r="K12" i="14" a="1"/>
  <c r="J12" i="14" a="1"/>
  <c r="D12" i="14" a="1"/>
  <c r="AD12" i="14" a="1"/>
  <c r="W12" i="14" a="1"/>
  <c r="H12" i="14" a="1"/>
  <c r="C12" i="14" a="1"/>
  <c r="AA12" i="14" a="1"/>
  <c r="Z12" i="14" a="1"/>
  <c r="B12" i="14" a="1"/>
  <c r="G12" i="14" a="1"/>
  <c r="AC12" i="14" a="1"/>
  <c r="Y12" i="14" a="1"/>
  <c r="X12" i="14" a="1"/>
  <c r="U12" i="14" a="1"/>
  <c r="S12" i="14" a="1"/>
  <c r="O12" i="14" a="1"/>
  <c r="L12" i="14" a="1"/>
  <c r="F12" i="14" a="1"/>
  <c r="C19" i="15" s="1"/>
  <c r="P12" i="14" a="1"/>
  <c r="M12" i="14" a="1"/>
  <c r="N12" i="14" a="1"/>
  <c r="AB12" i="14" a="1"/>
  <c r="V12" i="14" a="1"/>
  <c r="Q12" i="14" a="1"/>
  <c r="T12" i="14" a="1"/>
  <c r="T13" i="14" a="1"/>
  <c r="F13" i="14" a="1"/>
  <c r="M13" i="14" a="1"/>
  <c r="AB13" i="14" a="1"/>
  <c r="R13" i="14" a="1"/>
  <c r="B13" i="14" a="1"/>
  <c r="C20" i="15" s="1"/>
  <c r="N13" i="14" a="1"/>
  <c r="E13" i="14" a="1"/>
  <c r="H13" i="14" a="1"/>
  <c r="AA13" i="14" a="1"/>
  <c r="V13" i="14" a="1"/>
  <c r="W13" i="14" a="1"/>
  <c r="L13" i="14" a="1"/>
  <c r="AD13" i="14" a="1"/>
  <c r="I13" i="14" a="1"/>
  <c r="D13" i="14" a="1"/>
  <c r="Y13" i="14" a="1"/>
  <c r="U13" i="14" a="1"/>
  <c r="P13" i="14" a="1"/>
  <c r="Q13" i="14" a="1"/>
  <c r="AC13" i="14" a="1"/>
  <c r="Z13" i="14" a="1"/>
  <c r="G13" i="14" a="1"/>
  <c r="C13" i="14" a="1"/>
  <c r="S13" i="14" a="1"/>
  <c r="O13" i="14" a="1"/>
  <c r="J13" i="14" a="1"/>
  <c r="K13" i="14" a="1"/>
  <c r="X13" i="14" a="1"/>
  <c r="X14" i="14" a="1"/>
  <c r="R14" i="14" a="1"/>
  <c r="AD14" i="14" a="1"/>
  <c r="B14" i="14" a="1"/>
  <c r="I14" i="14" a="1"/>
  <c r="Y14" i="14" a="1"/>
  <c r="C14" i="14" a="1"/>
  <c r="K14" i="14" a="1"/>
  <c r="L14" i="14" a="1"/>
  <c r="O14" i="14" a="1"/>
  <c r="M14" i="14" a="1"/>
  <c r="AB14" i="14" a="1"/>
  <c r="S14" i="14" a="1"/>
  <c r="AC14" i="14" a="1"/>
  <c r="E14" i="14" a="1"/>
  <c r="F14" i="14" a="1"/>
  <c r="J14" i="14" a="1"/>
  <c r="G14" i="14" a="1"/>
  <c r="U14" i="14" a="1"/>
  <c r="N14" i="14" a="1"/>
  <c r="W14" i="14" a="1"/>
  <c r="Z14" i="14" a="1"/>
  <c r="AA14" i="14" a="1"/>
  <c r="D14" i="14" a="1"/>
  <c r="P14" i="14" a="1"/>
  <c r="H14" i="14" a="1"/>
  <c r="Q14" i="14" a="1"/>
  <c r="T14" i="14" a="1"/>
  <c r="V14" i="14" a="1"/>
  <c r="Y15" i="14" a="1"/>
  <c r="E15" i="14" a="1"/>
  <c r="H15" i="14" a="1"/>
  <c r="AA15" i="14" a="1"/>
  <c r="F15" i="14" a="1"/>
  <c r="X15" i="14" a="1"/>
  <c r="C15" i="14" a="1"/>
  <c r="AB15" i="14" a="1"/>
  <c r="D15" i="14" a="1"/>
  <c r="T15" i="14" a="1"/>
  <c r="Z15" i="14" a="1"/>
  <c r="V15" i="14" a="1"/>
  <c r="S15" i="14" a="1"/>
  <c r="U15" i="14" a="1"/>
  <c r="AD15" i="14" a="1"/>
  <c r="AC15" i="14" a="1"/>
  <c r="G15" i="14" a="1"/>
  <c r="Q15" i="14" a="1"/>
  <c r="W15" i="14" a="1"/>
  <c r="O15" i="14" a="1"/>
  <c r="N15" i="14" a="1"/>
  <c r="P15" i="14" a="1"/>
  <c r="K15" i="14" a="1"/>
  <c r="R15" i="14" a="1"/>
  <c r="L15" i="14" a="1"/>
  <c r="I15" i="14" a="1"/>
  <c r="J15" i="14" a="1"/>
  <c r="B15" i="14" a="1"/>
  <c r="C22" i="15" s="1"/>
  <c r="M15" i="14" a="1"/>
  <c r="AC16" i="14" a="1"/>
  <c r="L16" i="14" a="1"/>
  <c r="S16" i="14" a="1"/>
  <c r="V16" i="14" a="1"/>
  <c r="T16" i="14" a="1"/>
  <c r="D16" i="14" a="1"/>
  <c r="Y16" i="14" a="1"/>
  <c r="G16" i="14" a="1"/>
  <c r="AD16" i="14" a="1"/>
  <c r="N16" i="14" a="1"/>
  <c r="O16" i="14" a="1"/>
  <c r="Q16" i="14" a="1"/>
  <c r="B16" i="14" a="1"/>
  <c r="E16" i="14" a="1"/>
  <c r="F16" i="14" a="1"/>
  <c r="C23" i="15" s="1"/>
  <c r="H16" i="14" a="1"/>
  <c r="U16" i="14" a="1"/>
  <c r="AA16" i="14" a="1"/>
  <c r="AB16" i="14" a="1"/>
  <c r="R16" i="14" a="1"/>
  <c r="P16" i="14" a="1"/>
  <c r="W16" i="14" a="1"/>
  <c r="Z16" i="14" a="1"/>
  <c r="X16" i="14" a="1"/>
  <c r="I16" i="14" a="1"/>
  <c r="C16" i="14" a="1"/>
  <c r="J16" i="14" a="1"/>
  <c r="K16" i="14" a="1"/>
  <c r="M16" i="14" a="1"/>
  <c r="W17" i="14" a="1"/>
  <c r="M17" i="14" a="1"/>
  <c r="L17" i="14" a="1"/>
  <c r="U17" i="14" a="1"/>
  <c r="P17" i="14" a="1"/>
  <c r="N17" i="14" a="1"/>
  <c r="Q17" i="14" a="1"/>
  <c r="B17" i="14" a="1"/>
  <c r="H17" i="14" a="1"/>
  <c r="AD17" i="14" a="1"/>
  <c r="F17" i="14" a="1"/>
  <c r="O17" i="14" a="1"/>
  <c r="J17" i="14" a="1"/>
  <c r="I17" i="14" a="1"/>
  <c r="AC17" i="14" a="1"/>
  <c r="T17" i="14" a="1"/>
  <c r="R17" i="14" a="1"/>
  <c r="AA17" i="14" a="1"/>
  <c r="C17" i="14" a="1"/>
  <c r="K17" i="14" a="1"/>
  <c r="E17" i="14" a="1"/>
  <c r="AB17" i="14" a="1"/>
  <c r="Z17" i="14" a="1"/>
  <c r="V17" i="14" a="1"/>
  <c r="S17" i="14" a="1"/>
  <c r="Y17" i="14" a="1"/>
  <c r="X17" i="14" a="1"/>
  <c r="G17" i="14" a="1"/>
  <c r="D17" i="14" a="1"/>
  <c r="H18" i="14" a="1"/>
  <c r="F18" i="14" a="1"/>
  <c r="AD18" i="14" a="1"/>
  <c r="G18" i="14" a="1"/>
  <c r="AA18" i="14" a="1"/>
  <c r="D18" i="14" a="1"/>
  <c r="I18" i="14" a="1"/>
  <c r="X18" i="14" a="1"/>
  <c r="R18" i="14" a="1"/>
  <c r="B18" i="14" a="1"/>
  <c r="L18" i="14" a="1"/>
  <c r="J18" i="14" a="1"/>
  <c r="E18" i="14" a="1"/>
  <c r="C18" i="14" a="1"/>
  <c r="AC18" i="14" a="1"/>
  <c r="AB18" i="14" a="1"/>
  <c r="V18" i="14" a="1"/>
  <c r="T18" i="14" a="1"/>
  <c r="S18" i="14" a="1"/>
  <c r="P18" i="14" a="1"/>
  <c r="K18" i="14" a="1"/>
  <c r="O18" i="14" a="1"/>
  <c r="M18" i="14" a="1"/>
  <c r="W18" i="14" a="1"/>
  <c r="Z18" i="14" a="1"/>
  <c r="Y18" i="14" a="1"/>
  <c r="U18" i="14" a="1"/>
  <c r="Q18" i="14" a="1"/>
  <c r="N18" i="14" a="1"/>
  <c r="S19" i="14" a="1"/>
  <c r="AA19" i="14" a="1"/>
  <c r="C19" i="14" a="1"/>
  <c r="AD19" i="14" a="1"/>
  <c r="E19" i="14" a="1"/>
  <c r="V19" i="14" a="1"/>
  <c r="AC19" i="14" a="1"/>
  <c r="G19" i="14" a="1"/>
  <c r="H19" i="14" a="1"/>
  <c r="K19" i="14" a="1"/>
  <c r="U19" i="14" a="1"/>
  <c r="W19" i="14" a="1"/>
  <c r="P19" i="14" a="1"/>
  <c r="X19" i="14" a="1"/>
  <c r="Z19" i="14" a="1"/>
  <c r="Y19" i="14" a="1"/>
  <c r="B19" i="14" a="1"/>
  <c r="AB19" i="14" a="1"/>
  <c r="M19" i="14" a="1"/>
  <c r="F19" i="14" a="1"/>
  <c r="O19" i="14" a="1"/>
  <c r="Q19" i="14" a="1"/>
  <c r="J19" i="14" a="1"/>
  <c r="T19" i="14" a="1"/>
  <c r="I19" i="14" a="1"/>
  <c r="L19" i="14" a="1"/>
  <c r="D19" i="14" a="1"/>
  <c r="N19" i="14" a="1"/>
  <c r="R19" i="14" a="1"/>
  <c r="B20" i="14" a="1"/>
  <c r="AA20" i="14" a="1"/>
  <c r="W20" i="14" a="1"/>
  <c r="S20" i="14" a="1"/>
  <c r="O20" i="14" a="1"/>
  <c r="K20" i="14" a="1"/>
  <c r="F20" i="14" a="1"/>
  <c r="D20" i="14" a="1"/>
  <c r="AD20" i="14" a="1"/>
  <c r="Z20" i="14" a="1"/>
  <c r="V20" i="14" a="1"/>
  <c r="R20" i="14" a="1"/>
  <c r="N20" i="14" a="1"/>
  <c r="G20" i="14" a="1"/>
  <c r="E20" i="14" a="1"/>
  <c r="X20" i="14" a="1"/>
  <c r="P20" i="14" a="1"/>
  <c r="J20" i="14" a="1"/>
  <c r="AC20" i="14" a="1"/>
  <c r="U20" i="14" a="1"/>
  <c r="M20" i="14" a="1"/>
  <c r="H20" i="14" a="1"/>
  <c r="AB20" i="14" a="1"/>
  <c r="T20" i="14" a="1"/>
  <c r="L20" i="14" a="1"/>
  <c r="C20" i="14" a="1"/>
  <c r="Y20" i="14" a="1"/>
  <c r="Q20" i="14" a="1"/>
  <c r="I20" i="14" a="1"/>
  <c r="AB21" i="14" a="1"/>
  <c r="X21" i="14" a="1"/>
  <c r="T21" i="14" a="1"/>
  <c r="B21" i="14" a="1"/>
  <c r="AA21" i="14" a="1"/>
  <c r="W21" i="14" a="1"/>
  <c r="S21" i="14" a="1"/>
  <c r="O21" i="14" a="1"/>
  <c r="K21" i="14" a="1"/>
  <c r="G21" i="14" a="1"/>
  <c r="C21" i="14" a="1"/>
  <c r="AD21" i="14" a="1"/>
  <c r="Z21" i="14" a="1"/>
  <c r="V21" i="14" a="1"/>
  <c r="R21" i="14" a="1"/>
  <c r="N21" i="14" a="1"/>
  <c r="J21" i="14" a="1"/>
  <c r="F21" i="14" a="1"/>
  <c r="U21" i="14" a="1"/>
  <c r="L21" i="14" a="1"/>
  <c r="D21" i="14" a="1"/>
  <c r="Q21" i="14" a="1"/>
  <c r="I21" i="14" a="1"/>
  <c r="AC21" i="14" a="1"/>
  <c r="P21" i="14" a="1"/>
  <c r="H21" i="14" a="1"/>
  <c r="Y21" i="14" a="1"/>
  <c r="M21" i="14" a="1"/>
  <c r="E21" i="14" a="1"/>
  <c r="AB22" i="14" a="1"/>
  <c r="X22" i="14" a="1"/>
  <c r="T22" i="14" a="1"/>
  <c r="P22" i="14" a="1"/>
  <c r="L22" i="14" a="1"/>
  <c r="H22" i="14" a="1"/>
  <c r="D22" i="14" a="1"/>
  <c r="B22" i="14" a="1"/>
  <c r="AA22" i="14" a="1"/>
  <c r="W22" i="14" a="1"/>
  <c r="S22" i="14" a="1"/>
  <c r="O22" i="14" a="1"/>
  <c r="K22" i="14" a="1"/>
  <c r="G22" i="14" a="1"/>
  <c r="C22" i="14" a="1"/>
  <c r="AD22" i="14" a="1"/>
  <c r="Z22" i="14" a="1"/>
  <c r="V22" i="14" a="1"/>
  <c r="R22" i="14" a="1"/>
  <c r="N22" i="14" a="1"/>
  <c r="J22" i="14" a="1"/>
  <c r="F22" i="14" a="1"/>
  <c r="Y22" i="14" a="1"/>
  <c r="I22" i="14" a="1"/>
  <c r="U22" i="14" a="1"/>
  <c r="E22" i="14" a="1"/>
  <c r="Q22" i="14" a="1"/>
  <c r="AC22" i="14" a="1"/>
  <c r="M22" i="14" a="1"/>
  <c r="AD23" i="14" a="1"/>
  <c r="Z23" i="14" a="1"/>
  <c r="V23" i="14" a="1"/>
  <c r="R23" i="14" a="1"/>
  <c r="N23" i="14" a="1"/>
  <c r="J23" i="14" a="1"/>
  <c r="F23" i="14" a="1"/>
  <c r="AC23" i="14" a="1"/>
  <c r="Y23" i="14" a="1"/>
  <c r="U23" i="14" a="1"/>
  <c r="Q23" i="14" a="1"/>
  <c r="M23" i="14" a="1"/>
  <c r="I23" i="14" a="1"/>
  <c r="E23" i="14" a="1"/>
  <c r="AB23" i="14" a="1"/>
  <c r="X23" i="14" a="1"/>
  <c r="T23" i="14" a="1"/>
  <c r="P23" i="14" a="1"/>
  <c r="L23" i="14" a="1"/>
  <c r="H23" i="14" a="1"/>
  <c r="D23" i="14" a="1"/>
  <c r="W23" i="14" a="1"/>
  <c r="G23" i="14" a="1"/>
  <c r="S23" i="14" a="1"/>
  <c r="C23" i="14" a="1"/>
  <c r="B23" i="14" a="1"/>
  <c r="O23" i="14" a="1"/>
  <c r="AA23" i="14" a="1"/>
  <c r="K23" i="14" a="1"/>
  <c r="T24" i="14" a="1"/>
  <c r="D24" i="14" a="1"/>
  <c r="R24" i="14" a="1"/>
  <c r="AA24" i="14" a="1"/>
  <c r="W24" i="14" a="1"/>
  <c r="M24" i="14" a="1"/>
  <c r="AB24" i="14" a="1"/>
  <c r="Z24" i="14" a="1"/>
  <c r="L24" i="14" a="1"/>
  <c r="C24" i="14" a="1"/>
  <c r="I24" i="14" a="1"/>
  <c r="U24" i="14" a="1"/>
  <c r="P24" i="14" a="1"/>
  <c r="X24" i="14" a="1"/>
  <c r="N24" i="14" a="1"/>
  <c r="B24" i="14" a="1"/>
  <c r="F24" i="14" a="1"/>
  <c r="AD24" i="14" a="1"/>
  <c r="O24" i="14" a="1"/>
  <c r="K24" i="14" a="1"/>
  <c r="Q24" i="14" a="1"/>
  <c r="Y24" i="14" a="1"/>
  <c r="H24" i="14" a="1"/>
  <c r="J24" i="14" a="1"/>
  <c r="E24" i="14" a="1"/>
  <c r="AC24" i="14" a="1"/>
  <c r="V24" i="14" a="1"/>
  <c r="S24" i="14" a="1"/>
  <c r="G24" i="14" a="1"/>
  <c r="F25" i="14" a="1"/>
  <c r="T25" i="14" a="1"/>
  <c r="K25" i="14" a="1"/>
  <c r="P25" i="14" a="1"/>
  <c r="Z25" i="14" a="1"/>
  <c r="H25" i="14" a="1"/>
  <c r="C25" i="14" a="1"/>
  <c r="AD25" i="14" a="1"/>
  <c r="M25" i="14" a="1"/>
  <c r="B25" i="14" a="1"/>
  <c r="D25" i="14" a="1"/>
  <c r="I25" i="14" a="1"/>
  <c r="S25" i="14" a="1"/>
  <c r="AB25" i="14" a="1"/>
  <c r="X25" i="14" a="1"/>
  <c r="U25" i="14" a="1"/>
  <c r="G25" i="14" a="1"/>
  <c r="Y25" i="14" a="1"/>
  <c r="AC25" i="14" a="1"/>
  <c r="L25" i="14" a="1"/>
  <c r="V25" i="14" a="1"/>
  <c r="Q25" i="14" a="1"/>
  <c r="R25" i="14" a="1"/>
  <c r="N25" i="14" a="1"/>
  <c r="W25" i="14" a="1"/>
  <c r="O25" i="14" a="1"/>
  <c r="AA25" i="14" a="1"/>
  <c r="J25" i="14" a="1"/>
  <c r="E25" i="14" a="1"/>
  <c r="C26" i="14" a="1"/>
  <c r="L26" i="14" a="1"/>
  <c r="J26" i="14" a="1"/>
  <c r="T26" i="14" a="1"/>
  <c r="H26" i="14" a="1"/>
  <c r="D26" i="14" a="1"/>
  <c r="AD26" i="14" a="1"/>
  <c r="W26" i="14" a="1"/>
  <c r="B26" i="14" a="1"/>
  <c r="E26" i="14" a="1"/>
  <c r="N26" i="14" a="1"/>
  <c r="AC26" i="14" a="1"/>
  <c r="AB26" i="14" a="1"/>
  <c r="Y26" i="14" a="1"/>
  <c r="R26" i="14" a="1"/>
  <c r="Z26" i="14" a="1"/>
  <c r="X26" i="14" a="1"/>
  <c r="F26" i="14" a="1"/>
  <c r="V26" i="14" a="1"/>
  <c r="U26" i="14" a="1"/>
  <c r="Q26" i="14" a="1"/>
  <c r="G26" i="14" a="1"/>
  <c r="S26" i="14" a="1"/>
  <c r="O26" i="14" a="1"/>
  <c r="P26" i="14" a="1"/>
  <c r="M26" i="14" a="1"/>
  <c r="AA26" i="14" a="1"/>
  <c r="K26" i="14" a="1"/>
  <c r="I26" i="14" a="1"/>
  <c r="AA27" i="14" a="1"/>
  <c r="O27" i="14" a="1"/>
  <c r="G27" i="14" a="1"/>
  <c r="U27" i="14" a="1"/>
  <c r="AB27" i="14" a="1"/>
  <c r="Z27" i="14" a="1"/>
  <c r="V27" i="14" a="1"/>
  <c r="R27" i="14" a="1"/>
  <c r="M27" i="14" a="1"/>
  <c r="T27" i="14" a="1"/>
  <c r="Q27" i="14" a="1"/>
  <c r="N27" i="14" a="1"/>
  <c r="I27" i="14" a="1"/>
  <c r="S27" i="14" a="1"/>
  <c r="D27" i="14" a="1"/>
  <c r="L27" i="14" a="1"/>
  <c r="J27" i="14" a="1"/>
  <c r="F27" i="14" a="1"/>
  <c r="X27" i="14" a="1"/>
  <c r="AC27" i="14" a="1"/>
  <c r="AD27" i="14" a="1"/>
  <c r="B27" i="14" a="1"/>
  <c r="Y27" i="14" a="1"/>
  <c r="K27" i="14" a="1"/>
  <c r="E27" i="14" a="1"/>
  <c r="H27" i="14" a="1"/>
  <c r="W27" i="14" a="1"/>
  <c r="C27" i="14" a="1"/>
  <c r="P27" i="14" a="1"/>
  <c r="V28" i="14" a="1"/>
  <c r="D28" i="14" a="1"/>
  <c r="I28" i="14" a="1"/>
  <c r="H28" i="14" a="1"/>
  <c r="G28" i="14" a="1"/>
  <c r="Y28" i="14" a="1"/>
  <c r="E28" i="14" a="1"/>
  <c r="C28" i="14" a="1"/>
  <c r="O28" i="14" a="1"/>
  <c r="T28" i="14" a="1"/>
  <c r="Q28" i="14" a="1"/>
  <c r="AB28" i="14" a="1"/>
  <c r="AA28" i="14" a="1"/>
  <c r="F28" i="14" a="1"/>
  <c r="L28" i="14" a="1"/>
  <c r="B28" i="14" a="1"/>
  <c r="U28" i="14" a="1"/>
  <c r="AD28" i="14" a="1"/>
  <c r="S28" i="14" a="1"/>
  <c r="X28" i="14" a="1"/>
  <c r="N28" i="14" a="1"/>
  <c r="R28" i="14" a="1"/>
  <c r="W28" i="14" a="1"/>
  <c r="K28" i="14" a="1"/>
  <c r="Z28" i="14" a="1"/>
  <c r="M28" i="14" a="1"/>
  <c r="P28" i="14" a="1"/>
  <c r="AC28" i="14" a="1"/>
  <c r="J28" i="14" a="1"/>
  <c r="Y29" i="14" a="1"/>
  <c r="B29" i="14" a="1"/>
  <c r="S29" i="14" a="1"/>
  <c r="J29" i="14" a="1"/>
  <c r="U29" i="14" a="1"/>
  <c r="AA29" i="14" a="1"/>
  <c r="W29" i="14" a="1"/>
  <c r="O29" i="14" a="1"/>
  <c r="D29" i="14" a="1"/>
  <c r="L29" i="14" a="1"/>
  <c r="X29" i="14" a="1"/>
  <c r="N29" i="14" a="1"/>
  <c r="M29" i="14" a="1"/>
  <c r="V29" i="14" a="1"/>
  <c r="AD29" i="14" a="1"/>
  <c r="E29" i="14" a="1"/>
  <c r="Q29" i="14" a="1"/>
  <c r="G29" i="14" a="1"/>
  <c r="F29" i="14" a="1"/>
  <c r="H29" i="14" a="1"/>
  <c r="R29" i="14" a="1"/>
  <c r="AC29" i="14" a="1"/>
  <c r="C29" i="14" a="1"/>
  <c r="P29" i="14" a="1"/>
  <c r="Z29" i="14" a="1"/>
  <c r="T29" i="14" a="1"/>
  <c r="I29" i="14" a="1"/>
  <c r="K29" i="14" a="1"/>
  <c r="AB29" i="14" a="1"/>
  <c r="B30" i="14" a="1"/>
  <c r="AA30" i="14" a="1"/>
  <c r="W30" i="14" a="1"/>
  <c r="S30" i="14" a="1"/>
  <c r="O30" i="14" a="1"/>
  <c r="K30" i="14" a="1"/>
  <c r="G30" i="14" a="1"/>
  <c r="C30" i="14" a="1"/>
  <c r="AC30" i="14" a="1"/>
  <c r="X30" i="14" a="1"/>
  <c r="R30" i="14" a="1"/>
  <c r="M30" i="14" a="1"/>
  <c r="H30" i="14" a="1"/>
  <c r="AB30" i="14" a="1"/>
  <c r="V30" i="14" a="1"/>
  <c r="Q30" i="14" a="1"/>
  <c r="L30" i="14" a="1"/>
  <c r="F30" i="14" a="1"/>
  <c r="Z30" i="14" a="1"/>
  <c r="U30" i="14" a="1"/>
  <c r="P30" i="14" a="1"/>
  <c r="J30" i="14" a="1"/>
  <c r="E30" i="14" a="1"/>
  <c r="AD30" i="14" a="1"/>
  <c r="I30" i="14" a="1"/>
  <c r="Y30" i="14" a="1"/>
  <c r="D30" i="14" a="1"/>
  <c r="T30" i="14" a="1"/>
  <c r="N30" i="14" a="1"/>
  <c r="E10" i="15" l="1"/>
  <c r="E16" i="15"/>
  <c r="E18" i="15"/>
  <c r="E19" i="15"/>
  <c r="E23" i="15"/>
  <c r="C11" i="15"/>
  <c r="C13" i="15"/>
  <c r="C14" i="15"/>
  <c r="C15" i="15"/>
  <c r="C17" i="15"/>
  <c r="C21" i="15"/>
  <c r="C24" i="15"/>
  <c r="C25" i="15"/>
  <c r="E12" i="15"/>
  <c r="E20" i="15"/>
  <c r="E22" i="15"/>
  <c r="E11" i="15" l="1"/>
  <c r="E13" i="15"/>
  <c r="E15" i="15"/>
  <c r="E21" i="15"/>
  <c r="E14" i="15"/>
  <c r="E17" i="15"/>
  <c r="E25" i="15"/>
  <c r="E24" i="15"/>
  <c r="J8" i="15" l="1" a="1"/>
  <c r="AO21" i="15" l="1"/>
  <c r="AJ21" i="15"/>
  <c r="AN25" i="15" a="1"/>
  <c r="AN32" i="15" a="1"/>
  <c r="AN23" i="15" a="1"/>
  <c r="AK29" i="15" a="1"/>
  <c r="AK37" i="15" a="1"/>
  <c r="AN28" i="15" a="1"/>
  <c r="AN29" i="15" a="1"/>
  <c r="AN35" i="15" a="1"/>
  <c r="AK28" i="15" a="1"/>
  <c r="AK34" i="15" a="1"/>
  <c r="AK24" i="15" a="1"/>
  <c r="AK31" i="15" a="1"/>
  <c r="AK23" i="15" a="1"/>
  <c r="AN24" i="15" a="1"/>
  <c r="AN30" i="15" a="1"/>
  <c r="AN34" i="15" a="1"/>
  <c r="AK26" i="15" a="1"/>
  <c r="AK33" i="15" a="1"/>
  <c r="AN26" i="15" a="1"/>
  <c r="AN33" i="15" a="1"/>
  <c r="AN37" i="15" a="1"/>
  <c r="AK30" i="15" a="1"/>
  <c r="AK36" i="15" a="1"/>
  <c r="AK25" i="15" a="1"/>
  <c r="AK32" i="15" a="1"/>
  <c r="AN27" i="15" a="1"/>
  <c r="AN31" i="15" a="1"/>
  <c r="AN36" i="15" a="1"/>
  <c r="AK27" i="15" a="1"/>
  <c r="AK35" i="15" a="1"/>
  <c r="U32" i="15" a="1"/>
  <c r="AK3" i="15" a="1"/>
  <c r="X23" i="15" a="1"/>
  <c r="AF35" i="15" a="1"/>
  <c r="AF33" i="15" a="1"/>
  <c r="U25" i="15" a="1"/>
  <c r="AK12" i="15" a="1"/>
  <c r="AF28" i="15" a="1"/>
  <c r="AN17" i="15" a="1"/>
  <c r="X27" i="15" a="1"/>
  <c r="X33" i="15" a="1"/>
  <c r="U28" i="15" a="1"/>
  <c r="X37" i="15" a="1"/>
  <c r="AN15" i="15" a="1"/>
  <c r="AK5" i="15" a="1"/>
  <c r="AK11" i="15" a="1"/>
  <c r="AK17" i="15" a="1"/>
  <c r="AF34" i="15" a="1"/>
  <c r="AC25" i="15" a="1"/>
  <c r="AC29" i="15" a="1"/>
  <c r="AC35" i="15" a="1"/>
  <c r="U26" i="15" a="1"/>
  <c r="X26" i="15" a="1"/>
  <c r="AN6" i="15" a="1"/>
  <c r="X34" i="15" a="1"/>
  <c r="U24" i="15" a="1"/>
  <c r="AC36" i="15" a="1"/>
  <c r="AN11" i="15" a="1"/>
  <c r="AN16" i="15" a="1"/>
  <c r="AF26" i="15" a="1"/>
  <c r="AC26" i="15" a="1"/>
  <c r="AC32" i="15" a="1"/>
  <c r="U23" i="15" a="1"/>
  <c r="X29" i="15" a="1"/>
  <c r="T21" i="15"/>
  <c r="AK8" i="15" a="1"/>
  <c r="AN13" i="15" a="1"/>
  <c r="AK10" i="15" a="1"/>
  <c r="AK15" i="15" a="1"/>
  <c r="AF25" i="15" a="1"/>
  <c r="AF27" i="15" a="1"/>
  <c r="AF32" i="15" a="1"/>
  <c r="AF37" i="15" a="1"/>
  <c r="AC31" i="15" a="1"/>
  <c r="Y21" i="15"/>
  <c r="AJ1" i="15"/>
  <c r="X35" i="15" a="1"/>
  <c r="AC23" i="15" a="1"/>
  <c r="AC34" i="15" a="1"/>
  <c r="AK4" i="15" a="1"/>
  <c r="AG21" i="15"/>
  <c r="AK6" i="15" a="1"/>
  <c r="U27" i="15" a="1"/>
  <c r="AN4" i="15" a="1"/>
  <c r="AF30" i="15" a="1"/>
  <c r="AF36" i="15" a="1"/>
  <c r="AC27" i="15" a="1"/>
  <c r="AC33" i="15" a="1"/>
  <c r="X24" i="15" a="1"/>
  <c r="U29" i="15" a="1"/>
  <c r="U36" i="15" a="1"/>
  <c r="AN7" i="15" a="1"/>
  <c r="AC30" i="15" a="1"/>
  <c r="AK14" i="15" a="1"/>
  <c r="AF23" i="15" a="1"/>
  <c r="AF31" i="15" a="1"/>
  <c r="AN12" i="15" a="1"/>
  <c r="AN3" i="15" a="1"/>
  <c r="AK9" i="15" a="1"/>
  <c r="U33" i="15" a="1"/>
  <c r="AK13" i="15" a="1"/>
  <c r="AC24" i="15" a="1"/>
  <c r="X25" i="15" a="1"/>
  <c r="AN9" i="15" a="1"/>
  <c r="AC37" i="15" a="1"/>
  <c r="AN10" i="15" a="1"/>
  <c r="AC28" i="15" a="1"/>
  <c r="AN14" i="15" a="1"/>
  <c r="AK7" i="15" a="1"/>
  <c r="X30" i="15" a="1"/>
  <c r="U34" i="15" a="1"/>
  <c r="AN5" i="15" a="1"/>
  <c r="X31" i="15" a="1"/>
  <c r="U30" i="15" a="1"/>
  <c r="U35" i="15" a="1"/>
  <c r="U31" i="15" a="1"/>
  <c r="U37" i="15" a="1"/>
  <c r="AN8" i="15" a="1"/>
  <c r="X28" i="15" a="1"/>
  <c r="X32" i="15" a="1"/>
  <c r="X36" i="15" a="1"/>
  <c r="AK16" i="15" a="1"/>
  <c r="AF24" i="15" a="1"/>
  <c r="AO1" i="15"/>
  <c r="AB21" i="15"/>
  <c r="AF29" i="15" a="1"/>
  <c r="AF13" i="15" a="1"/>
  <c r="AC8" i="15" a="1"/>
  <c r="AC14" i="15" a="1"/>
  <c r="AC6" i="15" a="1"/>
  <c r="AF16" i="15" a="1"/>
  <c r="AC3" i="15" a="1"/>
  <c r="Y1" i="15"/>
  <c r="AF3" i="15" a="1"/>
  <c r="AF5" i="15" a="1"/>
  <c r="AF11" i="15" a="1"/>
  <c r="AC11" i="15" a="1"/>
  <c r="AC16" i="15" a="1"/>
  <c r="AG1" i="15"/>
  <c r="AB1" i="15"/>
  <c r="AC17" i="15" a="1"/>
  <c r="AC13" i="15" a="1"/>
  <c r="AF17" i="15" a="1"/>
  <c r="AC5" i="15" a="1"/>
  <c r="AF4" i="15" a="1"/>
  <c r="AC9" i="15" a="1"/>
  <c r="AC4" i="15" a="1"/>
  <c r="AF9" i="15" a="1"/>
  <c r="AC10" i="15" a="1"/>
  <c r="AF15" i="15" a="1"/>
  <c r="AF8" i="15" a="1"/>
  <c r="AC15" i="15" a="1"/>
  <c r="AC12" i="15" a="1"/>
  <c r="AF6" i="15" a="1"/>
  <c r="AF12" i="15" a="1"/>
  <c r="AF14" i="15" a="1"/>
  <c r="AC7" i="15" a="1"/>
  <c r="AF10" i="15" a="1"/>
  <c r="AF7" i="15" a="1"/>
  <c r="N44" i="15" l="1"/>
  <c r="AN37" i="15"/>
  <c r="AM37" i="15" s="1"/>
  <c r="AO37" i="15" s="1"/>
  <c r="AK37" i="15"/>
  <c r="AJ37" i="15" s="1"/>
  <c r="AL37" i="15" s="1"/>
  <c r="AF37" i="15"/>
  <c r="AC37" i="15"/>
  <c r="X37" i="15"/>
  <c r="U37" i="15"/>
  <c r="B37" i="15"/>
  <c r="AN36" i="15"/>
  <c r="AM36" i="15" s="1"/>
  <c r="AO36" i="15" s="1"/>
  <c r="AK36" i="15"/>
  <c r="AJ36" i="15" s="1"/>
  <c r="AL36" i="15" s="1"/>
  <c r="AF36" i="15"/>
  <c r="AC36" i="15"/>
  <c r="X36" i="15"/>
  <c r="U36" i="15"/>
  <c r="B36" i="15"/>
  <c r="AN35" i="15"/>
  <c r="AM35" i="15" s="1"/>
  <c r="AO35" i="15" s="1"/>
  <c r="AK35" i="15"/>
  <c r="AJ35" i="15" s="1"/>
  <c r="AL35" i="15" s="1"/>
  <c r="AF35" i="15"/>
  <c r="AC35" i="15"/>
  <c r="X35" i="15"/>
  <c r="U35" i="15"/>
  <c r="B35" i="15"/>
  <c r="AN34" i="15"/>
  <c r="AM34" i="15" s="1"/>
  <c r="AO34" i="15" s="1"/>
  <c r="AK34" i="15"/>
  <c r="AJ34" i="15" s="1"/>
  <c r="AL34" i="15" s="1"/>
  <c r="AF34" i="15"/>
  <c r="AC34" i="15"/>
  <c r="X34" i="15"/>
  <c r="U34" i="15"/>
  <c r="B34" i="15"/>
  <c r="AN33" i="15"/>
  <c r="AM33" i="15" s="1"/>
  <c r="AO33" i="15" s="1"/>
  <c r="AK33" i="15"/>
  <c r="AJ33" i="15" s="1"/>
  <c r="AL33" i="15" s="1"/>
  <c r="AF33" i="15"/>
  <c r="AC33" i="15"/>
  <c r="X33" i="15"/>
  <c r="U33" i="15"/>
  <c r="B33" i="15"/>
  <c r="AN32" i="15"/>
  <c r="AM32" i="15" s="1"/>
  <c r="AO32" i="15" s="1"/>
  <c r="AK32" i="15"/>
  <c r="AJ32" i="15" s="1"/>
  <c r="AL32" i="15" s="1"/>
  <c r="AF32" i="15"/>
  <c r="AC32" i="15"/>
  <c r="X32" i="15"/>
  <c r="U32" i="15"/>
  <c r="B32" i="15"/>
  <c r="AN31" i="15"/>
  <c r="AM31" i="15" s="1"/>
  <c r="AO31" i="15" s="1"/>
  <c r="AK31" i="15"/>
  <c r="AJ31" i="15" s="1"/>
  <c r="AL31" i="15" s="1"/>
  <c r="AF31" i="15"/>
  <c r="AC31" i="15"/>
  <c r="X31" i="15"/>
  <c r="U31" i="15"/>
  <c r="B31" i="15"/>
  <c r="AN30" i="15"/>
  <c r="AM30" i="15" s="1"/>
  <c r="AO30" i="15" s="1"/>
  <c r="AK30" i="15"/>
  <c r="AJ30" i="15" s="1"/>
  <c r="AL30" i="15" s="1"/>
  <c r="AF30" i="15"/>
  <c r="AC30" i="15"/>
  <c r="X30" i="15"/>
  <c r="U30" i="15"/>
  <c r="B30" i="15"/>
  <c r="AN29" i="15"/>
  <c r="AM29" i="15" s="1"/>
  <c r="AO29" i="15" s="1"/>
  <c r="AK29" i="15"/>
  <c r="AJ29" i="15" s="1"/>
  <c r="AL29" i="15" s="1"/>
  <c r="AF29" i="15"/>
  <c r="AC29" i="15"/>
  <c r="X29" i="15"/>
  <c r="U29" i="15"/>
  <c r="B29" i="15"/>
  <c r="AN28" i="15"/>
  <c r="AM28" i="15" s="1"/>
  <c r="AO28" i="15" s="1"/>
  <c r="AK28" i="15"/>
  <c r="AJ28" i="15" s="1"/>
  <c r="AL28" i="15" s="1"/>
  <c r="AF28" i="15"/>
  <c r="AC28" i="15"/>
  <c r="X28" i="15"/>
  <c r="U28" i="15"/>
  <c r="B28" i="15"/>
  <c r="AN27" i="15"/>
  <c r="AM27" i="15" s="1"/>
  <c r="AO27" i="15" s="1"/>
  <c r="AK27" i="15"/>
  <c r="AJ27" i="15" s="1"/>
  <c r="AL27" i="15" s="1"/>
  <c r="AF27" i="15"/>
  <c r="AC27" i="15"/>
  <c r="X27" i="15"/>
  <c r="U27" i="15"/>
  <c r="B27" i="15"/>
  <c r="AN26" i="15"/>
  <c r="AM26" i="15" s="1"/>
  <c r="AO26" i="15" s="1"/>
  <c r="AK26" i="15"/>
  <c r="AJ26" i="15" s="1"/>
  <c r="AL26" i="15" s="1"/>
  <c r="AF26" i="15"/>
  <c r="AC26" i="15"/>
  <c r="X26" i="15"/>
  <c r="U26" i="15"/>
  <c r="B26" i="15"/>
  <c r="AN25" i="15"/>
  <c r="AM25" i="15" s="1"/>
  <c r="AO25" i="15" s="1"/>
  <c r="AK25" i="15"/>
  <c r="AJ25" i="15" s="1"/>
  <c r="AL25" i="15" s="1"/>
  <c r="AF25" i="15"/>
  <c r="AC25" i="15"/>
  <c r="X25" i="15"/>
  <c r="U25" i="15"/>
  <c r="B25" i="15"/>
  <c r="AN24" i="15"/>
  <c r="AM24" i="15" s="1"/>
  <c r="AO24" i="15" s="1"/>
  <c r="AK24" i="15"/>
  <c r="AJ24" i="15" s="1"/>
  <c r="AL24" i="15" s="1"/>
  <c r="AF24" i="15"/>
  <c r="AC24" i="15"/>
  <c r="X24" i="15"/>
  <c r="U24" i="15"/>
  <c r="B24" i="15"/>
  <c r="AN23" i="15"/>
  <c r="AK23" i="15"/>
  <c r="AF23" i="15"/>
  <c r="AC23" i="15"/>
  <c r="X23" i="15"/>
  <c r="U23" i="15"/>
  <c r="B23" i="15"/>
  <c r="B22" i="15"/>
  <c r="B21" i="15"/>
  <c r="B20" i="15"/>
  <c r="B19" i="15"/>
  <c r="B18" i="15"/>
  <c r="AN17" i="15"/>
  <c r="AK17" i="15"/>
  <c r="AF17" i="15"/>
  <c r="AC17" i="15"/>
  <c r="B17" i="15"/>
  <c r="AN16" i="15"/>
  <c r="AK16" i="15"/>
  <c r="AF16" i="15"/>
  <c r="AC16" i="15"/>
  <c r="B16" i="15"/>
  <c r="AN15" i="15"/>
  <c r="AK15" i="15"/>
  <c r="AF15" i="15"/>
  <c r="AC15" i="15"/>
  <c r="B15" i="15"/>
  <c r="AN14" i="15"/>
  <c r="AK14" i="15"/>
  <c r="AF14" i="15"/>
  <c r="AC14" i="15"/>
  <c r="B14" i="15"/>
  <c r="AN13" i="15"/>
  <c r="AK13" i="15"/>
  <c r="AF13" i="15"/>
  <c r="AC13" i="15"/>
  <c r="B13" i="15"/>
  <c r="AN12" i="15"/>
  <c r="AK12" i="15"/>
  <c r="AF12" i="15"/>
  <c r="AC12" i="15"/>
  <c r="B12" i="15"/>
  <c r="AN11" i="15"/>
  <c r="AK11" i="15"/>
  <c r="AF11" i="15"/>
  <c r="AC11" i="15"/>
  <c r="B11" i="15"/>
  <c r="AN10" i="15"/>
  <c r="AK10" i="15"/>
  <c r="AF10" i="15"/>
  <c r="AC10" i="15"/>
  <c r="B10" i="15"/>
  <c r="AN9" i="15"/>
  <c r="AK9" i="15"/>
  <c r="AF9" i="15"/>
  <c r="AC9" i="15"/>
  <c r="B9" i="15"/>
  <c r="A9" i="15"/>
  <c r="AN8" i="15"/>
  <c r="AK8" i="15"/>
  <c r="AF8" i="15"/>
  <c r="AC8" i="15"/>
  <c r="J8" i="15"/>
  <c r="AN7" i="15"/>
  <c r="AK7" i="15"/>
  <c r="AF7" i="15"/>
  <c r="AC7" i="15"/>
  <c r="AN6" i="15"/>
  <c r="AK6" i="15"/>
  <c r="AF6" i="15"/>
  <c r="AC6" i="15"/>
  <c r="AN5" i="15"/>
  <c r="AK5" i="15"/>
  <c r="AF5" i="15"/>
  <c r="AC5" i="15"/>
  <c r="AN4" i="15"/>
  <c r="AK4" i="15"/>
  <c r="AF4" i="15"/>
  <c r="AC4" i="15"/>
  <c r="AN3" i="15"/>
  <c r="AK3" i="15"/>
  <c r="AF3" i="15"/>
  <c r="AC3" i="15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2" i="14"/>
  <c r="B1" i="14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AE36" i="13"/>
  <c r="AD36" i="13"/>
  <c r="AC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AE35" i="13"/>
  <c r="AD35" i="13"/>
  <c r="AC35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E7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E5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AV1" i="13"/>
  <c r="AU1" i="13"/>
  <c r="AT1" i="13"/>
  <c r="AS1" i="13"/>
  <c r="AR1" i="13"/>
  <c r="AQ1" i="13"/>
  <c r="AP1" i="13"/>
  <c r="AO1" i="13"/>
  <c r="AN1" i="13"/>
  <c r="AM1" i="13"/>
  <c r="AL1" i="13"/>
  <c r="AK1" i="13"/>
  <c r="AJ1" i="13"/>
  <c r="C1" i="13"/>
  <c r="A2" i="8"/>
  <c r="B1" i="8"/>
  <c r="A2" i="7"/>
  <c r="B1" i="7"/>
  <c r="A2" i="6"/>
  <c r="B1" i="6"/>
  <c r="A2" i="5"/>
  <c r="B1" i="5"/>
  <c r="C1" i="11"/>
  <c r="AD3" i="15" l="1"/>
  <c r="AB3" i="15"/>
  <c r="AE3" i="15"/>
  <c r="AG3" i="15"/>
  <c r="AJ3" i="15"/>
  <c r="AL3" i="15"/>
  <c r="AO3" i="15"/>
  <c r="AM3" i="15"/>
  <c r="AD4" i="15"/>
  <c r="AB4" i="15"/>
  <c r="AG4" i="15"/>
  <c r="AE4" i="15"/>
  <c r="AL4" i="15"/>
  <c r="AJ4" i="15"/>
  <c r="AM4" i="15"/>
  <c r="AO4" i="15"/>
  <c r="AD5" i="15"/>
  <c r="AB5" i="15"/>
  <c r="AE5" i="15"/>
  <c r="AG5" i="15"/>
  <c r="AJ5" i="15"/>
  <c r="AL5" i="15"/>
  <c r="AO5" i="15"/>
  <c r="AM5" i="15"/>
  <c r="AD6" i="15"/>
  <c r="AB6" i="15"/>
  <c r="AG6" i="15"/>
  <c r="AE6" i="15"/>
  <c r="AL6" i="15"/>
  <c r="AJ6" i="15"/>
  <c r="AM6" i="15"/>
  <c r="AO6" i="15"/>
  <c r="AB7" i="15"/>
  <c r="AD7" i="15"/>
  <c r="AG7" i="15"/>
  <c r="AE7" i="15"/>
  <c r="AJ7" i="15"/>
  <c r="AL7" i="15"/>
  <c r="AM7" i="15"/>
  <c r="AO7" i="15"/>
  <c r="U7" i="15" a="1"/>
  <c r="U7" i="15" s="1"/>
  <c r="X17" i="15" a="1"/>
  <c r="X17" i="15" s="1"/>
  <c r="X7" i="15" a="1"/>
  <c r="X7" i="15" s="1"/>
  <c r="U3" i="15" a="1"/>
  <c r="U3" i="15" s="1"/>
  <c r="X12" i="15" a="1"/>
  <c r="X12" i="15" s="1"/>
  <c r="U15" i="15" a="1"/>
  <c r="U15" i="15" s="1"/>
  <c r="X5" i="15" a="1"/>
  <c r="X5" i="15" s="1"/>
  <c r="X11" i="15" a="1"/>
  <c r="X11" i="15" s="1"/>
  <c r="X16" i="15" a="1"/>
  <c r="X16" i="15" s="1"/>
  <c r="U6" i="15" a="1"/>
  <c r="U6" i="15" s="1"/>
  <c r="U12" i="15" a="1"/>
  <c r="U12" i="15" s="1"/>
  <c r="X3" i="15" a="1"/>
  <c r="X3" i="15" s="1"/>
  <c r="U5" i="15" a="1"/>
  <c r="U5" i="15" s="1"/>
  <c r="X4" i="15" a="1"/>
  <c r="X4" i="15" s="1"/>
  <c r="X10" i="15" a="1"/>
  <c r="X10" i="15" s="1"/>
  <c r="X15" i="15" a="1"/>
  <c r="X15" i="15" s="1"/>
  <c r="U9" i="15" a="1"/>
  <c r="U9" i="15" s="1"/>
  <c r="U14" i="15" a="1"/>
  <c r="U14" i="15" s="1"/>
  <c r="X13" i="15" a="1"/>
  <c r="X13" i="15" s="1"/>
  <c r="U13" i="15" a="1"/>
  <c r="U13" i="15" s="1"/>
  <c r="X8" i="15" a="1"/>
  <c r="X8" i="15" s="1"/>
  <c r="X14" i="15" a="1"/>
  <c r="X14" i="15" s="1"/>
  <c r="U4" i="15" a="1"/>
  <c r="U4" i="15" s="1"/>
  <c r="U10" i="15" a="1"/>
  <c r="U10" i="15" s="1"/>
  <c r="U16" i="15" a="1"/>
  <c r="U16" i="15" s="1"/>
  <c r="X6" i="15" a="1"/>
  <c r="X6" i="15" s="1"/>
  <c r="U17" i="15" a="1"/>
  <c r="U17" i="15" s="1"/>
  <c r="U8" i="15" a="1"/>
  <c r="U8" i="15" s="1"/>
  <c r="U11" i="15" a="1"/>
  <c r="U11" i="15" s="1"/>
  <c r="X9" i="15" a="1"/>
  <c r="X9" i="15" s="1"/>
  <c r="T1" i="15"/>
  <c r="AB8" i="15"/>
  <c r="AD8" i="15"/>
  <c r="AG8" i="15"/>
  <c r="AE8" i="15"/>
  <c r="AL8" i="15"/>
  <c r="AJ8" i="15"/>
  <c r="AM8" i="15"/>
  <c r="AO8" i="15"/>
  <c r="AD9" i="15"/>
  <c r="AB9" i="15"/>
  <c r="AE9" i="15"/>
  <c r="AG9" i="15"/>
  <c r="AJ9" i="15"/>
  <c r="AL9" i="15"/>
  <c r="AO9" i="15"/>
  <c r="AM9" i="15"/>
  <c r="AB10" i="15"/>
  <c r="AD10" i="15"/>
  <c r="AE10" i="15"/>
  <c r="AG10" i="15"/>
  <c r="AJ10" i="15"/>
  <c r="AL10" i="15"/>
  <c r="AM10" i="15"/>
  <c r="AO10" i="15"/>
  <c r="AB11" i="15"/>
  <c r="AD11" i="15"/>
  <c r="AE11" i="15"/>
  <c r="AG11" i="15"/>
  <c r="AL11" i="15"/>
  <c r="AJ11" i="15"/>
  <c r="AM11" i="15"/>
  <c r="AO11" i="15"/>
  <c r="AB12" i="15"/>
  <c r="AD12" i="15"/>
  <c r="AE12" i="15"/>
  <c r="AG12" i="15"/>
  <c r="AL12" i="15"/>
  <c r="AJ12" i="15"/>
  <c r="AM12" i="15"/>
  <c r="AO12" i="15"/>
  <c r="AB13" i="15"/>
  <c r="AD13" i="15"/>
  <c r="AE13" i="15"/>
  <c r="AG13" i="15"/>
  <c r="AJ13" i="15"/>
  <c r="AL13" i="15"/>
  <c r="AM13" i="15"/>
  <c r="AO13" i="15"/>
  <c r="AD14" i="15"/>
  <c r="AB14" i="15"/>
  <c r="AE14" i="15"/>
  <c r="AG14" i="15"/>
  <c r="AL14" i="15"/>
  <c r="AJ14" i="15"/>
  <c r="AM14" i="15"/>
  <c r="AO14" i="15"/>
  <c r="AB15" i="15"/>
  <c r="AD15" i="15"/>
  <c r="AG15" i="15"/>
  <c r="AE15" i="15"/>
  <c r="AJ15" i="15"/>
  <c r="AL15" i="15"/>
  <c r="AO15" i="15"/>
  <c r="AM15" i="15"/>
  <c r="AD16" i="15"/>
  <c r="AB16" i="15"/>
  <c r="AG16" i="15"/>
  <c r="AE16" i="15"/>
  <c r="AJ16" i="15"/>
  <c r="AL16" i="15"/>
  <c r="AM16" i="15"/>
  <c r="AO16" i="15"/>
  <c r="AB17" i="15"/>
  <c r="AD17" i="15"/>
  <c r="AG17" i="15"/>
  <c r="AE17" i="15"/>
  <c r="AJ17" i="15"/>
  <c r="AL17" i="15"/>
  <c r="AO17" i="15"/>
  <c r="AM17" i="15"/>
  <c r="V23" i="15"/>
  <c r="T23" i="15"/>
  <c r="W23" i="15"/>
  <c r="Y23" i="15"/>
  <c r="AB23" i="15"/>
  <c r="AD23" i="15"/>
  <c r="AG23" i="15"/>
  <c r="AE23" i="15"/>
  <c r="AL23" i="15"/>
  <c r="AJ23" i="15"/>
  <c r="AO23" i="15"/>
  <c r="AM23" i="15"/>
  <c r="T24" i="15"/>
  <c r="V24" i="15"/>
  <c r="W24" i="15"/>
  <c r="Y24" i="15"/>
  <c r="AB24" i="15"/>
  <c r="AD24" i="15"/>
  <c r="AG24" i="15"/>
  <c r="AE24" i="15"/>
  <c r="T25" i="15"/>
  <c r="V25" i="15"/>
  <c r="Y25" i="15"/>
  <c r="W25" i="15"/>
  <c r="AB25" i="15"/>
  <c r="AD25" i="15"/>
  <c r="AG25" i="15"/>
  <c r="AE25" i="15"/>
  <c r="V26" i="15"/>
  <c r="T26" i="15"/>
  <c r="Y26" i="15"/>
  <c r="W26" i="15"/>
  <c r="AB26" i="15"/>
  <c r="AD26" i="15"/>
  <c r="AG26" i="15"/>
  <c r="AE26" i="15"/>
  <c r="V27" i="15"/>
  <c r="T27" i="15"/>
  <c r="Y27" i="15"/>
  <c r="W27" i="15"/>
  <c r="AB27" i="15"/>
  <c r="AD27" i="15"/>
  <c r="AE27" i="15"/>
  <c r="AG27" i="15"/>
  <c r="V28" i="15"/>
  <c r="T28" i="15"/>
  <c r="Y28" i="15"/>
  <c r="W28" i="15"/>
  <c r="AB28" i="15"/>
  <c r="AD28" i="15"/>
  <c r="AG28" i="15"/>
  <c r="AE28" i="15"/>
  <c r="V29" i="15"/>
  <c r="T29" i="15"/>
  <c r="W29" i="15"/>
  <c r="Y29" i="15"/>
  <c r="AD29" i="15"/>
  <c r="AB29" i="15"/>
  <c r="AG29" i="15"/>
  <c r="AE29" i="15"/>
  <c r="V30" i="15"/>
  <c r="T30" i="15"/>
  <c r="Y30" i="15"/>
  <c r="W30" i="15"/>
  <c r="AD30" i="15"/>
  <c r="AB30" i="15"/>
  <c r="AG30" i="15"/>
  <c r="AE30" i="15"/>
  <c r="V31" i="15"/>
  <c r="T31" i="15"/>
  <c r="Y31" i="15"/>
  <c r="W31" i="15"/>
  <c r="AD31" i="15"/>
  <c r="AB31" i="15"/>
  <c r="AE31" i="15"/>
  <c r="AG31" i="15"/>
  <c r="V32" i="15"/>
  <c r="T32" i="15"/>
  <c r="Y32" i="15"/>
  <c r="W32" i="15"/>
  <c r="AB32" i="15"/>
  <c r="AD32" i="15"/>
  <c r="AE32" i="15"/>
  <c r="AG32" i="15"/>
  <c r="V33" i="15"/>
  <c r="T33" i="15"/>
  <c r="W33" i="15"/>
  <c r="Y33" i="15"/>
  <c r="AB33" i="15"/>
  <c r="AD33" i="15"/>
  <c r="AG33" i="15"/>
  <c r="AE33" i="15"/>
  <c r="V34" i="15"/>
  <c r="T34" i="15"/>
  <c r="Y34" i="15"/>
  <c r="W34" i="15"/>
  <c r="AD34" i="15"/>
  <c r="AB34" i="15"/>
  <c r="AG34" i="15"/>
  <c r="AE34" i="15"/>
  <c r="V35" i="15"/>
  <c r="T35" i="15"/>
  <c r="Y35" i="15"/>
  <c r="W35" i="15"/>
  <c r="AB35" i="15"/>
  <c r="AD35" i="15"/>
  <c r="AG35" i="15"/>
  <c r="AE35" i="15"/>
  <c r="V36" i="15"/>
  <c r="T36" i="15"/>
  <c r="W36" i="15"/>
  <c r="Y36" i="15"/>
  <c r="AD36" i="15"/>
  <c r="AB36" i="15"/>
  <c r="AG36" i="15"/>
  <c r="AE36" i="15"/>
  <c r="V37" i="15"/>
  <c r="T37" i="15"/>
  <c r="Y37" i="15"/>
  <c r="W37" i="15"/>
  <c r="AB37" i="15"/>
  <c r="AD37" i="15"/>
  <c r="AE37" i="15"/>
  <c r="AG37" i="15"/>
  <c r="W9" i="15" l="1"/>
  <c r="Y9" i="15"/>
  <c r="T11" i="15"/>
  <c r="V11" i="15"/>
  <c r="V8" i="15"/>
  <c r="T8" i="15"/>
  <c r="T17" i="15"/>
  <c r="V17" i="15"/>
  <c r="W6" i="15"/>
  <c r="Y6" i="15"/>
  <c r="T16" i="15"/>
  <c r="V16" i="15"/>
  <c r="T10" i="15"/>
  <c r="V10" i="15"/>
  <c r="T4" i="15"/>
  <c r="V4" i="15"/>
  <c r="Y14" i="15"/>
  <c r="W14" i="15"/>
  <c r="Y8" i="15"/>
  <c r="W8" i="15"/>
  <c r="V13" i="15"/>
  <c r="T13" i="15"/>
  <c r="Y13" i="15"/>
  <c r="W13" i="15"/>
  <c r="T14" i="15"/>
  <c r="V14" i="15"/>
  <c r="V9" i="15"/>
  <c r="T9" i="15"/>
  <c r="W15" i="15"/>
  <c r="Y15" i="15"/>
  <c r="W10" i="15"/>
  <c r="Y10" i="15"/>
  <c r="Y4" i="15"/>
  <c r="W4" i="15"/>
  <c r="V5" i="15"/>
  <c r="T5" i="15"/>
  <c r="W3" i="15"/>
  <c r="Y3" i="15"/>
  <c r="V12" i="15"/>
  <c r="T12" i="15"/>
  <c r="T6" i="15"/>
  <c r="V6" i="15"/>
  <c r="W16" i="15"/>
  <c r="Y16" i="15"/>
  <c r="Y11" i="15"/>
  <c r="W11" i="15"/>
  <c r="Y5" i="15"/>
  <c r="W5" i="15"/>
  <c r="V15" i="15"/>
  <c r="T15" i="15"/>
  <c r="Y12" i="15"/>
  <c r="W12" i="15"/>
  <c r="V3" i="15"/>
  <c r="T3" i="15"/>
  <c r="Y7" i="15"/>
  <c r="W7" i="15"/>
  <c r="W17" i="15"/>
  <c r="Y17" i="15"/>
  <c r="T7" i="15"/>
  <c r="V7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<sst xmlns="http://schemas.openxmlformats.org/spreadsheetml/2006/main" count="459" uniqueCount="250">
  <si>
    <t>Guide d'utilisation</t>
  </si>
  <si>
    <t>Pour tous les onglets : toutes les cellules grisées sont des cellules qui se remplissent automatiquement</t>
  </si>
  <si>
    <t>Etape 1 : remplir les données de l'onglet Data_metier</t>
  </si>
  <si>
    <r>
      <t xml:space="preserve">- Pour les niveaux des </t>
    </r>
    <r>
      <rPr>
        <b/>
        <sz val="11"/>
        <color theme="1"/>
        <rFont val="Aptos Narrow"/>
        <family val="2"/>
        <scheme val="minor"/>
      </rPr>
      <t>ressources transversales (colonne C à E)</t>
    </r>
    <r>
      <rPr>
        <sz val="11"/>
        <color theme="1"/>
        <rFont val="Aptos Narrow"/>
        <family val="2"/>
        <scheme val="minor"/>
      </rPr>
      <t>, vous devez utiliser cette syntaxe :</t>
    </r>
  </si>
  <si>
    <t>Niveau 1</t>
  </si>
  <si>
    <t>Niveau 2</t>
  </si>
  <si>
    <t>Niveau 3</t>
  </si>
  <si>
    <t>Niveau 4</t>
  </si>
  <si>
    <r>
      <t xml:space="preserve">-Pour la colonne </t>
    </r>
    <r>
      <rPr>
        <b/>
        <sz val="11"/>
        <color theme="1"/>
        <rFont val="Aptos Narrow"/>
        <family val="2"/>
        <scheme val="minor"/>
      </rPr>
      <t>responsabilité transversale (colonne F)</t>
    </r>
    <r>
      <rPr>
        <sz val="11"/>
        <color theme="1"/>
        <rFont val="Aptos Narrow"/>
        <family val="2"/>
        <scheme val="minor"/>
      </rPr>
      <t xml:space="preserve">, vous devez utiliser cette syntaxe : </t>
    </r>
  </si>
  <si>
    <t>Significatif</t>
  </si>
  <si>
    <t>Non significatif</t>
  </si>
  <si>
    <r>
      <t xml:space="preserve">- Pour la colonne </t>
    </r>
    <r>
      <rPr>
        <b/>
        <sz val="11"/>
        <color theme="1"/>
        <rFont val="Aptos Narrow"/>
        <family val="2"/>
        <scheme val="minor"/>
      </rPr>
      <t>Interface (colonne G)</t>
    </r>
    <r>
      <rPr>
        <sz val="11"/>
        <color theme="1"/>
        <rFont val="Aptos Narrow"/>
        <family val="2"/>
        <scheme val="minor"/>
      </rPr>
      <t xml:space="preserve">, vous devez utiliser cette syntaxe : </t>
    </r>
  </si>
  <si>
    <t>Oui, en amont OU aval</t>
  </si>
  <si>
    <t>Oui, en amont ET aval</t>
  </si>
  <si>
    <t>Non</t>
  </si>
  <si>
    <t>Etape 2 : S'il y a de nouveaux formacodeq non présents dans la base, les intégrer dans l'onglet "Formacode"</t>
  </si>
  <si>
    <t>Les cellules oranges foncées sont les niveaux de DC pour lesquels il n'y a pas de nombre d'heures associées</t>
  </si>
  <si>
    <t xml:space="preserve">Etape 3 : Remplir les formacodes que vous utilisez dans la colonne B </t>
  </si>
  <si>
    <t>Le nom des DC (colonne A) apparaitront automatiquement selon les libellés de l'onglet "Formacode"</t>
  </si>
  <si>
    <t xml:space="preserve">Etape 4 : Choisir le métier de départ dans la cellule B4 dans l'onglet "Métiers passerelles" </t>
  </si>
  <si>
    <t>DOSSIER_SOURCE</t>
  </si>
  <si>
    <t>INT_METIER</t>
  </si>
  <si>
    <t>TRANSV_2</t>
  </si>
  <si>
    <t>TRANSV_8</t>
  </si>
  <si>
    <t>TRANSV_10</t>
  </si>
  <si>
    <t>RESPONS_TRANS</t>
  </si>
  <si>
    <t>INTERFACE</t>
  </si>
  <si>
    <t>NIVEAU_FORMATION</t>
  </si>
  <si>
    <t>OCAPIAT_cartographie metiers production alimentaire</t>
  </si>
  <si>
    <t>Caviste</t>
  </si>
  <si>
    <t>Agent de silo</t>
  </si>
  <si>
    <t>INTERGROS_cartographie metiers commerce gros</t>
  </si>
  <si>
    <t>Opérateur(trice) logistique</t>
  </si>
  <si>
    <t>Manager(euse) logistique</t>
  </si>
  <si>
    <t>Maître(sse) de chai</t>
  </si>
  <si>
    <t>Superviseur(se) de production (fabrication / conditionnement)</t>
  </si>
  <si>
    <t>Spécialiste planning / ordonnancement</t>
  </si>
  <si>
    <t>Logisticien(ne) approvisionneur(se)</t>
  </si>
  <si>
    <t>Responsable de production de produits alimentaires (fabrication / conditionnement)</t>
  </si>
  <si>
    <t>Chauffeur(se) livreur(se)</t>
  </si>
  <si>
    <t>Régleur(se)</t>
  </si>
  <si>
    <t>Spécialiste procédés et installations de production alimentaire</t>
  </si>
  <si>
    <t>Conducteur(trice) de livraison et de collecte</t>
  </si>
  <si>
    <t>Opérateur(trice) hygiène / sanitation</t>
  </si>
  <si>
    <t>Chef(fe) de silo</t>
  </si>
  <si>
    <t>Acheteur(se) / négociateur(trice) de matières premières</t>
  </si>
  <si>
    <t>Opérateur(trice) de production alimentaire</t>
  </si>
  <si>
    <t>Conducteur(trice) de machine(s) de production alimentaire (fabrication / conditionnement)</t>
  </si>
  <si>
    <t>Boulanger(ère)/pâtissier(ère) industriel(le)</t>
  </si>
  <si>
    <t>Conducteur(trice) de ligne(s)de production alimentaire (fabrication/conditionnement)</t>
  </si>
  <si>
    <t>Conducteur(trice) de process de production alimentaire</t>
  </si>
  <si>
    <t>Responsable de plateforme/ d’exploitation logistique</t>
  </si>
  <si>
    <t>Opérateur(trice) de transformation des viandes</t>
  </si>
  <si>
    <t>Fromager(ère) industriel(le)</t>
  </si>
  <si>
    <t>Opérateur(trice) de préparation de poissons et de produits de la mer</t>
  </si>
  <si>
    <t>Mécanicien(ne) de maintenance industrielle</t>
  </si>
  <si>
    <t>Mécanicien(ne)-sertisseur(euse)</t>
  </si>
  <si>
    <t>Electromécanicien(ne) de maintenance industrielle</t>
  </si>
  <si>
    <t>Formacode</t>
  </si>
  <si>
    <t/>
  </si>
  <si>
    <t xml:space="preserve">1. </t>
  </si>
  <si>
    <t>2.</t>
  </si>
  <si>
    <t>3.</t>
  </si>
  <si>
    <t>DC communs</t>
  </si>
  <si>
    <t>DC non communs</t>
  </si>
  <si>
    <t>Métier de départ :</t>
  </si>
  <si>
    <t>Minimum DC communs</t>
  </si>
  <si>
    <t>Max heures formation</t>
  </si>
  <si>
    <t>Minimum degré d'élargissement</t>
  </si>
  <si>
    <t>Intitulé métier</t>
  </si>
  <si>
    <t>Nb DC communs</t>
  </si>
  <si>
    <t>Nb heures</t>
  </si>
  <si>
    <t>Degré</t>
  </si>
  <si>
    <t>Nb de DC communs</t>
  </si>
  <si>
    <t>Différences heures formation</t>
  </si>
  <si>
    <t>Degré d'élargissement</t>
  </si>
  <si>
    <t>TEST</t>
  </si>
  <si>
    <t>1.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</si>
  <si>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</si>
  <si>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</si>
  <si>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</si>
  <si>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</si>
  <si>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</si>
  <si>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</si>
  <si>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</si>
  <si>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</si>
  <si>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</si>
  <si>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</si>
  <si>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</si>
  <si>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 xml:space="preserve">4. </t>
  </si>
  <si>
    <t xml:space="preserve">5. </t>
  </si>
  <si>
    <t xml:space="preserve">6. </t>
  </si>
  <si>
    <t>15.</t>
  </si>
  <si>
    <t>Intitulé formacode</t>
  </si>
  <si>
    <t>Mathématiques</t>
  </si>
  <si>
    <t>Economie</t>
  </si>
  <si>
    <t>DROIT PROTECTION SOCIALE</t>
  </si>
  <si>
    <t>Droit</t>
  </si>
  <si>
    <t xml:space="preserve">Sciences sociales </t>
  </si>
  <si>
    <t>ADMINISTRATION BASES DE DONNEES</t>
  </si>
  <si>
    <t xml:space="preserve">POLITIQUE PUBLIQUE </t>
  </si>
  <si>
    <t>INFORMATIQUE ET SYSTEMES D'INFORMATION</t>
  </si>
  <si>
    <t>GESTION PERFORMANCE</t>
  </si>
  <si>
    <t>MANAGEMENT OPÉRATIONNEL</t>
  </si>
  <si>
    <t>Physique</t>
  </si>
  <si>
    <t>Chimie</t>
  </si>
  <si>
    <t>Sciences naturelles</t>
  </si>
  <si>
    <t>Biologie marine</t>
  </si>
  <si>
    <t>Météorologie</t>
  </si>
  <si>
    <t>Management environnemental</t>
  </si>
  <si>
    <t xml:space="preserve">CONDUITE PROJET </t>
  </si>
  <si>
    <t>Fiscalite entreprise</t>
  </si>
  <si>
    <t>GESTION BUDGETAIRE</t>
  </si>
  <si>
    <t>Psychologie</t>
  </si>
  <si>
    <t>Langues</t>
  </si>
  <si>
    <t>Insemination animale</t>
  </si>
  <si>
    <t>Travaux paysagers</t>
  </si>
  <si>
    <t>Gestion exploitation agricole</t>
  </si>
  <si>
    <t>Viticulture</t>
  </si>
  <si>
    <t>Agriculture production végétale</t>
  </si>
  <si>
    <t>Elevage</t>
  </si>
  <si>
    <t>Agronomie</t>
  </si>
  <si>
    <t>Aquaculture</t>
  </si>
  <si>
    <t>Pisciculture</t>
  </si>
  <si>
    <t>Pêche</t>
  </si>
  <si>
    <t>Conchyliculture</t>
  </si>
  <si>
    <t>Fromage</t>
  </si>
  <si>
    <t>Vinification œnologie</t>
  </si>
  <si>
    <t>Boisson</t>
  </si>
  <si>
    <t>Boulangerie</t>
  </si>
  <si>
    <t>Laboratoire analyse agroalimentaire</t>
  </si>
  <si>
    <t>Bonnes pratiques hygiène agroalimentaire</t>
  </si>
  <si>
    <t>Transformation céréale</t>
  </si>
  <si>
    <t>Transformation produit mer</t>
  </si>
  <si>
    <t>Règlementation hygiène agroalimentaire</t>
  </si>
  <si>
    <t>Viande</t>
  </si>
  <si>
    <t>Conserve</t>
  </si>
  <si>
    <t>Abattage</t>
  </si>
  <si>
    <t xml:space="preserve">Cuir peau </t>
  </si>
  <si>
    <t>Génie civil</t>
  </si>
  <si>
    <t>Vrd</t>
  </si>
  <si>
    <t>Btp conception organisation</t>
  </si>
  <si>
    <t>Maitrise d’ouvrages</t>
  </si>
  <si>
    <t>Maçonnerie</t>
  </si>
  <si>
    <t>Génie climatique</t>
  </si>
  <si>
    <t>Chaudronnerie aéronautique</t>
  </si>
  <si>
    <t>Entretien mécanique</t>
  </si>
  <si>
    <t>Mécanique vol</t>
  </si>
  <si>
    <t>Construction aéronautique</t>
  </si>
  <si>
    <t>Construction maintenance navale</t>
  </si>
  <si>
    <t>Entretien mecanique</t>
  </si>
  <si>
    <t>Electromécanique</t>
  </si>
  <si>
    <t>Electricité</t>
  </si>
  <si>
    <t>Biomasse</t>
  </si>
  <si>
    <t>Electronique embarquée</t>
  </si>
  <si>
    <t>Electronique</t>
  </si>
  <si>
    <t>Maintenance système automatisé</t>
  </si>
  <si>
    <t>Langages informatiques</t>
  </si>
  <si>
    <t>Architecture web</t>
  </si>
  <si>
    <t>Données massives</t>
  </si>
  <si>
    <t>Maintenance assistance informatique</t>
  </si>
  <si>
    <t>PROTECTION SOCIALE</t>
  </si>
  <si>
    <t>Informatique industrielle</t>
  </si>
  <si>
    <t>Analyse programmation</t>
  </si>
  <si>
    <t>Informatique de gestion</t>
  </si>
  <si>
    <t>Qualite hygiene securite environnement</t>
  </si>
  <si>
    <t>Contrôle qualité</t>
  </si>
  <si>
    <t>Gestion qualite</t>
  </si>
  <si>
    <t>Audit qualite</t>
  </si>
  <si>
    <t>Qualite totale</t>
  </si>
  <si>
    <t>Génie des procédés</t>
  </si>
  <si>
    <t>Conduite installation industrielle</t>
  </si>
  <si>
    <t>Maintenance industrielle</t>
  </si>
  <si>
    <t>Gestion maintenance</t>
  </si>
  <si>
    <t>Maintenance totale</t>
  </si>
  <si>
    <t>Gestion production</t>
  </si>
  <si>
    <t>Approvisionnement</t>
  </si>
  <si>
    <t>Ordonnancement</t>
  </si>
  <si>
    <t>Gestion stock</t>
  </si>
  <si>
    <t>Entreposage stockage</t>
  </si>
  <si>
    <t>Magasinage</t>
  </si>
  <si>
    <t>Etiquetage</t>
  </si>
  <si>
    <t>Expedition</t>
  </si>
  <si>
    <t>Manutention</t>
  </si>
  <si>
    <t>Engin traction</t>
  </si>
  <si>
    <t>Chariot automoteur</t>
  </si>
  <si>
    <t>Livraison</t>
  </si>
  <si>
    <t>Transport animal vivant</t>
  </si>
  <si>
    <t>Transport routier</t>
  </si>
  <si>
    <t>Transport</t>
  </si>
  <si>
    <t>Procédure douanière</t>
  </si>
  <si>
    <t>Télé-pilotage drone</t>
  </si>
  <si>
    <t>Activité aéroportuaire</t>
  </si>
  <si>
    <t>Transport maritime</t>
  </si>
  <si>
    <t>Personnel au sol</t>
  </si>
  <si>
    <t>Hôtesse air steward</t>
  </si>
  <si>
    <t>Mécanicien navigant</t>
  </si>
  <si>
    <t>Pilote ligne</t>
  </si>
  <si>
    <t>Droit transport</t>
  </si>
  <si>
    <t>Responsabilité sociétale entreprise</t>
  </si>
  <si>
    <t>Gestion organisations</t>
  </si>
  <si>
    <t>Recherche et développement</t>
  </si>
  <si>
    <t>RESSOURCES HUMAINES</t>
  </si>
  <si>
    <t>Animation motivation d'équipe</t>
  </si>
  <si>
    <t>Tresorerie</t>
  </si>
  <si>
    <t>TECHNIQUE ADMINISTRATIVE</t>
  </si>
  <si>
    <t>Controle gestion</t>
  </si>
  <si>
    <t>Comptabilite</t>
  </si>
  <si>
    <t>Traitement paie</t>
  </si>
  <si>
    <t>Audit ressources humaines</t>
  </si>
  <si>
    <t>Administration personnel</t>
  </si>
  <si>
    <t>GESTION RISQUE ENTREPRISE</t>
  </si>
  <si>
    <t>Negociation achat</t>
  </si>
  <si>
    <t>Qualité achats</t>
  </si>
  <si>
    <t>Gestion fournisseur</t>
  </si>
  <si>
    <t>Marketing</t>
  </si>
  <si>
    <t>Marketing opérationnel</t>
  </si>
  <si>
    <t>Administration ventes</t>
  </si>
  <si>
    <t>Etude de marché</t>
  </si>
  <si>
    <t>Strategie commerciale</t>
  </si>
  <si>
    <t>Marketing digital</t>
  </si>
  <si>
    <t>Commerce international</t>
  </si>
  <si>
    <t>Vente produit mer</t>
  </si>
  <si>
    <t>Vente à distance</t>
  </si>
  <si>
    <t>Vente produit alimentaire</t>
  </si>
  <si>
    <t>Négociation commerciale</t>
  </si>
  <si>
    <t>Animation vente</t>
  </si>
  <si>
    <t>Entretien vente</t>
  </si>
  <si>
    <t>Prospection vente</t>
  </si>
  <si>
    <t>Marchandisage</t>
  </si>
  <si>
    <t>Accueil</t>
  </si>
  <si>
    <t>Medecine veterinaire</t>
  </si>
  <si>
    <t>Nettoyage locaux</t>
  </si>
  <si>
    <t>Yield management</t>
  </si>
  <si>
    <t>Accueil tourisme</t>
  </si>
  <si>
    <t>Cuisine</t>
  </si>
  <si>
    <t>Service salle</t>
  </si>
  <si>
    <t>Ecailler</t>
  </si>
  <si>
    <t>RECHERCHE DOCUMENTAIRE</t>
  </si>
  <si>
    <t>Audit sécurité</t>
  </si>
  <si>
    <t>Santé sécurité travail</t>
  </si>
  <si>
    <t>Intervention sociale familiale</t>
  </si>
  <si>
    <t>Travail social</t>
  </si>
  <si>
    <t>Conception action formation</t>
  </si>
  <si>
    <t>Pédagogie</t>
  </si>
  <si>
    <t>Infographie</t>
  </si>
  <si>
    <t>Communication entreprise</t>
  </si>
  <si>
    <t>Relation presse média</t>
  </si>
  <si>
    <t>Ecriture informative</t>
  </si>
  <si>
    <t>Stratégie communication numérique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</si>
</sst>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b/>
      <sz val="16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DF2ED"/>
        <bgColor indexed="64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vertical="center" wrapText="1"/>
    </xf>
    <xf numFmtId="0" fontId="0" fillId="0" borderId="2" xfId="0" applyBorder="1"/>
    <xf numFmtId="0" fontId="6" fillId="2" borderId="0" xfId="0" applyFont="1" applyFill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8" xfId="0" applyBorder="1"/>
    <xf numFmtId="0" fontId="0" fillId="0" borderId="27" xfId="0" applyBorder="1"/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5" xfId="0" applyBorder="1" applyAlignment="1">
      <alignment horizontal="center"/>
    </xf>
    <xf numFmtId="0" fontId="6" fillId="2" borderId="33" xfId="0" applyFont="1" applyFill="1" applyBorder="1"/>
    <xf numFmtId="0" fontId="0" fillId="0" borderId="34" xfId="0" applyBorder="1"/>
    <xf numFmtId="0" fontId="0" fillId="0" borderId="20" xfId="0" applyBorder="1" applyAlignment="1">
      <alignment horizontal="center"/>
    </xf>
    <xf numFmtId="0" fontId="0" fillId="2" borderId="33" xfId="0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24" xfId="0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quotePrefix="1"/>
    <xf numFmtId="0" fontId="7" fillId="0" borderId="0" xfId="0" applyFont="1"/>
    <xf numFmtId="0" fontId="0" fillId="0" borderId="0" xfId="0" quotePrefix="1" applyAlignment="1">
      <alignment horizontal="right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/>
    <xf numFmtId="0" fontId="0" fillId="0" borderId="37" xfId="0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0" fontId="3" fillId="2" borderId="32" xfId="0" applyFont="1" applyFill="1" applyBorder="1" applyAlignment="1">
      <alignment horizontal="center" wrapText="1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8" fillId="4" borderId="0" xfId="0" applyFont="1" applyFill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0ECEC"/>
      <color rgb="FFF0E4E4"/>
      <color rgb="FFFCE9E0"/>
      <color rgb="FFFDF2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53415902475472"/>
          <c:y val="3.534631992121632E-2"/>
          <c:w val="0.85340539534234305"/>
          <c:h val="0.8114578627963156"/>
        </c:manualLayout>
      </c:layout>
      <c:bubbleChart>
        <c:varyColors val="0"/>
        <c:ser>
          <c:idx val="1"/>
          <c:order val="0"/>
          <c:tx>
            <c:strRef>
              <c:f>'Métiers passerelles'!$J$8:$J$22</c:f>
              <c:strCache>
                <c:ptCount val="15"/>
                <c:pt idx="0">
                  <c:v>Chauffeur(se) livreur(se)</c:v>
                </c:pt>
                <c:pt idx="1">
                  <c:v>Conducteur(trice) de livraison et de collecte</c:v>
                </c:pt>
                <c:pt idx="2">
                  <c:v>Régleur(se)</c:v>
                </c:pt>
                <c:pt idx="3">
                  <c:v>Conducteur(trice) de machine(s) de production alimentaire (fabrication / conditionnement)</c:v>
                </c:pt>
                <c:pt idx="4">
                  <c:v>Conducteur(trice) de ligne(s)de production alimentaire (fabrication/conditionnement)</c:v>
                </c:pt>
                <c:pt idx="5">
                  <c:v>Agent de silo</c:v>
                </c:pt>
                <c:pt idx="6">
                  <c:v>Caviste</c:v>
                </c:pt>
                <c:pt idx="7">
                  <c:v>Conducteur(trice) de process de production alimentaire</c:v>
                </c:pt>
                <c:pt idx="8">
                  <c:v>Mécanicien(ne) de maintenance industrielle</c:v>
                </c:pt>
                <c:pt idx="9">
                  <c:v>Mécanicien(ne)-sertisseur(euse)</c:v>
                </c:pt>
                <c:pt idx="10">
                  <c:v>Chef(fe) de silo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17623FE-E2C0-4968-BE6F-C5321371D05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3DB-43E7-931A-FFCA7CAC9EA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B03D6A8-F62E-440F-956D-42118BA20CA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3DB-43E7-931A-FFCA7CAC9EA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6AF6E4C-5371-400A-AFA4-21933C5BB95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3DB-43E7-931A-FFCA7CAC9EA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2A1B2DF-38B2-45D5-84F1-1B701A89E2F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786-42CB-ADBB-622864FEFB4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EB1E44C-D381-4198-9FBB-09E6E74AB00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A56-457A-B70F-0DE03909E89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5431F27-64DB-4F79-881A-ACDA158DAE1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A56-457A-B70F-0DE03909E89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9054AA4-AEA5-48C3-8F3D-5BE1B193D8C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A56-457A-B70F-0DE03909E89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BA4637B-59F0-4D0C-B5E8-86C812D5203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A56-457A-B70F-0DE03909E89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361F4A2-53DD-45F6-B8F6-8505B003490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A56-457A-B70F-0DE03909E89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F8C8E5A-08BA-4F06-BD60-26EA110286B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A56-457A-B70F-0DE03909E89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9926E31-CA53-4BE6-AE30-E9D4A3AB91A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A56-457A-B70F-0DE03909E89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A56-457A-B70F-0DE03909E89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A56-457A-B70F-0DE03909E89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A56-457A-B70F-0DE03909E89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A56-457A-B70F-0DE03909E8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'Métiers passerelles'!$L$8:$L$22</c:f>
              <c:numCache>
                <c:formatCode>General</c:formatCode>
                <c:ptCount val="15"/>
                <c:pt idx="0">
                  <c:v>689</c:v>
                </c:pt>
                <c:pt idx="1">
                  <c:v>769</c:v>
                </c:pt>
                <c:pt idx="2">
                  <c:v>924</c:v>
                </c:pt>
                <c:pt idx="3">
                  <c:v>1008</c:v>
                </c:pt>
                <c:pt idx="4">
                  <c:v>1114</c:v>
                </c:pt>
                <c:pt idx="5">
                  <c:v>1185</c:v>
                </c:pt>
                <c:pt idx="6">
                  <c:v>1306</c:v>
                </c:pt>
                <c:pt idx="7">
                  <c:v>1458</c:v>
                </c:pt>
                <c:pt idx="8">
                  <c:v>1540</c:v>
                </c:pt>
                <c:pt idx="9">
                  <c:v>1610</c:v>
                </c:pt>
                <c:pt idx="10">
                  <c:v>1885</c:v>
                </c:pt>
              </c:numCache>
            </c:numRef>
          </c:xVal>
          <c:yVal>
            <c:numRef>
              <c:f>'Métiers passerelles'!$M$8:$M$22</c:f>
              <c:numCache>
                <c:formatCode>General</c:formatCode>
                <c:ptCount val="15"/>
                <c:pt idx="0">
                  <c:v>0.5</c:v>
                </c:pt>
                <c:pt idx="1">
                  <c:v>0.5</c:v>
                </c:pt>
                <c:pt idx="2">
                  <c:v>1.1666666666666667</c:v>
                </c:pt>
                <c:pt idx="3">
                  <c:v>0.16666666666666666</c:v>
                </c:pt>
                <c:pt idx="4">
                  <c:v>2</c:v>
                </c:pt>
                <c:pt idx="5">
                  <c:v>1.3333333333333335</c:v>
                </c:pt>
                <c:pt idx="6">
                  <c:v>1.5</c:v>
                </c:pt>
                <c:pt idx="7">
                  <c:v>2.5</c:v>
                </c:pt>
                <c:pt idx="8">
                  <c:v>1.8333333333333335</c:v>
                </c:pt>
                <c:pt idx="9">
                  <c:v>1.8333333333333335</c:v>
                </c:pt>
                <c:pt idx="10">
                  <c:v>3.4999999999999996</c:v>
                </c:pt>
              </c:numCache>
            </c:numRef>
          </c:yVal>
          <c:bubbleSize>
            <c:numLit>
              <c:formatCode>General</c:formatCode>
              <c:ptCount val="1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</c:numLit>
          </c:bubbleSize>
          <c:bubble3D val="0"/>
          <c:extLst>
            <c:ext xmlns:c15="http://schemas.microsoft.com/office/drawing/2012/chart" uri="{02D57815-91ED-43cb-92C2-25804820EDAC}">
              <c15:datalabelsRange>
                <c15:f>'Métiers passerelles'!$J$8:$J$22</c15:f>
                <c15:dlblRangeCache>
                  <c:ptCount val="15"/>
                  <c:pt idx="0">
                    <c:v>Chauffeur(se) livreur(se)</c:v>
                  </c:pt>
                  <c:pt idx="1">
                    <c:v>Conducteur(trice) de livraison et de collecte</c:v>
                  </c:pt>
                  <c:pt idx="2">
                    <c:v>Régleur(se)</c:v>
                  </c:pt>
                  <c:pt idx="3">
                    <c:v>Conducteur(trice) de machine(s) de production alimentaire (fabrication / conditionnement)</c:v>
                  </c:pt>
                  <c:pt idx="4">
                    <c:v>Conducteur(trice) de ligne(s)de production alimentaire (fabrication/conditionnement)</c:v>
                  </c:pt>
                  <c:pt idx="5">
                    <c:v>Agent de silo</c:v>
                  </c:pt>
                  <c:pt idx="6">
                    <c:v>Caviste</c:v>
                  </c:pt>
                  <c:pt idx="7">
                    <c:v>Conducteur(trice) de process de production alimentaire</c:v>
                  </c:pt>
                  <c:pt idx="8">
                    <c:v>Mécanicien(ne) de maintenance industrielle</c:v>
                  </c:pt>
                  <c:pt idx="9">
                    <c:v>Mécanicien(ne)-sertisseur(euse)</c:v>
                  </c:pt>
                  <c:pt idx="10">
                    <c:v>Chef(fe) de silo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43DB-43E7-931A-FFCA7CAC9E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"/>
        <c:showNegBubbles val="0"/>
        <c:axId val="1314610351"/>
        <c:axId val="1189899471"/>
      </c:bubbleChart>
      <c:valAx>
        <c:axId val="1314610351"/>
        <c:scaling>
          <c:orientation val="minMax"/>
          <c:max val="1600"/>
          <c:min val="-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rPr>
                  <a:t>Durée d'acquisition en heures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fr-F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2857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fr-FR"/>
          </a:p>
        </c:txPr>
        <c:crossAx val="1189899471"/>
        <c:crossesAt val="0"/>
        <c:crossBetween val="midCat"/>
        <c:majorUnit val="200"/>
      </c:valAx>
      <c:valAx>
        <c:axId val="1189899471"/>
        <c:scaling>
          <c:orientation val="minMax"/>
          <c:min val="-0.2"/>
        </c:scaling>
        <c:delete val="0"/>
        <c:axPos val="l"/>
        <c:majorGridlines>
          <c:spPr>
            <a:ln w="9525" cap="sq" cmpd="sng" algn="ctr">
              <a:solidFill>
                <a:schemeClr val="tx1">
                  <a:lumMod val="15000"/>
                  <a:lumOff val="85000"/>
                </a:schemeClr>
              </a:solidFill>
              <a:round/>
              <a:headEnd type="none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fr-FR" sz="1000" b="0">
                    <a:latin typeface="Segoe UI" panose="020B0502040204020203" pitchFamily="34" charset="0"/>
                    <a:cs typeface="Segoe UI" panose="020B0502040204020203" pitchFamily="34" charset="0"/>
                  </a:rPr>
                  <a:t>Degré d’élargissement du périmètre professionnel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fr-FR"/>
            </a:p>
          </c:txPr>
        </c:title>
        <c:numFmt formatCode="0.0" sourceLinked="0"/>
        <c:majorTickMark val="out"/>
        <c:minorTickMark val="none"/>
        <c:tickLblPos val="low"/>
        <c:spPr>
          <a:noFill/>
          <a:ln w="2857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fr-FR"/>
          </a:p>
        </c:txPr>
        <c:crossAx val="1314610351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136318</xdr:colOff>
      <xdr:row>23</xdr:row>
      <xdr:rowOff>120918</xdr:rowOff>
    </xdr:from>
    <xdr:to>
      <xdr:col>16</xdr:col>
      <xdr:colOff>656896</xdr:colOff>
      <xdr:row>49</xdr:row>
      <xdr:rowOff>43793</xdr:rowOff>
    </xdr:to>
    <xdr:graphicFrame macro="">
      <xdr:nvGraphicFramePr>
        <xdr:cNvPr id="4" name="Graphique 2">
          <a:extLst>
            <a:ext uri="{FF2B5EF4-FFF2-40B4-BE49-F238E27FC236}">
              <a16:creationId xmlns:a16="http://schemas.microsoft.com/office/drawing/2014/main" id="{BBC91357-CDA6-4EAC-BA22-ED74E4DE6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nyos-my.sharepoint.com/personal/lauriane_david_amnyos_com/Documents/Documents/outil%20comp&#233;tences/OC%20niv.xlsx" TargetMode="External"/><Relationship Id="rId1" Type="http://schemas.openxmlformats.org/officeDocument/2006/relationships/externalLinkPath" Target="OC%20ni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_metier"/>
      <sheetName val="DE_niv_form"/>
      <sheetName val="DE_respon_transv"/>
      <sheetName val="DE_ress_transv"/>
      <sheetName val="Degré élargissement"/>
      <sheetName val="Niv formacode"/>
      <sheetName val="Durée formacode"/>
      <sheetName val="Différence formation"/>
      <sheetName val="Métiers passerelles"/>
      <sheetName val="Formacode"/>
      <sheetName val="OC ni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Formacode</v>
          </cell>
          <cell r="B1" t="str">
            <v>Intitulé formacode</v>
          </cell>
        </row>
        <row r="2">
          <cell r="A2">
            <v>11054</v>
          </cell>
          <cell r="B2" t="str">
            <v>Mathématiques</v>
          </cell>
        </row>
        <row r="3">
          <cell r="A3">
            <v>11454</v>
          </cell>
          <cell r="B3" t="str">
            <v>Physique</v>
          </cell>
        </row>
        <row r="4">
          <cell r="A4">
            <v>11554</v>
          </cell>
          <cell r="B4" t="str">
            <v>Chimie</v>
          </cell>
        </row>
        <row r="5">
          <cell r="A5">
            <v>12054</v>
          </cell>
          <cell r="B5" t="str">
            <v>Sciences naturelles</v>
          </cell>
        </row>
        <row r="6">
          <cell r="A6">
            <v>12061</v>
          </cell>
          <cell r="B6" t="str">
            <v>Biologie marine</v>
          </cell>
        </row>
        <row r="7">
          <cell r="A7">
            <v>12261</v>
          </cell>
          <cell r="B7" t="str">
            <v>Météorologie</v>
          </cell>
        </row>
        <row r="8">
          <cell r="A8">
            <v>12587</v>
          </cell>
          <cell r="B8" t="str">
            <v>Management environnemental</v>
          </cell>
        </row>
        <row r="9">
          <cell r="A9">
            <v>13154</v>
          </cell>
          <cell r="B9" t="str">
            <v>Economie</v>
          </cell>
        </row>
        <row r="10">
          <cell r="A10">
            <v>13236</v>
          </cell>
          <cell r="B10" t="str">
            <v>Droit protection sociale</v>
          </cell>
        </row>
        <row r="11">
          <cell r="A11">
            <v>13254</v>
          </cell>
          <cell r="B11" t="str">
            <v>Droit</v>
          </cell>
        </row>
        <row r="12">
          <cell r="A12">
            <v>13366</v>
          </cell>
          <cell r="B12" t="str">
            <v>Fiscalite entreprise</v>
          </cell>
        </row>
        <row r="13">
          <cell r="A13">
            <v>14256</v>
          </cell>
          <cell r="B13" t="str">
            <v>Sciences sociales</v>
          </cell>
        </row>
        <row r="14">
          <cell r="A14">
            <v>14454</v>
          </cell>
          <cell r="B14" t="str">
            <v>Psychologie</v>
          </cell>
        </row>
        <row r="15">
          <cell r="A15">
            <v>15254</v>
          </cell>
          <cell r="B15" t="str">
            <v>Langues</v>
          </cell>
        </row>
        <row r="16">
          <cell r="A16">
            <v>21008</v>
          </cell>
          <cell r="B16" t="str">
            <v>Insemination animale</v>
          </cell>
        </row>
        <row r="17">
          <cell r="A17">
            <v>21046</v>
          </cell>
          <cell r="B17" t="str">
            <v>Travaux paysagers</v>
          </cell>
        </row>
        <row r="18">
          <cell r="A18">
            <v>21052</v>
          </cell>
          <cell r="B18" t="str">
            <v>Gestion exploitation agricole</v>
          </cell>
        </row>
        <row r="19">
          <cell r="A19">
            <v>21053</v>
          </cell>
          <cell r="B19" t="str">
            <v>Viticulture</v>
          </cell>
        </row>
        <row r="20">
          <cell r="A20">
            <v>21054</v>
          </cell>
          <cell r="B20" t="str">
            <v>Agriculture production végétale</v>
          </cell>
        </row>
        <row r="21">
          <cell r="A21">
            <v>21056</v>
          </cell>
          <cell r="B21" t="str">
            <v>Elevage</v>
          </cell>
        </row>
        <row r="22">
          <cell r="A22">
            <v>21059</v>
          </cell>
          <cell r="B22" t="str">
            <v>Agronomie</v>
          </cell>
        </row>
        <row r="23">
          <cell r="A23">
            <v>21347</v>
          </cell>
          <cell r="B23" t="str">
            <v>Aquaculture</v>
          </cell>
        </row>
        <row r="24">
          <cell r="A24">
            <v>21349</v>
          </cell>
          <cell r="B24" t="str">
            <v>Pisciculture</v>
          </cell>
        </row>
        <row r="25">
          <cell r="A25">
            <v>21352</v>
          </cell>
          <cell r="B25" t="str">
            <v>Pêche</v>
          </cell>
        </row>
        <row r="26">
          <cell r="A26">
            <v>21368</v>
          </cell>
          <cell r="B26" t="str">
            <v>Conchyliculture</v>
          </cell>
        </row>
        <row r="27">
          <cell r="A27">
            <v>21504</v>
          </cell>
          <cell r="B27" t="str">
            <v>Fromage</v>
          </cell>
        </row>
        <row r="28">
          <cell r="A28">
            <v>21510</v>
          </cell>
          <cell r="B28" t="str">
            <v>Vinification œnologie</v>
          </cell>
        </row>
        <row r="29">
          <cell r="A29">
            <v>21532</v>
          </cell>
          <cell r="B29" t="str">
            <v>Boisson</v>
          </cell>
        </row>
        <row r="30">
          <cell r="A30">
            <v>21538</v>
          </cell>
          <cell r="B30" t="str">
            <v>Boulangerie</v>
          </cell>
        </row>
        <row r="31">
          <cell r="A31">
            <v>21543</v>
          </cell>
          <cell r="B31" t="str">
            <v>Laboratoire analyse agroalimentaire</v>
          </cell>
        </row>
        <row r="32">
          <cell r="A32">
            <v>21547</v>
          </cell>
          <cell r="B32" t="str">
            <v>Bonnes pratiques hygiène agroalimentaire</v>
          </cell>
        </row>
        <row r="33">
          <cell r="A33">
            <v>21549</v>
          </cell>
          <cell r="B33" t="str">
            <v>Transformation céréale</v>
          </cell>
        </row>
        <row r="34">
          <cell r="A34">
            <v>21567</v>
          </cell>
          <cell r="B34" t="str">
            <v>Transformation produit mer</v>
          </cell>
        </row>
        <row r="35">
          <cell r="A35">
            <v>21572</v>
          </cell>
          <cell r="B35" t="str">
            <v>Règlementation hygiène agroalimentaire</v>
          </cell>
        </row>
        <row r="36">
          <cell r="A36">
            <v>21577</v>
          </cell>
          <cell r="B36" t="str">
            <v>Viande</v>
          </cell>
        </row>
        <row r="37">
          <cell r="A37">
            <v>21592</v>
          </cell>
          <cell r="B37" t="str">
            <v>Conserve</v>
          </cell>
        </row>
        <row r="38">
          <cell r="A38">
            <v>21598</v>
          </cell>
          <cell r="B38" t="str">
            <v>Abattage</v>
          </cell>
        </row>
        <row r="39">
          <cell r="A39">
            <v>21854</v>
          </cell>
          <cell r="B39" t="str">
            <v xml:space="preserve">Cuir peau </v>
          </cell>
        </row>
        <row r="40">
          <cell r="A40">
            <v>22024</v>
          </cell>
          <cell r="B40" t="str">
            <v>Génie civil</v>
          </cell>
        </row>
        <row r="41">
          <cell r="A41">
            <v>22062</v>
          </cell>
          <cell r="B41" t="str">
            <v>Vrd</v>
          </cell>
        </row>
        <row r="42">
          <cell r="A42">
            <v>22254</v>
          </cell>
          <cell r="B42" t="str">
            <v>Btp conception organisation</v>
          </cell>
        </row>
        <row r="43">
          <cell r="A43">
            <v>22269</v>
          </cell>
          <cell r="B43" t="str">
            <v>Maitrise d’ouvrages</v>
          </cell>
        </row>
        <row r="44">
          <cell r="A44">
            <v>22334</v>
          </cell>
          <cell r="B44" t="str">
            <v>Maçonnerie</v>
          </cell>
        </row>
        <row r="45">
          <cell r="A45">
            <v>22654</v>
          </cell>
          <cell r="B45" t="str">
            <v>Génie climatique</v>
          </cell>
        </row>
        <row r="46">
          <cell r="A46">
            <v>23086</v>
          </cell>
          <cell r="B46" t="str">
            <v>Chaudronnerie aéronautique</v>
          </cell>
        </row>
        <row r="47">
          <cell r="A47">
            <v>23584</v>
          </cell>
          <cell r="B47" t="str">
            <v>Entretien mécanique</v>
          </cell>
        </row>
        <row r="48">
          <cell r="A48">
            <v>23594</v>
          </cell>
          <cell r="B48" t="str">
            <v>Mécanique vol</v>
          </cell>
        </row>
        <row r="49">
          <cell r="A49">
            <v>23613</v>
          </cell>
          <cell r="B49" t="str">
            <v>Construction aéronautique</v>
          </cell>
        </row>
        <row r="50">
          <cell r="A50">
            <v>23622</v>
          </cell>
          <cell r="B50" t="str">
            <v>Construction maintenance navale</v>
          </cell>
        </row>
        <row r="51">
          <cell r="A51">
            <v>23684</v>
          </cell>
          <cell r="B51" t="str">
            <v>Entretien mecanique</v>
          </cell>
        </row>
        <row r="52">
          <cell r="A52">
            <v>24052</v>
          </cell>
          <cell r="B52" t="str">
            <v>Electromécanique</v>
          </cell>
        </row>
        <row r="53">
          <cell r="A53">
            <v>24054</v>
          </cell>
          <cell r="B53" t="str">
            <v>Electricité</v>
          </cell>
        </row>
        <row r="54">
          <cell r="A54">
            <v>24129</v>
          </cell>
          <cell r="B54" t="str">
            <v>Biomasse</v>
          </cell>
        </row>
        <row r="55">
          <cell r="A55">
            <v>24346</v>
          </cell>
          <cell r="B55" t="str">
            <v>Electronique embarquée</v>
          </cell>
        </row>
        <row r="56">
          <cell r="A56">
            <v>24354</v>
          </cell>
          <cell r="B56" t="str">
            <v>Electronique</v>
          </cell>
        </row>
        <row r="57">
          <cell r="A57">
            <v>24431</v>
          </cell>
          <cell r="B57" t="str">
            <v>Maintenance système automatisé</v>
          </cell>
        </row>
        <row r="58">
          <cell r="A58">
            <v>25052</v>
          </cell>
          <cell r="B58" t="str">
            <v>Electricité</v>
          </cell>
        </row>
        <row r="59">
          <cell r="A59">
            <v>30854</v>
          </cell>
          <cell r="B59" t="str">
            <v>Langages informatiques</v>
          </cell>
        </row>
        <row r="60">
          <cell r="A60">
            <v>31010</v>
          </cell>
          <cell r="B60" t="str">
            <v>Architecture web</v>
          </cell>
        </row>
        <row r="61">
          <cell r="A61">
            <v>31023</v>
          </cell>
          <cell r="B61" t="str">
            <v>Données massives</v>
          </cell>
        </row>
        <row r="62">
          <cell r="A62">
            <v>31036</v>
          </cell>
          <cell r="B62" t="str">
            <v>Administration bases de données</v>
          </cell>
        </row>
        <row r="63">
          <cell r="A63">
            <v>31051</v>
          </cell>
          <cell r="B63" t="str">
            <v>Maintenance assistance informatique</v>
          </cell>
        </row>
        <row r="64">
          <cell r="A64">
            <v>31054</v>
          </cell>
          <cell r="B64" t="str">
            <v>Informatique et systèmes d’information</v>
          </cell>
        </row>
        <row r="65">
          <cell r="A65">
            <v>31058</v>
          </cell>
          <cell r="B65" t="str">
            <v>Informatique industrielle</v>
          </cell>
        </row>
        <row r="66">
          <cell r="A66">
            <v>31067</v>
          </cell>
          <cell r="B66" t="str">
            <v>Analyse programmation</v>
          </cell>
        </row>
        <row r="67">
          <cell r="A67">
            <v>31084</v>
          </cell>
          <cell r="B67" t="str">
            <v>Informatique de gestion</v>
          </cell>
        </row>
        <row r="68">
          <cell r="A68">
            <v>31407</v>
          </cell>
          <cell r="B68" t="str">
            <v>Qualite hygiene securite environnement</v>
          </cell>
        </row>
        <row r="69">
          <cell r="A69">
            <v>31436</v>
          </cell>
          <cell r="B69" t="str">
            <v>Contrôle qualité</v>
          </cell>
        </row>
        <row r="70">
          <cell r="A70">
            <v>31454</v>
          </cell>
          <cell r="B70" t="str">
            <v>Gestion qualite</v>
          </cell>
        </row>
        <row r="71">
          <cell r="A71">
            <v>31459</v>
          </cell>
          <cell r="B71" t="str">
            <v>Audit qualite</v>
          </cell>
        </row>
        <row r="72">
          <cell r="A72">
            <v>31486</v>
          </cell>
          <cell r="B72" t="str">
            <v>Qualite totale</v>
          </cell>
        </row>
        <row r="73">
          <cell r="A73">
            <v>31608</v>
          </cell>
          <cell r="B73" t="str">
            <v>Génie des procédés</v>
          </cell>
        </row>
        <row r="74">
          <cell r="A74">
            <v>31620</v>
          </cell>
          <cell r="B74" t="str">
            <v>Conduite installation industrielle</v>
          </cell>
        </row>
        <row r="75">
          <cell r="A75">
            <v>31624</v>
          </cell>
          <cell r="B75" t="str">
            <v>Maintenance industrielle</v>
          </cell>
        </row>
        <row r="76">
          <cell r="A76">
            <v>31625</v>
          </cell>
          <cell r="B76" t="str">
            <v>Gestion maintenance</v>
          </cell>
        </row>
        <row r="77">
          <cell r="A77">
            <v>31633</v>
          </cell>
          <cell r="B77" t="str">
            <v>Maintenance totale</v>
          </cell>
        </row>
        <row r="78">
          <cell r="A78">
            <v>31652</v>
          </cell>
          <cell r="B78" t="str">
            <v>Gestion production</v>
          </cell>
        </row>
        <row r="79">
          <cell r="A79">
            <v>31660</v>
          </cell>
          <cell r="B79" t="str">
            <v>Approvisionnement</v>
          </cell>
        </row>
        <row r="80">
          <cell r="A80">
            <v>31662</v>
          </cell>
          <cell r="B80" t="str">
            <v>Ordonnancement</v>
          </cell>
        </row>
        <row r="81">
          <cell r="A81">
            <v>31663</v>
          </cell>
          <cell r="B81" t="str">
            <v>Gestion stock</v>
          </cell>
        </row>
        <row r="82">
          <cell r="A82">
            <v>31721</v>
          </cell>
          <cell r="B82" t="str">
            <v>Entreposage stockage</v>
          </cell>
        </row>
        <row r="83">
          <cell r="A83">
            <v>31734</v>
          </cell>
          <cell r="B83" t="str">
            <v>Magasinage</v>
          </cell>
        </row>
        <row r="84">
          <cell r="A84">
            <v>31742</v>
          </cell>
          <cell r="B84" t="str">
            <v>Etiquetage</v>
          </cell>
        </row>
        <row r="85">
          <cell r="A85">
            <v>31743</v>
          </cell>
          <cell r="B85" t="str">
            <v>Expedition</v>
          </cell>
        </row>
        <row r="86">
          <cell r="A86">
            <v>31754</v>
          </cell>
          <cell r="B86" t="str">
            <v>Manutention</v>
          </cell>
        </row>
        <row r="87">
          <cell r="A87">
            <v>31759</v>
          </cell>
          <cell r="B87" t="str">
            <v>Engin traction</v>
          </cell>
        </row>
        <row r="88">
          <cell r="A88">
            <v>31768</v>
          </cell>
          <cell r="B88" t="str">
            <v>Chariot automoteur</v>
          </cell>
        </row>
        <row r="89">
          <cell r="A89">
            <v>31807</v>
          </cell>
          <cell r="B89" t="str">
            <v>Livraison</v>
          </cell>
        </row>
        <row r="90">
          <cell r="A90">
            <v>31818</v>
          </cell>
          <cell r="B90" t="str">
            <v>Transport animal vivant</v>
          </cell>
        </row>
        <row r="91">
          <cell r="A91">
            <v>31833</v>
          </cell>
          <cell r="B91" t="str">
            <v>Transport routier</v>
          </cell>
        </row>
        <row r="92">
          <cell r="A92">
            <v>31854</v>
          </cell>
          <cell r="B92" t="str">
            <v>Transport</v>
          </cell>
        </row>
        <row r="93">
          <cell r="A93">
            <v>31859</v>
          </cell>
          <cell r="B93" t="str">
            <v>Procédure douanière</v>
          </cell>
        </row>
        <row r="94">
          <cell r="A94">
            <v>31862</v>
          </cell>
          <cell r="B94" t="str">
            <v>Télé-pilotage drone</v>
          </cell>
        </row>
        <row r="95">
          <cell r="A95">
            <v>31866</v>
          </cell>
          <cell r="B95" t="str">
            <v>Activité aéroportuaire</v>
          </cell>
        </row>
        <row r="96">
          <cell r="A96">
            <v>31872</v>
          </cell>
          <cell r="B96" t="str">
            <v>Transport maritime</v>
          </cell>
        </row>
        <row r="97">
          <cell r="A97">
            <v>31876</v>
          </cell>
          <cell r="B97" t="str">
            <v>Personnel au sol</v>
          </cell>
        </row>
        <row r="98">
          <cell r="A98">
            <v>31879</v>
          </cell>
          <cell r="B98" t="str">
            <v>Hôtesse air steward</v>
          </cell>
        </row>
        <row r="99">
          <cell r="A99">
            <v>31886</v>
          </cell>
          <cell r="B99" t="str">
            <v>Mécanicien navigant</v>
          </cell>
        </row>
        <row r="100">
          <cell r="A100">
            <v>31889</v>
          </cell>
          <cell r="B100" t="str">
            <v>Pilote ligne</v>
          </cell>
        </row>
        <row r="101">
          <cell r="A101">
            <v>31894</v>
          </cell>
          <cell r="B101" t="str">
            <v>Droit transport</v>
          </cell>
        </row>
        <row r="102">
          <cell r="A102">
            <v>32008</v>
          </cell>
          <cell r="B102" t="str">
            <v>Responsabilité sociétale entreprise</v>
          </cell>
        </row>
        <row r="103">
          <cell r="A103">
            <v>32054</v>
          </cell>
          <cell r="B103" t="str">
            <v>Gestion organisations</v>
          </cell>
        </row>
        <row r="104">
          <cell r="A104">
            <v>32062</v>
          </cell>
          <cell r="B104" t="str">
            <v>Recherche et développement</v>
          </cell>
        </row>
        <row r="105">
          <cell r="A105">
            <v>32079</v>
          </cell>
          <cell r="B105" t="str">
            <v>Gestion performance</v>
          </cell>
        </row>
        <row r="106">
          <cell r="A106">
            <v>32110</v>
          </cell>
          <cell r="B106" t="str">
            <v>Management opérationnel</v>
          </cell>
        </row>
        <row r="107">
          <cell r="A107">
            <v>32130</v>
          </cell>
          <cell r="B107" t="str">
            <v>Animation motivation d'équipe</v>
          </cell>
        </row>
        <row r="108">
          <cell r="A108">
            <v>32135</v>
          </cell>
          <cell r="B108" t="str">
            <v>Conduite projet</v>
          </cell>
        </row>
        <row r="109">
          <cell r="A109">
            <v>32611</v>
          </cell>
          <cell r="B109" t="str">
            <v>Tresorerie</v>
          </cell>
        </row>
        <row r="110">
          <cell r="A110">
            <v>32650</v>
          </cell>
          <cell r="B110" t="str">
            <v>Gestion budgetaire</v>
          </cell>
        </row>
        <row r="111">
          <cell r="A111">
            <v>32652</v>
          </cell>
          <cell r="B111" t="str">
            <v>Controle gestion</v>
          </cell>
        </row>
        <row r="112">
          <cell r="A112">
            <v>32663</v>
          </cell>
          <cell r="B112" t="str">
            <v>Comptabilite</v>
          </cell>
        </row>
        <row r="113">
          <cell r="A113">
            <v>32688</v>
          </cell>
          <cell r="B113" t="str">
            <v>Traitement paie</v>
          </cell>
        </row>
        <row r="114">
          <cell r="A114">
            <v>33024</v>
          </cell>
          <cell r="B114" t="str">
            <v>Protection sociale</v>
          </cell>
        </row>
        <row r="115">
          <cell r="A115">
            <v>33035</v>
          </cell>
          <cell r="B115" t="str">
            <v>Audit ressources humaines</v>
          </cell>
        </row>
        <row r="116">
          <cell r="A116">
            <v>33052</v>
          </cell>
          <cell r="B116" t="str">
            <v>Administration personnel</v>
          </cell>
        </row>
        <row r="117">
          <cell r="A117">
            <v>33054</v>
          </cell>
          <cell r="B117" t="str">
            <v>Ressources humaines</v>
          </cell>
        </row>
        <row r="118">
          <cell r="A118">
            <v>34002</v>
          </cell>
          <cell r="B118" t="str">
            <v>Negociation achat</v>
          </cell>
        </row>
        <row r="119">
          <cell r="A119">
            <v>34005</v>
          </cell>
          <cell r="B119" t="str">
            <v>Qualité achats</v>
          </cell>
        </row>
        <row r="120">
          <cell r="A120">
            <v>34022</v>
          </cell>
          <cell r="B120" t="str">
            <v>Gestion fournisseur</v>
          </cell>
        </row>
        <row r="121">
          <cell r="A121">
            <v>34052</v>
          </cell>
          <cell r="B121" t="str">
            <v>Marketing</v>
          </cell>
        </row>
        <row r="122">
          <cell r="A122">
            <v>34053</v>
          </cell>
          <cell r="B122" t="str">
            <v>Marketing opérationnel</v>
          </cell>
        </row>
        <row r="123">
          <cell r="A123">
            <v>34056</v>
          </cell>
          <cell r="B123" t="str">
            <v>Administration ventes</v>
          </cell>
        </row>
        <row r="124">
          <cell r="A124">
            <v>34060</v>
          </cell>
          <cell r="B124" t="str">
            <v>Etude de marché</v>
          </cell>
        </row>
        <row r="125">
          <cell r="A125">
            <v>34085</v>
          </cell>
          <cell r="B125" t="str">
            <v>Strategie commerciale</v>
          </cell>
        </row>
        <row r="126">
          <cell r="A126">
            <v>34093</v>
          </cell>
          <cell r="B126" t="str">
            <v>Marketing digital</v>
          </cell>
        </row>
        <row r="127">
          <cell r="A127">
            <v>34254</v>
          </cell>
          <cell r="B127" t="str">
            <v>Commerce international</v>
          </cell>
        </row>
        <row r="128">
          <cell r="A128">
            <v>34506</v>
          </cell>
          <cell r="B128" t="str">
            <v>Vente produit mer</v>
          </cell>
        </row>
        <row r="129">
          <cell r="A129">
            <v>34507</v>
          </cell>
          <cell r="B129" t="str">
            <v>Vente à distance</v>
          </cell>
        </row>
        <row r="130">
          <cell r="A130">
            <v>34525</v>
          </cell>
          <cell r="B130" t="str">
            <v>Vente produit alimentaire</v>
          </cell>
        </row>
        <row r="131">
          <cell r="A131">
            <v>34582</v>
          </cell>
          <cell r="B131" t="str">
            <v>Négociation commerciale</v>
          </cell>
        </row>
        <row r="132">
          <cell r="A132">
            <v>34584</v>
          </cell>
          <cell r="B132" t="str">
            <v>Animation vente</v>
          </cell>
        </row>
        <row r="133">
          <cell r="A133">
            <v>34592</v>
          </cell>
          <cell r="B133" t="str">
            <v>Entretien vente</v>
          </cell>
        </row>
        <row r="134">
          <cell r="A134">
            <v>34593</v>
          </cell>
          <cell r="B134" t="str">
            <v>Prospection vente</v>
          </cell>
        </row>
        <row r="135">
          <cell r="A135">
            <v>34597</v>
          </cell>
          <cell r="B135" t="str">
            <v>Marchandisage</v>
          </cell>
        </row>
        <row r="136">
          <cell r="A136">
            <v>35052</v>
          </cell>
          <cell r="B136" t="str">
            <v>Accueil</v>
          </cell>
        </row>
        <row r="137">
          <cell r="A137">
            <v>35071</v>
          </cell>
          <cell r="B137" t="str">
            <v>Technique administrative</v>
          </cell>
        </row>
        <row r="138">
          <cell r="A138">
            <v>42022</v>
          </cell>
          <cell r="B138" t="str">
            <v>Medecine veterinaire</v>
          </cell>
        </row>
        <row r="139">
          <cell r="A139">
            <v>42093</v>
          </cell>
          <cell r="B139" t="str">
            <v>Nettoyage locaux</v>
          </cell>
        </row>
        <row r="140">
          <cell r="A140">
            <v>42661</v>
          </cell>
          <cell r="B140" t="str">
            <v>Yield management</v>
          </cell>
        </row>
        <row r="141">
          <cell r="A141">
            <v>42686</v>
          </cell>
          <cell r="B141" t="str">
            <v>Accueil tourisme</v>
          </cell>
        </row>
        <row r="142">
          <cell r="A142">
            <v>42752</v>
          </cell>
          <cell r="B142" t="str">
            <v>Cuisine</v>
          </cell>
        </row>
        <row r="143">
          <cell r="A143">
            <v>42757</v>
          </cell>
          <cell r="B143" t="str">
            <v>Service salle</v>
          </cell>
        </row>
        <row r="144">
          <cell r="A144">
            <v>42759</v>
          </cell>
          <cell r="B144" t="str">
            <v>Ecailler</v>
          </cell>
        </row>
        <row r="145">
          <cell r="A145">
            <v>42815</v>
          </cell>
          <cell r="B145" t="str">
            <v>Gestion risque entreprise</v>
          </cell>
        </row>
        <row r="146">
          <cell r="A146">
            <v>42863</v>
          </cell>
          <cell r="B146" t="str">
            <v>Audit sécurité</v>
          </cell>
        </row>
        <row r="147">
          <cell r="A147">
            <v>42866</v>
          </cell>
          <cell r="B147" t="str">
            <v>Santé sécurité travail</v>
          </cell>
        </row>
        <row r="148">
          <cell r="A148">
            <v>44008</v>
          </cell>
          <cell r="B148" t="str">
            <v>Intervention sociale familiale</v>
          </cell>
        </row>
        <row r="149">
          <cell r="A149">
            <v>44072</v>
          </cell>
          <cell r="B149" t="str">
            <v>Travail social</v>
          </cell>
        </row>
        <row r="150">
          <cell r="A150">
            <v>44517</v>
          </cell>
          <cell r="B150" t="str">
            <v>Conception action formation</v>
          </cell>
        </row>
        <row r="151">
          <cell r="A151">
            <v>44542</v>
          </cell>
          <cell r="B151" t="str">
            <v>Pédagogie</v>
          </cell>
        </row>
        <row r="152">
          <cell r="A152">
            <v>44780</v>
          </cell>
          <cell r="B152" t="str">
            <v>Conception action formation</v>
          </cell>
        </row>
        <row r="153">
          <cell r="A153">
            <v>46003</v>
          </cell>
          <cell r="B153" t="str">
            <v>Infographie</v>
          </cell>
        </row>
        <row r="154">
          <cell r="A154">
            <v>46301</v>
          </cell>
          <cell r="B154" t="str">
            <v>Communication entreprise</v>
          </cell>
        </row>
        <row r="155">
          <cell r="A155">
            <v>46310</v>
          </cell>
          <cell r="B155" t="str">
            <v>Relation presse média</v>
          </cell>
        </row>
        <row r="156">
          <cell r="A156">
            <v>46311</v>
          </cell>
          <cell r="B156" t="str">
            <v>Communication entreprise</v>
          </cell>
        </row>
        <row r="157">
          <cell r="A157">
            <v>46319</v>
          </cell>
          <cell r="B157" t="str">
            <v>Ecriture informative</v>
          </cell>
        </row>
        <row r="158">
          <cell r="A158">
            <v>46346</v>
          </cell>
          <cell r="B158" t="str">
            <v>Recherche documentaire</v>
          </cell>
        </row>
        <row r="159">
          <cell r="A159">
            <v>46347</v>
          </cell>
          <cell r="B159" t="str">
            <v>Stratégie communication numérique</v>
          </cell>
        </row>
      </sheetData>
      <sheetData sheetId="1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C66240-572A-44EB-95B4-14447868926C}" name="Tableau1" displayName="Tableau1" ref="A1:H30" totalsRowShown="0" dataDxfId="17">
  <autoFilter ref="A1:H30" xr:uid="{BEAA140C-0306-40C9-AE4C-80041BD97A0B}"/>
  <tableColumns count="8">
    <tableColumn id="1" xr3:uid="{B939A8DB-1343-4421-8B41-71CE536BDE88}" name="DOSSIER_SOURCE"/>
    <tableColumn id="3" xr3:uid="{A8384CA0-2257-4094-83EF-3A2711DB2F6F}" name="INT_METIER" dataDxfId="16"/>
    <tableColumn id="34" xr3:uid="{1AF78939-C6E9-41DE-8566-49BE8547F4B4}" name="TRANSV_2" dataDxfId="15"/>
    <tableColumn id="40" xr3:uid="{E8E37C69-7EF1-47D4-8BE0-78320FE5E1CE}" name="TRANSV_8" dataDxfId="14"/>
    <tableColumn id="42" xr3:uid="{57279E5A-C29D-4F24-B91E-D8B85623E5C4}" name="TRANSV_10" dataDxfId="13"/>
    <tableColumn id="57" xr3:uid="{7A2A859F-6E2A-404A-B4DA-4912AAC90EF2}" name="RESPONS_TRANS" dataDxfId="12"/>
    <tableColumn id="58" xr3:uid="{3A21E45D-E16F-45D7-9FA2-ADDFA4A97F2D}" name="INTERFACE" dataDxfId="11"/>
    <tableColumn id="61" xr3:uid="{F736ADD8-70D1-441E-8075-B786C0DF2A49}" name="NIVEAU_FORMATION" dataDxfId="1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CADC-3C1D-4C62-B267-730B738D88ED}">
  <sheetPr>
    <tabColor theme="5"/>
  </sheetPr>
  <dimension ref="A1:J29"/>
  <sheetViews>
    <sheetView showGridLines="0" workbookViewId="0">
      <selection activeCell="G21" sqref="G21"/>
    </sheetView>
  </sheetViews>
  <sheetFormatPr defaultColWidth="11.42578125" defaultRowHeight="15"/>
  <cols>
    <col min="1" max="1" width="3.85546875" customWidth="1"/>
  </cols>
  <sheetData>
    <row r="1" spans="1:10" ht="15" customHeight="1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ht="15" customHeight="1">
      <c r="A2" s="80"/>
      <c r="B2" s="80"/>
      <c r="C2" s="80"/>
      <c r="D2" s="80"/>
      <c r="E2" s="80"/>
      <c r="F2" s="80"/>
      <c r="G2" s="80"/>
      <c r="H2" s="80"/>
      <c r="I2" s="80"/>
      <c r="J2" s="80"/>
    </row>
    <row r="3" spans="1:10" ht="15" customHeight="1"/>
    <row r="4" spans="1:10" ht="15" customHeight="1">
      <c r="A4" t="s">
        <v>1</v>
      </c>
    </row>
    <row r="5" spans="1:10" ht="15" customHeight="1"/>
    <row r="6" spans="1:10" ht="15.75">
      <c r="A6" s="51" t="s">
        <v>2</v>
      </c>
    </row>
    <row r="7" spans="1:10">
      <c r="B7" s="50" t="s">
        <v>3</v>
      </c>
    </row>
    <row r="8" spans="1:10">
      <c r="C8" t="s">
        <v>4</v>
      </c>
    </row>
    <row r="9" spans="1:10">
      <c r="B9" s="52"/>
      <c r="C9" t="s">
        <v>5</v>
      </c>
    </row>
    <row r="10" spans="1:10">
      <c r="B10" s="50"/>
      <c r="C10" t="s">
        <v>6</v>
      </c>
    </row>
    <row r="11" spans="1:10">
      <c r="B11" s="50"/>
      <c r="C11" t="s">
        <v>7</v>
      </c>
    </row>
    <row r="12" spans="1:10">
      <c r="B12" s="50"/>
    </row>
    <row r="13" spans="1:10">
      <c r="B13" s="50" t="s">
        <v>8</v>
      </c>
    </row>
    <row r="14" spans="1:10">
      <c r="C14" t="s">
        <v>9</v>
      </c>
    </row>
    <row r="15" spans="1:10">
      <c r="C15" t="s">
        <v>10</v>
      </c>
    </row>
    <row r="17" spans="1:3">
      <c r="B17" s="50" t="s">
        <v>11</v>
      </c>
    </row>
    <row r="18" spans="1:3">
      <c r="C18" t="s">
        <v>12</v>
      </c>
    </row>
    <row r="19" spans="1:3">
      <c r="C19" t="s">
        <v>13</v>
      </c>
    </row>
    <row r="20" spans="1:3">
      <c r="C20" t="s">
        <v>14</v>
      </c>
    </row>
    <row r="22" spans="1:3" ht="15.75">
      <c r="A22" s="51" t="s">
        <v>15</v>
      </c>
    </row>
    <row r="23" spans="1:3">
      <c r="B23" t="s">
        <v>16</v>
      </c>
    </row>
    <row r="25" spans="1:3" ht="15.75">
      <c r="A25" s="51" t="s">
        <v>17</v>
      </c>
    </row>
    <row r="26" spans="1:3">
      <c r="B26" t="s">
        <v>18</v>
      </c>
    </row>
    <row r="29" spans="1:3" ht="15.75">
      <c r="A29" s="51" t="s">
        <v>19</v>
      </c>
    </row>
  </sheetData>
  <mergeCells count="1">
    <mergeCell ref="A1:J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140C-0306-40C9-AE4C-80041BD97A0B}">
  <sheetPr codeName="Feuil4">
    <tabColor theme="5" tint="0.59999389629810485"/>
  </sheetPr>
  <dimension ref="A1:H30"/>
  <sheetViews>
    <sheetView topLeftCell="B1" workbookViewId="0">
      <selection activeCell="L19" sqref="L19"/>
    </sheetView>
  </sheetViews>
  <sheetFormatPr defaultColWidth="11.42578125" defaultRowHeight="15"/>
  <cols>
    <col min="1" max="1" width="38.5703125" hidden="1" customWidth="1"/>
    <col min="2" max="2" width="32.5703125" style="62" customWidth="1"/>
    <col min="3" max="4" width="12.140625" customWidth="1"/>
    <col min="5" max="5" width="14.140625" customWidth="1"/>
    <col min="6" max="6" width="18.7109375" customWidth="1"/>
    <col min="7" max="7" width="20.85546875" customWidth="1"/>
    <col min="8" max="8" width="12.7109375" style="2" customWidth="1"/>
  </cols>
  <sheetData>
    <row r="1" spans="1:8">
      <c r="A1" s="1" t="s">
        <v>20</v>
      </c>
      <c r="B1" s="61" t="s">
        <v>21</v>
      </c>
      <c r="C1" s="13" t="s">
        <v>22</v>
      </c>
      <c r="D1" s="13" t="s">
        <v>23</v>
      </c>
      <c r="E1" s="13" t="s">
        <v>24</v>
      </c>
      <c r="F1" s="14" t="s">
        <v>25</v>
      </c>
      <c r="G1" s="14" t="s">
        <v>26</v>
      </c>
      <c r="H1" s="15" t="s">
        <v>27</v>
      </c>
    </row>
    <row r="2" spans="1:8">
      <c r="A2" t="s">
        <v>28</v>
      </c>
      <c r="B2" s="62" t="s">
        <v>29</v>
      </c>
      <c r="C2" t="s">
        <v>4</v>
      </c>
      <c r="D2" t="s">
        <v>4</v>
      </c>
      <c r="E2" t="s">
        <v>4</v>
      </c>
      <c r="F2" t="s">
        <v>10</v>
      </c>
      <c r="G2" t="s">
        <v>12</v>
      </c>
      <c r="H2" s="2">
        <v>4</v>
      </c>
    </row>
    <row r="3" spans="1:8">
      <c r="A3" t="s">
        <v>28</v>
      </c>
      <c r="B3" s="62" t="s">
        <v>30</v>
      </c>
      <c r="C3" t="s">
        <v>5</v>
      </c>
      <c r="D3" t="s">
        <v>4</v>
      </c>
      <c r="E3" t="s">
        <v>5</v>
      </c>
      <c r="F3" t="s">
        <v>10</v>
      </c>
      <c r="G3" t="s">
        <v>14</v>
      </c>
      <c r="H3" s="2">
        <v>4</v>
      </c>
    </row>
    <row r="4" spans="1:8">
      <c r="A4" t="s">
        <v>31</v>
      </c>
      <c r="B4" s="62" t="s">
        <v>32</v>
      </c>
      <c r="C4" t="s">
        <v>4</v>
      </c>
      <c r="D4" t="s">
        <v>4</v>
      </c>
      <c r="E4" t="s">
        <v>4</v>
      </c>
      <c r="F4" t="s">
        <v>10</v>
      </c>
      <c r="G4" t="s">
        <v>14</v>
      </c>
      <c r="H4" s="2">
        <v>3</v>
      </c>
    </row>
    <row r="5" spans="1:8">
      <c r="A5" t="s">
        <v>31</v>
      </c>
      <c r="B5" s="62" t="s">
        <v>33</v>
      </c>
      <c r="C5" t="s">
        <v>6</v>
      </c>
      <c r="D5" t="s">
        <v>6</v>
      </c>
      <c r="E5" t="s">
        <v>6</v>
      </c>
      <c r="F5" t="s">
        <v>9</v>
      </c>
      <c r="G5" t="s">
        <v>13</v>
      </c>
      <c r="H5" s="2">
        <v>5.5</v>
      </c>
    </row>
    <row r="6" spans="1:8">
      <c r="A6" t="s">
        <v>28</v>
      </c>
      <c r="B6" s="62" t="s">
        <v>34</v>
      </c>
      <c r="C6" t="s">
        <v>5</v>
      </c>
      <c r="D6" t="s">
        <v>6</v>
      </c>
      <c r="E6" t="s">
        <v>6</v>
      </c>
      <c r="F6" t="s">
        <v>10</v>
      </c>
      <c r="G6" t="s">
        <v>13</v>
      </c>
      <c r="H6" s="2">
        <v>6</v>
      </c>
    </row>
    <row r="7" spans="1:8">
      <c r="A7" t="s">
        <v>28</v>
      </c>
      <c r="B7" s="62" t="s">
        <v>35</v>
      </c>
      <c r="C7" t="s">
        <v>6</v>
      </c>
      <c r="D7" t="s">
        <v>6</v>
      </c>
      <c r="E7" t="s">
        <v>6</v>
      </c>
      <c r="F7" t="s">
        <v>9</v>
      </c>
      <c r="G7" t="s">
        <v>12</v>
      </c>
      <c r="H7" s="2">
        <v>6</v>
      </c>
    </row>
    <row r="8" spans="1:8">
      <c r="A8" t="s">
        <v>28</v>
      </c>
      <c r="B8" s="62" t="s">
        <v>36</v>
      </c>
      <c r="C8" t="s">
        <v>6</v>
      </c>
      <c r="D8" t="s">
        <v>6</v>
      </c>
      <c r="E8" t="s">
        <v>6</v>
      </c>
      <c r="F8" t="s">
        <v>9</v>
      </c>
      <c r="G8" t="s">
        <v>13</v>
      </c>
      <c r="H8" s="2">
        <v>6</v>
      </c>
    </row>
    <row r="9" spans="1:8">
      <c r="A9" t="s">
        <v>28</v>
      </c>
      <c r="B9" s="62" t="s">
        <v>32</v>
      </c>
      <c r="C9" t="s">
        <v>4</v>
      </c>
      <c r="D9" t="s">
        <v>4</v>
      </c>
      <c r="E9" t="s">
        <v>4</v>
      </c>
      <c r="F9" t="s">
        <v>10</v>
      </c>
      <c r="G9" t="s">
        <v>14</v>
      </c>
      <c r="H9" s="2">
        <v>3</v>
      </c>
    </row>
    <row r="10" spans="1:8">
      <c r="A10" t="s">
        <v>28</v>
      </c>
      <c r="B10" s="62" t="s">
        <v>37</v>
      </c>
      <c r="C10" t="s">
        <v>5</v>
      </c>
      <c r="D10" t="s">
        <v>5</v>
      </c>
      <c r="E10" t="s">
        <v>6</v>
      </c>
      <c r="F10" t="s">
        <v>10</v>
      </c>
      <c r="G10" t="s">
        <v>12</v>
      </c>
      <c r="H10" s="2">
        <v>5.5</v>
      </c>
    </row>
    <row r="11" spans="1:8">
      <c r="A11" t="s">
        <v>28</v>
      </c>
      <c r="B11" s="62" t="s">
        <v>38</v>
      </c>
      <c r="C11" t="s">
        <v>7</v>
      </c>
      <c r="D11" t="s">
        <v>7</v>
      </c>
      <c r="E11" t="s">
        <v>7</v>
      </c>
      <c r="F11" t="s">
        <v>9</v>
      </c>
      <c r="G11" t="s">
        <v>13</v>
      </c>
      <c r="H11" s="2">
        <v>7</v>
      </c>
    </row>
    <row r="12" spans="1:8">
      <c r="A12" t="s">
        <v>31</v>
      </c>
      <c r="B12" s="62" t="s">
        <v>39</v>
      </c>
      <c r="C12" t="s">
        <v>5</v>
      </c>
      <c r="D12" t="s">
        <v>5</v>
      </c>
      <c r="E12" t="s">
        <v>5</v>
      </c>
      <c r="F12" t="s">
        <v>10</v>
      </c>
      <c r="G12" t="s">
        <v>14</v>
      </c>
      <c r="H12" s="2">
        <v>3</v>
      </c>
    </row>
    <row r="13" spans="1:8">
      <c r="A13" t="s">
        <v>28</v>
      </c>
      <c r="B13" s="62" t="s">
        <v>40</v>
      </c>
      <c r="C13" t="s">
        <v>5</v>
      </c>
      <c r="D13" t="s">
        <v>4</v>
      </c>
      <c r="E13" t="s">
        <v>4</v>
      </c>
      <c r="F13" t="s">
        <v>10</v>
      </c>
      <c r="G13" t="s">
        <v>14</v>
      </c>
      <c r="H13" s="2">
        <v>4</v>
      </c>
    </row>
    <row r="14" spans="1:8">
      <c r="A14" t="s">
        <v>28</v>
      </c>
      <c r="B14" s="62" t="s">
        <v>41</v>
      </c>
      <c r="C14" t="s">
        <v>6</v>
      </c>
      <c r="D14" t="s">
        <v>5</v>
      </c>
      <c r="E14" t="s">
        <v>6</v>
      </c>
      <c r="F14" t="s">
        <v>9</v>
      </c>
      <c r="G14" t="s">
        <v>13</v>
      </c>
      <c r="H14" s="2">
        <v>5</v>
      </c>
    </row>
    <row r="15" spans="1:8">
      <c r="A15" t="s">
        <v>28</v>
      </c>
      <c r="B15" s="62" t="s">
        <v>42</v>
      </c>
      <c r="C15" t="s">
        <v>5</v>
      </c>
      <c r="D15" t="s">
        <v>5</v>
      </c>
      <c r="E15" t="s">
        <v>5</v>
      </c>
      <c r="F15" t="s">
        <v>10</v>
      </c>
      <c r="G15" t="s">
        <v>14</v>
      </c>
      <c r="H15" s="2">
        <v>3</v>
      </c>
    </row>
    <row r="16" spans="1:8">
      <c r="A16" t="s">
        <v>28</v>
      </c>
      <c r="B16" s="62" t="s">
        <v>43</v>
      </c>
      <c r="C16" t="s">
        <v>4</v>
      </c>
      <c r="D16" t="s">
        <v>4</v>
      </c>
      <c r="E16" t="s">
        <v>4</v>
      </c>
      <c r="F16" t="s">
        <v>10</v>
      </c>
      <c r="G16" t="s">
        <v>14</v>
      </c>
      <c r="H16" s="2">
        <v>3</v>
      </c>
    </row>
    <row r="17" spans="1:8">
      <c r="A17" t="s">
        <v>28</v>
      </c>
      <c r="B17" s="62" t="s">
        <v>44</v>
      </c>
      <c r="C17" t="s">
        <v>6</v>
      </c>
      <c r="D17" t="s">
        <v>6</v>
      </c>
      <c r="E17" t="s">
        <v>6</v>
      </c>
      <c r="F17" t="s">
        <v>9</v>
      </c>
      <c r="G17" t="s">
        <v>12</v>
      </c>
      <c r="H17" s="2">
        <v>5.5</v>
      </c>
    </row>
    <row r="18" spans="1:8">
      <c r="A18" t="s">
        <v>28</v>
      </c>
      <c r="B18" s="62" t="s">
        <v>45</v>
      </c>
      <c r="C18" t="s">
        <v>6</v>
      </c>
      <c r="D18" t="s">
        <v>6</v>
      </c>
      <c r="E18" t="s">
        <v>6</v>
      </c>
      <c r="F18" t="s">
        <v>9</v>
      </c>
      <c r="G18" t="s">
        <v>13</v>
      </c>
      <c r="H18" s="2">
        <v>6.5</v>
      </c>
    </row>
    <row r="19" spans="1:8">
      <c r="A19" t="s">
        <v>28</v>
      </c>
      <c r="B19" s="62" t="s">
        <v>46</v>
      </c>
      <c r="C19" t="s">
        <v>4</v>
      </c>
      <c r="D19" t="s">
        <v>4</v>
      </c>
      <c r="E19" t="s">
        <v>4</v>
      </c>
      <c r="F19" t="s">
        <v>10</v>
      </c>
      <c r="G19" t="s">
        <v>14</v>
      </c>
      <c r="H19" s="2">
        <v>3</v>
      </c>
    </row>
    <row r="20" spans="1:8">
      <c r="A20" t="s">
        <v>28</v>
      </c>
      <c r="B20" s="62" t="s">
        <v>47</v>
      </c>
      <c r="C20" t="s">
        <v>4</v>
      </c>
      <c r="D20" t="s">
        <v>4</v>
      </c>
      <c r="E20" t="s">
        <v>5</v>
      </c>
      <c r="F20" t="s">
        <v>10</v>
      </c>
      <c r="G20" t="s">
        <v>14</v>
      </c>
      <c r="H20" s="2">
        <v>3</v>
      </c>
    </row>
    <row r="21" spans="1:8">
      <c r="A21" t="s">
        <v>28</v>
      </c>
      <c r="B21" s="62" t="s">
        <v>48</v>
      </c>
      <c r="C21" t="s">
        <v>4</v>
      </c>
      <c r="D21" t="s">
        <v>4</v>
      </c>
      <c r="E21" t="s">
        <v>4</v>
      </c>
      <c r="F21" t="s">
        <v>10</v>
      </c>
      <c r="G21" t="s">
        <v>14</v>
      </c>
      <c r="H21" s="2">
        <v>3</v>
      </c>
    </row>
    <row r="22" spans="1:8">
      <c r="A22" t="s">
        <v>28</v>
      </c>
      <c r="B22" s="62" t="s">
        <v>49</v>
      </c>
      <c r="C22" t="s">
        <v>5</v>
      </c>
      <c r="D22" t="s">
        <v>5</v>
      </c>
      <c r="E22" t="s">
        <v>5</v>
      </c>
      <c r="F22" t="s">
        <v>10</v>
      </c>
      <c r="G22" t="s">
        <v>12</v>
      </c>
      <c r="H22" s="2">
        <v>4</v>
      </c>
    </row>
    <row r="23" spans="1:8">
      <c r="A23" t="s">
        <v>28</v>
      </c>
      <c r="B23" s="62" t="s">
        <v>50</v>
      </c>
      <c r="C23" t="s">
        <v>5</v>
      </c>
      <c r="D23" t="s">
        <v>5</v>
      </c>
      <c r="E23" t="s">
        <v>5</v>
      </c>
      <c r="F23" t="s">
        <v>9</v>
      </c>
      <c r="G23" t="s">
        <v>12</v>
      </c>
      <c r="H23" s="2">
        <v>4</v>
      </c>
    </row>
    <row r="24" spans="1:8">
      <c r="A24" t="s">
        <v>28</v>
      </c>
      <c r="B24" s="62" t="s">
        <v>51</v>
      </c>
      <c r="C24" t="s">
        <v>7</v>
      </c>
      <c r="D24" t="s">
        <v>7</v>
      </c>
      <c r="E24" t="s">
        <v>7</v>
      </c>
      <c r="F24" t="s">
        <v>9</v>
      </c>
      <c r="G24" t="s">
        <v>13</v>
      </c>
      <c r="H24" s="2">
        <v>6</v>
      </c>
    </row>
    <row r="25" spans="1:8">
      <c r="A25" t="s">
        <v>28</v>
      </c>
      <c r="B25" s="62" t="s">
        <v>52</v>
      </c>
      <c r="C25" t="s">
        <v>4</v>
      </c>
      <c r="D25" t="s">
        <v>4</v>
      </c>
      <c r="E25" t="s">
        <v>4</v>
      </c>
      <c r="F25" t="s">
        <v>10</v>
      </c>
      <c r="G25" t="s">
        <v>14</v>
      </c>
      <c r="H25" s="2">
        <v>3</v>
      </c>
    </row>
    <row r="26" spans="1:8">
      <c r="A26" t="s">
        <v>28</v>
      </c>
      <c r="B26" s="62" t="s">
        <v>53</v>
      </c>
      <c r="C26" t="s">
        <v>4</v>
      </c>
      <c r="D26" t="s">
        <v>4</v>
      </c>
      <c r="E26" t="s">
        <v>4</v>
      </c>
      <c r="F26" t="s">
        <v>10</v>
      </c>
      <c r="G26" t="s">
        <v>14</v>
      </c>
      <c r="H26" s="2">
        <v>3</v>
      </c>
    </row>
    <row r="27" spans="1:8">
      <c r="A27" t="s">
        <v>28</v>
      </c>
      <c r="B27" s="62" t="s">
        <v>54</v>
      </c>
      <c r="C27" t="s">
        <v>4</v>
      </c>
      <c r="D27" t="s">
        <v>4</v>
      </c>
      <c r="E27" t="s">
        <v>4</v>
      </c>
      <c r="F27" t="s">
        <v>10</v>
      </c>
      <c r="G27" t="s">
        <v>14</v>
      </c>
      <c r="H27" s="2">
        <v>3</v>
      </c>
    </row>
    <row r="28" spans="1:8">
      <c r="A28" t="s">
        <v>28</v>
      </c>
      <c r="B28" s="62" t="s">
        <v>55</v>
      </c>
      <c r="C28" t="s">
        <v>5</v>
      </c>
      <c r="D28" t="s">
        <v>4</v>
      </c>
      <c r="E28" t="s">
        <v>5</v>
      </c>
      <c r="F28" t="s">
        <v>10</v>
      </c>
      <c r="G28" t="s">
        <v>12</v>
      </c>
      <c r="H28" s="2">
        <v>4</v>
      </c>
    </row>
    <row r="29" spans="1:8">
      <c r="A29" t="s">
        <v>28</v>
      </c>
      <c r="B29" s="62" t="s">
        <v>56</v>
      </c>
      <c r="C29" t="s">
        <v>5</v>
      </c>
      <c r="D29" t="s">
        <v>4</v>
      </c>
      <c r="E29" t="s">
        <v>5</v>
      </c>
      <c r="F29" t="s">
        <v>10</v>
      </c>
      <c r="G29" t="s">
        <v>12</v>
      </c>
      <c r="H29" s="2">
        <v>4</v>
      </c>
    </row>
    <row r="30" spans="1:8">
      <c r="A30" t="s">
        <v>28</v>
      </c>
      <c r="B30" s="62" t="s">
        <v>57</v>
      </c>
      <c r="C30" t="s">
        <v>5</v>
      </c>
      <c r="D30" t="s">
        <v>4</v>
      </c>
      <c r="E30" t="s">
        <v>5</v>
      </c>
      <c r="F30" t="s">
        <v>10</v>
      </c>
      <c r="G30" t="s">
        <v>12</v>
      </c>
      <c r="H30" s="2">
        <v>4.5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4BA58-EC38-45FB-BC63-7BA0C951C312}">
  <sheetPr codeName="Feuil5"/>
  <dimension ref="A1:AD30"/>
  <sheetViews>
    <sheetView tabSelected="1" workbookViewId="0">
      <selection activeCell="I6" sqref="I6"/>
    </sheetView>
  </sheetViews>
  <sheetFormatPr defaultColWidth="11.42578125" defaultRowHeight="15"/>
  <sheetData>
    <row r="1" spans="1:30">
      <c r="B1" t="str" cm="1">
        <f t="array" ref="B1:AD1">TRANSPOSE(Tableau1[INT_METIER])</f>
        <v>Caviste</v>
      </c>
      <c r="C1" t="str">
        <v>Agent de silo</v>
      </c>
      <c r="D1" t="str">
        <v>Opérateur(trice) logistique</v>
      </c>
      <c r="E1" t="str">
        <v>Manager(euse) logistique</v>
      </c>
      <c r="F1" t="str">
        <v>Maître(sse) de chai</v>
      </c>
      <c r="G1" t="str">
        <v>Superviseur(se) de production (fabrication / conditionnement)</v>
      </c>
      <c r="H1" t="str">
        <v>Spécialiste planning / ordonnancement</v>
      </c>
      <c r="I1" t="str">
        <v>Opérateur(trice) logistique</v>
      </c>
      <c r="J1" t="str">
        <v>Logisticien(ne) approvisionneur(se)</v>
      </c>
      <c r="K1" t="str">
        <v>Responsable de production de produits alimentaires (fabrication / conditionnement)</v>
      </c>
      <c r="L1" t="str">
        <v>Chauffeur(se) livreur(se)</v>
      </c>
      <c r="M1" t="str">
        <v>Régleur(se)</v>
      </c>
      <c r="N1" t="str">
        <v>Spécialiste procédés et installations de production alimentaire</v>
      </c>
      <c r="O1" t="str">
        <v>Conducteur(trice) de livraison et de collecte</v>
      </c>
      <c r="P1" t="str">
        <v>Opérateur(trice) hygiène / sanitation</v>
      </c>
      <c r="Q1" t="str">
        <v>Chef(fe) de silo</v>
      </c>
      <c r="R1" t="str">
        <v>Acheteur(se) / négociateur(trice) de matières premières</v>
      </c>
      <c r="S1" t="str">
        <v>Opérateur(trice) de production alimentaire</v>
      </c>
      <c r="T1" t="str">
        <v>Conducteur(trice) de machine(s) de production alimentaire (fabrication / conditionnement)</v>
      </c>
      <c r="U1" t="str">
        <v>Boulanger(ère)/pâtissier(ère) industriel(le)</v>
      </c>
      <c r="V1" t="str">
        <v>Conducteur(trice) de ligne(s)de production alimentaire (fabrication/conditionnement)</v>
      </c>
      <c r="W1" t="str">
        <v>Conducteur(trice) de process de production alimentaire</v>
      </c>
      <c r="X1" t="str">
        <v>Responsable de plateforme/ d’exploitation logistique</v>
      </c>
      <c r="Y1" t="str">
        <v>Opérateur(trice) de transformation des viandes</v>
      </c>
      <c r="Z1" t="str">
        <v>Fromager(ère) industriel(le)</v>
      </c>
      <c r="AA1" t="str">
        <v>Opérateur(trice) de préparation de poissons et de produits de la mer</v>
      </c>
      <c r="AB1" t="str">
        <v>Mécanicien(ne) de maintenance industrielle</v>
      </c>
      <c r="AC1" t="str">
        <v>Mécanicien(ne)-sertisseur(euse)</v>
      </c>
      <c r="AD1" t="str">
        <v>Electromécanicien(ne) de maintenance industrielle</v>
      </c>
    </row>
    <row r="2" spans="1:30">
      <c r="A2" t="str" cm="1">
        <f t="array" ref="A2:A30">Tableau1[INT_METIER]</f>
        <v>Caviste</v>
      </c>
      <c r="B2">
        <f>IF(INDEX(Data_metier!$H:$H,MATCH($A2,Data_metier!$B:$B,0))-INDEX(Data_metier!$H:$H,MATCH(B$1,Data_metier!$B:$B,0))&lt; 0,-1,
IF(AND(INDEX(Data_metier!$H:$H,MATCH($A2,Data_metier!$B:$B,0))-INDEX(Data_metier!$H:$H,MATCH(B$1,Data_metier!$B:$B,0))&gt; 0,
INDEX(Data_metier!$H:$H,MATCH($A2,Data_metier!$B:$B,0))-INDEX(Data_metier!$H:$H,MATCH(B$1,Data_metier!$B:$B,0))&lt;=1),
1,
IF(INDEX(Data_metier!$H:$H,MATCH($A2,Data_metier!$B:$B,0))-INDEX(Data_metier!$H:$H,MATCH(B$1,Data_metier!$B:$B,0))&gt; 1,
2,
0)))</f>
        <v>0</v>
      </c>
      <c r="C2">
        <f>IF(INDEX(Data_metier!$H:$H,MATCH($A2,Data_metier!$B:$B,0))-INDEX(Data_metier!$H:$H,MATCH(C$1,Data_metier!$B:$B,0))&lt; 0,-1,
IF(AND(INDEX(Data_metier!$H:$H,MATCH($A2,Data_metier!$B:$B,0))-INDEX(Data_metier!$H:$H,MATCH(C$1,Data_metier!$B:$B,0))&gt; 0,
INDEX(Data_metier!$H:$H,MATCH($A2,Data_metier!$B:$B,0))-INDEX(Data_metier!$H:$H,MATCH(C$1,Data_metier!$B:$B,0))&lt;=1),
1,
IF(INDEX(Data_metier!$H:$H,MATCH($A2,Data_metier!$B:$B,0))-INDEX(Data_metier!$H:$H,MATCH(C$1,Data_metier!$B:$B,0))&gt; 1,
2,
0)))</f>
        <v>0</v>
      </c>
      <c r="D2">
        <f>IF(INDEX(Data_metier!$H:$H,MATCH($A2,Data_metier!$B:$B,0))-INDEX(Data_metier!$H:$H,MATCH(D$1,Data_metier!$B:$B,0))&lt; 0,-1,
IF(AND(INDEX(Data_metier!$H:$H,MATCH($A2,Data_metier!$B:$B,0))-INDEX(Data_metier!$H:$H,MATCH(D$1,Data_metier!$B:$B,0))&gt; 0,
INDEX(Data_metier!$H:$H,MATCH($A2,Data_metier!$B:$B,0))-INDEX(Data_metier!$H:$H,MATCH(D$1,Data_metier!$B:$B,0))&lt;=1),
1,
IF(INDEX(Data_metier!$H:$H,MATCH($A2,Data_metier!$B:$B,0))-INDEX(Data_metier!$H:$H,MATCH(D$1,Data_metier!$B:$B,0))&gt; 1,
2,
0)))</f>
        <v>1</v>
      </c>
      <c r="E2">
        <f>IF(INDEX(Data_metier!$H:$H,MATCH($A2,Data_metier!$B:$B,0))-INDEX(Data_metier!$H:$H,MATCH(E$1,Data_metier!$B:$B,0))&lt; 0,-1,
IF(AND(INDEX(Data_metier!$H:$H,MATCH($A2,Data_metier!$B:$B,0))-INDEX(Data_metier!$H:$H,MATCH(E$1,Data_metier!$B:$B,0))&gt; 0,
INDEX(Data_metier!$H:$H,MATCH($A2,Data_metier!$B:$B,0))-INDEX(Data_metier!$H:$H,MATCH(E$1,Data_metier!$B:$B,0))&lt;=1),
1,
IF(INDEX(Data_metier!$H:$H,MATCH($A2,Data_metier!$B:$B,0))-INDEX(Data_metier!$H:$H,MATCH(E$1,Data_metier!$B:$B,0))&gt; 1,
2,
0)))</f>
        <v>-1</v>
      </c>
      <c r="F2">
        <f>IF(INDEX(Data_metier!$H:$H,MATCH($A2,Data_metier!$B:$B,0))-INDEX(Data_metier!$H:$H,MATCH(F$1,Data_metier!$B:$B,0))&lt; 0,-1,
IF(AND(INDEX(Data_metier!$H:$H,MATCH($A2,Data_metier!$B:$B,0))-INDEX(Data_metier!$H:$H,MATCH(F$1,Data_metier!$B:$B,0))&gt; 0,
INDEX(Data_metier!$H:$H,MATCH($A2,Data_metier!$B:$B,0))-INDEX(Data_metier!$H:$H,MATCH(F$1,Data_metier!$B:$B,0))&lt;=1),
1,
IF(INDEX(Data_metier!$H:$H,MATCH($A2,Data_metier!$B:$B,0))-INDEX(Data_metier!$H:$H,MATCH(F$1,Data_metier!$B:$B,0))&gt; 1,
2,
0)))</f>
        <v>-1</v>
      </c>
      <c r="G2">
        <f>IF(INDEX(Data_metier!$H:$H,MATCH($A2,Data_metier!$B:$B,0))-INDEX(Data_metier!$H:$H,MATCH(G$1,Data_metier!$B:$B,0))&lt; 0,-1,
IF(AND(INDEX(Data_metier!$H:$H,MATCH($A2,Data_metier!$B:$B,0))-INDEX(Data_metier!$H:$H,MATCH(G$1,Data_metier!$B:$B,0))&gt; 0,
INDEX(Data_metier!$H:$H,MATCH($A2,Data_metier!$B:$B,0))-INDEX(Data_metier!$H:$H,MATCH(G$1,Data_metier!$B:$B,0))&lt;=1),
1,
IF(INDEX(Data_metier!$H:$H,MATCH($A2,Data_metier!$B:$B,0))-INDEX(Data_metier!$H:$H,MATCH(G$1,Data_metier!$B:$B,0))&gt; 1,
2,
0)))</f>
        <v>-1</v>
      </c>
      <c r="H2">
        <f>IF(INDEX(Data_metier!$H:$H,MATCH($A2,Data_metier!$B:$B,0))-INDEX(Data_metier!$H:$H,MATCH(H$1,Data_metier!$B:$B,0))&lt; 0,-1,
IF(AND(INDEX(Data_metier!$H:$H,MATCH($A2,Data_metier!$B:$B,0))-INDEX(Data_metier!$H:$H,MATCH(H$1,Data_metier!$B:$B,0))&gt; 0,
INDEX(Data_metier!$H:$H,MATCH($A2,Data_metier!$B:$B,0))-INDEX(Data_metier!$H:$H,MATCH(H$1,Data_metier!$B:$B,0))&lt;=1),
1,
IF(INDEX(Data_metier!$H:$H,MATCH($A2,Data_metier!$B:$B,0))-INDEX(Data_metier!$H:$H,MATCH(H$1,Data_metier!$B:$B,0))&gt; 1,
2,
0)))</f>
        <v>-1</v>
      </c>
      <c r="I2">
        <f>IF(INDEX(Data_metier!$H:$H,MATCH($A2,Data_metier!$B:$B,0))-INDEX(Data_metier!$H:$H,MATCH(I$1,Data_metier!$B:$B,0))&lt; 0,-1,
IF(AND(INDEX(Data_metier!$H:$H,MATCH($A2,Data_metier!$B:$B,0))-INDEX(Data_metier!$H:$H,MATCH(I$1,Data_metier!$B:$B,0))&gt; 0,
INDEX(Data_metier!$H:$H,MATCH($A2,Data_metier!$B:$B,0))-INDEX(Data_metier!$H:$H,MATCH(I$1,Data_metier!$B:$B,0))&lt;=1),
1,
IF(INDEX(Data_metier!$H:$H,MATCH($A2,Data_metier!$B:$B,0))-INDEX(Data_metier!$H:$H,MATCH(I$1,Data_metier!$B:$B,0))&gt; 1,
2,
0)))</f>
        <v>1</v>
      </c>
      <c r="J2">
        <f>IF(INDEX(Data_metier!$H:$H,MATCH($A2,Data_metier!$B:$B,0))-INDEX(Data_metier!$H:$H,MATCH(J$1,Data_metier!$B:$B,0))&lt; 0,-1,
IF(AND(INDEX(Data_metier!$H:$H,MATCH($A2,Data_metier!$B:$B,0))-INDEX(Data_metier!$H:$H,MATCH(J$1,Data_metier!$B:$B,0))&gt; 0,
INDEX(Data_metier!$H:$H,MATCH($A2,Data_metier!$B:$B,0))-INDEX(Data_metier!$H:$H,MATCH(J$1,Data_metier!$B:$B,0))&lt;=1),
1,
IF(INDEX(Data_metier!$H:$H,MATCH($A2,Data_metier!$B:$B,0))-INDEX(Data_metier!$H:$H,MATCH(J$1,Data_metier!$B:$B,0))&gt; 1,
2,
0)))</f>
        <v>-1</v>
      </c>
      <c r="K2">
        <f>IF(INDEX(Data_metier!$H:$H,MATCH($A2,Data_metier!$B:$B,0))-INDEX(Data_metier!$H:$H,MATCH(K$1,Data_metier!$B:$B,0))&lt; 0,-1,
IF(AND(INDEX(Data_metier!$H:$H,MATCH($A2,Data_metier!$B:$B,0))-INDEX(Data_metier!$H:$H,MATCH(K$1,Data_metier!$B:$B,0))&gt; 0,
INDEX(Data_metier!$H:$H,MATCH($A2,Data_metier!$B:$B,0))-INDEX(Data_metier!$H:$H,MATCH(K$1,Data_metier!$B:$B,0))&lt;=1),
1,
IF(INDEX(Data_metier!$H:$H,MATCH($A2,Data_metier!$B:$B,0))-INDEX(Data_metier!$H:$H,MATCH(K$1,Data_metier!$B:$B,0))&gt; 1,
2,
0)))</f>
        <v>-1</v>
      </c>
      <c r="L2">
        <f>IF(INDEX(Data_metier!$H:$H,MATCH($A2,Data_metier!$B:$B,0))-INDEX(Data_metier!$H:$H,MATCH(L$1,Data_metier!$B:$B,0))&lt; 0,-1,
IF(AND(INDEX(Data_metier!$H:$H,MATCH($A2,Data_metier!$B:$B,0))-INDEX(Data_metier!$H:$H,MATCH(L$1,Data_metier!$B:$B,0))&gt; 0,
INDEX(Data_metier!$H:$H,MATCH($A2,Data_metier!$B:$B,0))-INDEX(Data_metier!$H:$H,MATCH(L$1,Data_metier!$B:$B,0))&lt;=1),
1,
IF(INDEX(Data_metier!$H:$H,MATCH($A2,Data_metier!$B:$B,0))-INDEX(Data_metier!$H:$H,MATCH(L$1,Data_metier!$B:$B,0))&gt; 1,
2,
0)))</f>
        <v>1</v>
      </c>
      <c r="M2">
        <f>IF(INDEX(Data_metier!$H:$H,MATCH($A2,Data_metier!$B:$B,0))-INDEX(Data_metier!$H:$H,MATCH(M$1,Data_metier!$B:$B,0))&lt; 0,-1,
IF(AND(INDEX(Data_metier!$H:$H,MATCH($A2,Data_metier!$B:$B,0))-INDEX(Data_metier!$H:$H,MATCH(M$1,Data_metier!$B:$B,0))&gt; 0,
INDEX(Data_metier!$H:$H,MATCH($A2,Data_metier!$B:$B,0))-INDEX(Data_metier!$H:$H,MATCH(M$1,Data_metier!$B:$B,0))&lt;=1),
1,
IF(INDEX(Data_metier!$H:$H,MATCH($A2,Data_metier!$B:$B,0))-INDEX(Data_metier!$H:$H,MATCH(M$1,Data_metier!$B:$B,0))&gt; 1,
2,
0)))</f>
        <v>0</v>
      </c>
      <c r="N2">
        <f>IF(INDEX(Data_metier!$H:$H,MATCH($A2,Data_metier!$B:$B,0))-INDEX(Data_metier!$H:$H,MATCH(N$1,Data_metier!$B:$B,0))&lt; 0,-1,
IF(AND(INDEX(Data_metier!$H:$H,MATCH($A2,Data_metier!$B:$B,0))-INDEX(Data_metier!$H:$H,MATCH(N$1,Data_metier!$B:$B,0))&gt; 0,
INDEX(Data_metier!$H:$H,MATCH($A2,Data_metier!$B:$B,0))-INDEX(Data_metier!$H:$H,MATCH(N$1,Data_metier!$B:$B,0))&lt;=1),
1,
IF(INDEX(Data_metier!$H:$H,MATCH($A2,Data_metier!$B:$B,0))-INDEX(Data_metier!$H:$H,MATCH(N$1,Data_metier!$B:$B,0))&gt; 1,
2,
0)))</f>
        <v>-1</v>
      </c>
      <c r="O2">
        <f>IF(INDEX(Data_metier!$H:$H,MATCH($A2,Data_metier!$B:$B,0))-INDEX(Data_metier!$H:$H,MATCH(O$1,Data_metier!$B:$B,0))&lt; 0,-1,
IF(AND(INDEX(Data_metier!$H:$H,MATCH($A2,Data_metier!$B:$B,0))-INDEX(Data_metier!$H:$H,MATCH(O$1,Data_metier!$B:$B,0))&gt; 0,
INDEX(Data_metier!$H:$H,MATCH($A2,Data_metier!$B:$B,0))-INDEX(Data_metier!$H:$H,MATCH(O$1,Data_metier!$B:$B,0))&lt;=1),
1,
IF(INDEX(Data_metier!$H:$H,MATCH($A2,Data_metier!$B:$B,0))-INDEX(Data_metier!$H:$H,MATCH(O$1,Data_metier!$B:$B,0))&gt; 1,
2,
0)))</f>
        <v>1</v>
      </c>
      <c r="P2">
        <f>IF(INDEX(Data_metier!$H:$H,MATCH($A2,Data_metier!$B:$B,0))-INDEX(Data_metier!$H:$H,MATCH(P$1,Data_metier!$B:$B,0))&lt; 0,-1,
IF(AND(INDEX(Data_metier!$H:$H,MATCH($A2,Data_metier!$B:$B,0))-INDEX(Data_metier!$H:$H,MATCH(P$1,Data_metier!$B:$B,0))&gt; 0,
INDEX(Data_metier!$H:$H,MATCH($A2,Data_metier!$B:$B,0))-INDEX(Data_metier!$H:$H,MATCH(P$1,Data_metier!$B:$B,0))&lt;=1),
1,
IF(INDEX(Data_metier!$H:$H,MATCH($A2,Data_metier!$B:$B,0))-INDEX(Data_metier!$H:$H,MATCH(P$1,Data_metier!$B:$B,0))&gt; 1,
2,
0)))</f>
        <v>1</v>
      </c>
      <c r="Q2">
        <f>IF(INDEX(Data_metier!$H:$H,MATCH($A2,Data_metier!$B:$B,0))-INDEX(Data_metier!$H:$H,MATCH(Q$1,Data_metier!$B:$B,0))&lt; 0,-1,
IF(AND(INDEX(Data_metier!$H:$H,MATCH($A2,Data_metier!$B:$B,0))-INDEX(Data_metier!$H:$H,MATCH(Q$1,Data_metier!$B:$B,0))&gt; 0,
INDEX(Data_metier!$H:$H,MATCH($A2,Data_metier!$B:$B,0))-INDEX(Data_metier!$H:$H,MATCH(Q$1,Data_metier!$B:$B,0))&lt;=1),
1,
IF(INDEX(Data_metier!$H:$H,MATCH($A2,Data_metier!$B:$B,0))-INDEX(Data_metier!$H:$H,MATCH(Q$1,Data_metier!$B:$B,0))&gt; 1,
2,
0)))</f>
        <v>-1</v>
      </c>
      <c r="R2">
        <f>IF(INDEX(Data_metier!$H:$H,MATCH($A2,Data_metier!$B:$B,0))-INDEX(Data_metier!$H:$H,MATCH(R$1,Data_metier!$B:$B,0))&lt; 0,-1,
IF(AND(INDEX(Data_metier!$H:$H,MATCH($A2,Data_metier!$B:$B,0))-INDEX(Data_metier!$H:$H,MATCH(R$1,Data_metier!$B:$B,0))&gt; 0,
INDEX(Data_metier!$H:$H,MATCH($A2,Data_metier!$B:$B,0))-INDEX(Data_metier!$H:$H,MATCH(R$1,Data_metier!$B:$B,0))&lt;=1),
1,
IF(INDEX(Data_metier!$H:$H,MATCH($A2,Data_metier!$B:$B,0))-INDEX(Data_metier!$H:$H,MATCH(R$1,Data_metier!$B:$B,0))&gt; 1,
2,
0)))</f>
        <v>-1</v>
      </c>
      <c r="S2">
        <f>IF(INDEX(Data_metier!$H:$H,MATCH($A2,Data_metier!$B:$B,0))-INDEX(Data_metier!$H:$H,MATCH(S$1,Data_metier!$B:$B,0))&lt; 0,-1,
IF(AND(INDEX(Data_metier!$H:$H,MATCH($A2,Data_metier!$B:$B,0))-INDEX(Data_metier!$H:$H,MATCH(S$1,Data_metier!$B:$B,0))&gt; 0,
INDEX(Data_metier!$H:$H,MATCH($A2,Data_metier!$B:$B,0))-INDEX(Data_metier!$H:$H,MATCH(S$1,Data_metier!$B:$B,0))&lt;=1),
1,
IF(INDEX(Data_metier!$H:$H,MATCH($A2,Data_metier!$B:$B,0))-INDEX(Data_metier!$H:$H,MATCH(S$1,Data_metier!$B:$B,0))&gt; 1,
2,
0)))</f>
        <v>1</v>
      </c>
      <c r="T2">
        <f>IF(INDEX(Data_metier!$H:$H,MATCH($A2,Data_metier!$B:$B,0))-INDEX(Data_metier!$H:$H,MATCH(T$1,Data_metier!$B:$B,0))&lt; 0,-1,
IF(AND(INDEX(Data_metier!$H:$H,MATCH($A2,Data_metier!$B:$B,0))-INDEX(Data_metier!$H:$H,MATCH(T$1,Data_metier!$B:$B,0))&gt; 0,
INDEX(Data_metier!$H:$H,MATCH($A2,Data_metier!$B:$B,0))-INDEX(Data_metier!$H:$H,MATCH(T$1,Data_metier!$B:$B,0))&lt;=1),
1,
IF(INDEX(Data_metier!$H:$H,MATCH($A2,Data_metier!$B:$B,0))-INDEX(Data_metier!$H:$H,MATCH(T$1,Data_metier!$B:$B,0))&gt; 1,
2,
0)))</f>
        <v>1</v>
      </c>
      <c r="U2">
        <f>IF(INDEX(Data_metier!$H:$H,MATCH($A2,Data_metier!$B:$B,0))-INDEX(Data_metier!$H:$H,MATCH(U$1,Data_metier!$B:$B,0))&lt; 0,-1,
IF(AND(INDEX(Data_metier!$H:$H,MATCH($A2,Data_metier!$B:$B,0))-INDEX(Data_metier!$H:$H,MATCH(U$1,Data_metier!$B:$B,0))&gt; 0,
INDEX(Data_metier!$H:$H,MATCH($A2,Data_metier!$B:$B,0))-INDEX(Data_metier!$H:$H,MATCH(U$1,Data_metier!$B:$B,0))&lt;=1),
1,
IF(INDEX(Data_metier!$H:$H,MATCH($A2,Data_metier!$B:$B,0))-INDEX(Data_metier!$H:$H,MATCH(U$1,Data_metier!$B:$B,0))&gt; 1,
2,
0)))</f>
        <v>1</v>
      </c>
      <c r="V2">
        <f>IF(INDEX(Data_metier!$H:$H,MATCH($A2,Data_metier!$B:$B,0))-INDEX(Data_metier!$H:$H,MATCH(V$1,Data_metier!$B:$B,0))&lt; 0,-1,
IF(AND(INDEX(Data_metier!$H:$H,MATCH($A2,Data_metier!$B:$B,0))-INDEX(Data_metier!$H:$H,MATCH(V$1,Data_metier!$B:$B,0))&gt; 0,
INDEX(Data_metier!$H:$H,MATCH($A2,Data_metier!$B:$B,0))-INDEX(Data_metier!$H:$H,MATCH(V$1,Data_metier!$B:$B,0))&lt;=1),
1,
IF(INDEX(Data_metier!$H:$H,MATCH($A2,Data_metier!$B:$B,0))-INDEX(Data_metier!$H:$H,MATCH(V$1,Data_metier!$B:$B,0))&gt; 1,
2,
0)))</f>
        <v>0</v>
      </c>
      <c r="W2">
        <f>IF(INDEX(Data_metier!$H:$H,MATCH($A2,Data_metier!$B:$B,0))-INDEX(Data_metier!$H:$H,MATCH(W$1,Data_metier!$B:$B,0))&lt; 0,-1,
IF(AND(INDEX(Data_metier!$H:$H,MATCH($A2,Data_metier!$B:$B,0))-INDEX(Data_metier!$H:$H,MATCH(W$1,Data_metier!$B:$B,0))&gt; 0,
INDEX(Data_metier!$H:$H,MATCH($A2,Data_metier!$B:$B,0))-INDEX(Data_metier!$H:$H,MATCH(W$1,Data_metier!$B:$B,0))&lt;=1),
1,
IF(INDEX(Data_metier!$H:$H,MATCH($A2,Data_metier!$B:$B,0))-INDEX(Data_metier!$H:$H,MATCH(W$1,Data_metier!$B:$B,0))&gt; 1,
2,
0)))</f>
        <v>0</v>
      </c>
      <c r="X2">
        <f>IF(INDEX(Data_metier!$H:$H,MATCH($A2,Data_metier!$B:$B,0))-INDEX(Data_metier!$H:$H,MATCH(X$1,Data_metier!$B:$B,0))&lt; 0,-1,
IF(AND(INDEX(Data_metier!$H:$H,MATCH($A2,Data_metier!$B:$B,0))-INDEX(Data_metier!$H:$H,MATCH(X$1,Data_metier!$B:$B,0))&gt; 0,
INDEX(Data_metier!$H:$H,MATCH($A2,Data_metier!$B:$B,0))-INDEX(Data_metier!$H:$H,MATCH(X$1,Data_metier!$B:$B,0))&lt;=1),
1,
IF(INDEX(Data_metier!$H:$H,MATCH($A2,Data_metier!$B:$B,0))-INDEX(Data_metier!$H:$H,MATCH(X$1,Data_metier!$B:$B,0))&gt; 1,
2,
0)))</f>
        <v>-1</v>
      </c>
      <c r="Y2">
        <f>IF(INDEX(Data_metier!$H:$H,MATCH($A2,Data_metier!$B:$B,0))-INDEX(Data_metier!$H:$H,MATCH(Y$1,Data_metier!$B:$B,0))&lt; 0,-1,
IF(AND(INDEX(Data_metier!$H:$H,MATCH($A2,Data_metier!$B:$B,0))-INDEX(Data_metier!$H:$H,MATCH(Y$1,Data_metier!$B:$B,0))&gt; 0,
INDEX(Data_metier!$H:$H,MATCH($A2,Data_metier!$B:$B,0))-INDEX(Data_metier!$H:$H,MATCH(Y$1,Data_metier!$B:$B,0))&lt;=1),
1,
IF(INDEX(Data_metier!$H:$H,MATCH($A2,Data_metier!$B:$B,0))-INDEX(Data_metier!$H:$H,MATCH(Y$1,Data_metier!$B:$B,0))&gt; 1,
2,
0)))</f>
        <v>1</v>
      </c>
      <c r="Z2">
        <f>IF(INDEX(Data_metier!$H:$H,MATCH($A2,Data_metier!$B:$B,0))-INDEX(Data_metier!$H:$H,MATCH(Z$1,Data_metier!$B:$B,0))&lt; 0,-1,
IF(AND(INDEX(Data_metier!$H:$H,MATCH($A2,Data_metier!$B:$B,0))-INDEX(Data_metier!$H:$H,MATCH(Z$1,Data_metier!$B:$B,0))&gt; 0,
INDEX(Data_metier!$H:$H,MATCH($A2,Data_metier!$B:$B,0))-INDEX(Data_metier!$H:$H,MATCH(Z$1,Data_metier!$B:$B,0))&lt;=1),
1,
IF(INDEX(Data_metier!$H:$H,MATCH($A2,Data_metier!$B:$B,0))-INDEX(Data_metier!$H:$H,MATCH(Z$1,Data_metier!$B:$B,0))&gt; 1,
2,
0)))</f>
        <v>1</v>
      </c>
      <c r="AA2">
        <f>IF(INDEX(Data_metier!$H:$H,MATCH($A2,Data_metier!$B:$B,0))-INDEX(Data_metier!$H:$H,MATCH(AA$1,Data_metier!$B:$B,0))&lt; 0,-1,
IF(AND(INDEX(Data_metier!$H:$H,MATCH($A2,Data_metier!$B:$B,0))-INDEX(Data_metier!$H:$H,MATCH(AA$1,Data_metier!$B:$B,0))&gt; 0,
INDEX(Data_metier!$H:$H,MATCH($A2,Data_metier!$B:$B,0))-INDEX(Data_metier!$H:$H,MATCH(AA$1,Data_metier!$B:$B,0))&lt;=1),
1,
IF(INDEX(Data_metier!$H:$H,MATCH($A2,Data_metier!$B:$B,0))-INDEX(Data_metier!$H:$H,MATCH(AA$1,Data_metier!$B:$B,0))&gt; 1,
2,
0)))</f>
        <v>1</v>
      </c>
      <c r="AB2">
        <f>IF(INDEX(Data_metier!$H:$H,MATCH($A2,Data_metier!$B:$B,0))-INDEX(Data_metier!$H:$H,MATCH(AB$1,Data_metier!$B:$B,0))&lt; 0,-1,
IF(AND(INDEX(Data_metier!$H:$H,MATCH($A2,Data_metier!$B:$B,0))-INDEX(Data_metier!$H:$H,MATCH(AB$1,Data_metier!$B:$B,0))&gt; 0,
INDEX(Data_metier!$H:$H,MATCH($A2,Data_metier!$B:$B,0))-INDEX(Data_metier!$H:$H,MATCH(AB$1,Data_metier!$B:$B,0))&lt;=1),
1,
IF(INDEX(Data_metier!$H:$H,MATCH($A2,Data_metier!$B:$B,0))-INDEX(Data_metier!$H:$H,MATCH(AB$1,Data_metier!$B:$B,0))&gt; 1,
2,
0)))</f>
        <v>0</v>
      </c>
      <c r="AC2">
        <f>IF(INDEX(Data_metier!$H:$H,MATCH($A2,Data_metier!$B:$B,0))-INDEX(Data_metier!$H:$H,MATCH(AC$1,Data_metier!$B:$B,0))&lt; 0,-1,
IF(AND(INDEX(Data_metier!$H:$H,MATCH($A2,Data_metier!$B:$B,0))-INDEX(Data_metier!$H:$H,MATCH(AC$1,Data_metier!$B:$B,0))&gt; 0,
INDEX(Data_metier!$H:$H,MATCH($A2,Data_metier!$B:$B,0))-INDEX(Data_metier!$H:$H,MATCH(AC$1,Data_metier!$B:$B,0))&lt;=1),
1,
IF(INDEX(Data_metier!$H:$H,MATCH($A2,Data_metier!$B:$B,0))-INDEX(Data_metier!$H:$H,MATCH(AC$1,Data_metier!$B:$B,0))&gt; 1,
2,
0)))</f>
        <v>0</v>
      </c>
      <c r="AD2">
        <f>IF(INDEX(Data_metier!$H:$H,MATCH($A2,Data_metier!$B:$B,0))-INDEX(Data_metier!$H:$H,MATCH(AD$1,Data_metier!$B:$B,0))&lt; 0,-1,
IF(AND(INDEX(Data_metier!$H:$H,MATCH($A2,Data_metier!$B:$B,0))-INDEX(Data_metier!$H:$H,MATCH(AD$1,Data_metier!$B:$B,0))&gt; 0,
INDEX(Data_metier!$H:$H,MATCH($A2,Data_metier!$B:$B,0))-INDEX(Data_metier!$H:$H,MATCH(AD$1,Data_metier!$B:$B,0))&lt;=1),
1,
IF(INDEX(Data_metier!$H:$H,MATCH($A2,Data_metier!$B:$B,0))-INDEX(Data_metier!$H:$H,MATCH(AD$1,Data_metier!$B:$B,0))&gt; 1,
2,
0)))</f>
        <v>-1</v>
      </c>
    </row>
    <row r="3" spans="1:30">
      <c r="A3" t="str">
        <v>Agent de silo</v>
      </c>
      <c r="B3">
        <f>IF(INDEX(Data_metier!$H:$H,MATCH($A3,Data_metier!$B:$B,0))-INDEX(Data_metier!$H:$H,MATCH(B$1,Data_metier!$B:$B,0))&lt; 0,-1,
IF(AND(INDEX(Data_metier!$H:$H,MATCH($A3,Data_metier!$B:$B,0))-INDEX(Data_metier!$H:$H,MATCH(B$1,Data_metier!$B:$B,0))&gt; 0,
INDEX(Data_metier!$H:$H,MATCH($A3,Data_metier!$B:$B,0))-INDEX(Data_metier!$H:$H,MATCH(B$1,Data_metier!$B:$B,0))&lt;=1),
1,
IF(INDEX(Data_metier!$H:$H,MATCH($A3,Data_metier!$B:$B,0))-INDEX(Data_metier!$H:$H,MATCH(B$1,Data_metier!$B:$B,0))&gt; 1,
2,
0)))</f>
        <v>0</v>
      </c>
      <c r="C3">
        <f>IF(INDEX(Data_metier!$H:$H,MATCH($A3,Data_metier!$B:$B,0))-INDEX(Data_metier!$H:$H,MATCH(C$1,Data_metier!$B:$B,0))&lt; 0,-1,
IF(AND(INDEX(Data_metier!$H:$H,MATCH($A3,Data_metier!$B:$B,0))-INDEX(Data_metier!$H:$H,MATCH(C$1,Data_metier!$B:$B,0))&gt; 0,
INDEX(Data_metier!$H:$H,MATCH($A3,Data_metier!$B:$B,0))-INDEX(Data_metier!$H:$H,MATCH(C$1,Data_metier!$B:$B,0))&lt;=1),
1,
IF(INDEX(Data_metier!$H:$H,MATCH($A3,Data_metier!$B:$B,0))-INDEX(Data_metier!$H:$H,MATCH(C$1,Data_metier!$B:$B,0))&gt; 1,
2,
0)))</f>
        <v>0</v>
      </c>
      <c r="D3">
        <f>IF(INDEX(Data_metier!$H:$H,MATCH($A3,Data_metier!$B:$B,0))-INDEX(Data_metier!$H:$H,MATCH(D$1,Data_metier!$B:$B,0))&lt; 0,-1,
IF(AND(INDEX(Data_metier!$H:$H,MATCH($A3,Data_metier!$B:$B,0))-INDEX(Data_metier!$H:$H,MATCH(D$1,Data_metier!$B:$B,0))&gt; 0,
INDEX(Data_metier!$H:$H,MATCH($A3,Data_metier!$B:$B,0))-INDEX(Data_metier!$H:$H,MATCH(D$1,Data_metier!$B:$B,0))&lt;=1),
1,
IF(INDEX(Data_metier!$H:$H,MATCH($A3,Data_metier!$B:$B,0))-INDEX(Data_metier!$H:$H,MATCH(D$1,Data_metier!$B:$B,0))&gt; 1,
2,
0)))</f>
        <v>1</v>
      </c>
      <c r="E3">
        <f>IF(INDEX(Data_metier!$H:$H,MATCH($A3,Data_metier!$B:$B,0))-INDEX(Data_metier!$H:$H,MATCH(E$1,Data_metier!$B:$B,0))&lt; 0,-1,
IF(AND(INDEX(Data_metier!$H:$H,MATCH($A3,Data_metier!$B:$B,0))-INDEX(Data_metier!$H:$H,MATCH(E$1,Data_metier!$B:$B,0))&gt; 0,
INDEX(Data_metier!$H:$H,MATCH($A3,Data_metier!$B:$B,0))-INDEX(Data_metier!$H:$H,MATCH(E$1,Data_metier!$B:$B,0))&lt;=1),
1,
IF(INDEX(Data_metier!$H:$H,MATCH($A3,Data_metier!$B:$B,0))-INDEX(Data_metier!$H:$H,MATCH(E$1,Data_metier!$B:$B,0))&gt; 1,
2,
0)))</f>
        <v>-1</v>
      </c>
      <c r="F3">
        <f>IF(INDEX(Data_metier!$H:$H,MATCH($A3,Data_metier!$B:$B,0))-INDEX(Data_metier!$H:$H,MATCH(F$1,Data_metier!$B:$B,0))&lt; 0,-1,
IF(AND(INDEX(Data_metier!$H:$H,MATCH($A3,Data_metier!$B:$B,0))-INDEX(Data_metier!$H:$H,MATCH(F$1,Data_metier!$B:$B,0))&gt; 0,
INDEX(Data_metier!$H:$H,MATCH($A3,Data_metier!$B:$B,0))-INDEX(Data_metier!$H:$H,MATCH(F$1,Data_metier!$B:$B,0))&lt;=1),
1,
IF(INDEX(Data_metier!$H:$H,MATCH($A3,Data_metier!$B:$B,0))-INDEX(Data_metier!$H:$H,MATCH(F$1,Data_metier!$B:$B,0))&gt; 1,
2,
0)))</f>
        <v>-1</v>
      </c>
      <c r="G3">
        <f>IF(INDEX(Data_metier!$H:$H,MATCH($A3,Data_metier!$B:$B,0))-INDEX(Data_metier!$H:$H,MATCH(G$1,Data_metier!$B:$B,0))&lt; 0,-1,
IF(AND(INDEX(Data_metier!$H:$H,MATCH($A3,Data_metier!$B:$B,0))-INDEX(Data_metier!$H:$H,MATCH(G$1,Data_metier!$B:$B,0))&gt; 0,
INDEX(Data_metier!$H:$H,MATCH($A3,Data_metier!$B:$B,0))-INDEX(Data_metier!$H:$H,MATCH(G$1,Data_metier!$B:$B,0))&lt;=1),
1,
IF(INDEX(Data_metier!$H:$H,MATCH($A3,Data_metier!$B:$B,0))-INDEX(Data_metier!$H:$H,MATCH(G$1,Data_metier!$B:$B,0))&gt; 1,
2,
0)))</f>
        <v>-1</v>
      </c>
      <c r="H3">
        <f>IF(INDEX(Data_metier!$H:$H,MATCH($A3,Data_metier!$B:$B,0))-INDEX(Data_metier!$H:$H,MATCH(H$1,Data_metier!$B:$B,0))&lt; 0,-1,
IF(AND(INDEX(Data_metier!$H:$H,MATCH($A3,Data_metier!$B:$B,0))-INDEX(Data_metier!$H:$H,MATCH(H$1,Data_metier!$B:$B,0))&gt; 0,
INDEX(Data_metier!$H:$H,MATCH($A3,Data_metier!$B:$B,0))-INDEX(Data_metier!$H:$H,MATCH(H$1,Data_metier!$B:$B,0))&lt;=1),
1,
IF(INDEX(Data_metier!$H:$H,MATCH($A3,Data_metier!$B:$B,0))-INDEX(Data_metier!$H:$H,MATCH(H$1,Data_metier!$B:$B,0))&gt; 1,
2,
0)))</f>
        <v>-1</v>
      </c>
      <c r="I3">
        <f>IF(INDEX(Data_metier!$H:$H,MATCH($A3,Data_metier!$B:$B,0))-INDEX(Data_metier!$H:$H,MATCH(I$1,Data_metier!$B:$B,0))&lt; 0,-1,
IF(AND(INDEX(Data_metier!$H:$H,MATCH($A3,Data_metier!$B:$B,0))-INDEX(Data_metier!$H:$H,MATCH(I$1,Data_metier!$B:$B,0))&gt; 0,
INDEX(Data_metier!$H:$H,MATCH($A3,Data_metier!$B:$B,0))-INDEX(Data_metier!$H:$H,MATCH(I$1,Data_metier!$B:$B,0))&lt;=1),
1,
IF(INDEX(Data_metier!$H:$H,MATCH($A3,Data_metier!$B:$B,0))-INDEX(Data_metier!$H:$H,MATCH(I$1,Data_metier!$B:$B,0))&gt; 1,
2,
0)))</f>
        <v>1</v>
      </c>
      <c r="J3">
        <f>IF(INDEX(Data_metier!$H:$H,MATCH($A3,Data_metier!$B:$B,0))-INDEX(Data_metier!$H:$H,MATCH(J$1,Data_metier!$B:$B,0))&lt; 0,-1,
IF(AND(INDEX(Data_metier!$H:$H,MATCH($A3,Data_metier!$B:$B,0))-INDEX(Data_metier!$H:$H,MATCH(J$1,Data_metier!$B:$B,0))&gt; 0,
INDEX(Data_metier!$H:$H,MATCH($A3,Data_metier!$B:$B,0))-INDEX(Data_metier!$H:$H,MATCH(J$1,Data_metier!$B:$B,0))&lt;=1),
1,
IF(INDEX(Data_metier!$H:$H,MATCH($A3,Data_metier!$B:$B,0))-INDEX(Data_metier!$H:$H,MATCH(J$1,Data_metier!$B:$B,0))&gt; 1,
2,
0)))</f>
        <v>-1</v>
      </c>
      <c r="K3">
        <f>IF(INDEX(Data_metier!$H:$H,MATCH($A3,Data_metier!$B:$B,0))-INDEX(Data_metier!$H:$H,MATCH(K$1,Data_metier!$B:$B,0))&lt; 0,-1,
IF(AND(INDEX(Data_metier!$H:$H,MATCH($A3,Data_metier!$B:$B,0))-INDEX(Data_metier!$H:$H,MATCH(K$1,Data_metier!$B:$B,0))&gt; 0,
INDEX(Data_metier!$H:$H,MATCH($A3,Data_metier!$B:$B,0))-INDEX(Data_metier!$H:$H,MATCH(K$1,Data_metier!$B:$B,0))&lt;=1),
1,
IF(INDEX(Data_metier!$H:$H,MATCH($A3,Data_metier!$B:$B,0))-INDEX(Data_metier!$H:$H,MATCH(K$1,Data_metier!$B:$B,0))&gt; 1,
2,
0)))</f>
        <v>-1</v>
      </c>
      <c r="L3">
        <f>IF(INDEX(Data_metier!$H:$H,MATCH($A3,Data_metier!$B:$B,0))-INDEX(Data_metier!$H:$H,MATCH(L$1,Data_metier!$B:$B,0))&lt; 0,-1,
IF(AND(INDEX(Data_metier!$H:$H,MATCH($A3,Data_metier!$B:$B,0))-INDEX(Data_metier!$H:$H,MATCH(L$1,Data_metier!$B:$B,0))&gt; 0,
INDEX(Data_metier!$H:$H,MATCH($A3,Data_metier!$B:$B,0))-INDEX(Data_metier!$H:$H,MATCH(L$1,Data_metier!$B:$B,0))&lt;=1),
1,
IF(INDEX(Data_metier!$H:$H,MATCH($A3,Data_metier!$B:$B,0))-INDEX(Data_metier!$H:$H,MATCH(L$1,Data_metier!$B:$B,0))&gt; 1,
2,
0)))</f>
        <v>1</v>
      </c>
      <c r="M3">
        <f>IF(INDEX(Data_metier!$H:$H,MATCH($A3,Data_metier!$B:$B,0))-INDEX(Data_metier!$H:$H,MATCH(M$1,Data_metier!$B:$B,0))&lt; 0,-1,
IF(AND(INDEX(Data_metier!$H:$H,MATCH($A3,Data_metier!$B:$B,0))-INDEX(Data_metier!$H:$H,MATCH(M$1,Data_metier!$B:$B,0))&gt; 0,
INDEX(Data_metier!$H:$H,MATCH($A3,Data_metier!$B:$B,0))-INDEX(Data_metier!$H:$H,MATCH(M$1,Data_metier!$B:$B,0))&lt;=1),
1,
IF(INDEX(Data_metier!$H:$H,MATCH($A3,Data_metier!$B:$B,0))-INDEX(Data_metier!$H:$H,MATCH(M$1,Data_metier!$B:$B,0))&gt; 1,
2,
0)))</f>
        <v>0</v>
      </c>
      <c r="N3">
        <f>IF(INDEX(Data_metier!$H:$H,MATCH($A3,Data_metier!$B:$B,0))-INDEX(Data_metier!$H:$H,MATCH(N$1,Data_metier!$B:$B,0))&lt; 0,-1,
IF(AND(INDEX(Data_metier!$H:$H,MATCH($A3,Data_metier!$B:$B,0))-INDEX(Data_metier!$H:$H,MATCH(N$1,Data_metier!$B:$B,0))&gt; 0,
INDEX(Data_metier!$H:$H,MATCH($A3,Data_metier!$B:$B,0))-INDEX(Data_metier!$H:$H,MATCH(N$1,Data_metier!$B:$B,0))&lt;=1),
1,
IF(INDEX(Data_metier!$H:$H,MATCH($A3,Data_metier!$B:$B,0))-INDEX(Data_metier!$H:$H,MATCH(N$1,Data_metier!$B:$B,0))&gt; 1,
2,
0)))</f>
        <v>-1</v>
      </c>
      <c r="O3">
        <f>IF(INDEX(Data_metier!$H:$H,MATCH($A3,Data_metier!$B:$B,0))-INDEX(Data_metier!$H:$H,MATCH(O$1,Data_metier!$B:$B,0))&lt; 0,-1,
IF(AND(INDEX(Data_metier!$H:$H,MATCH($A3,Data_metier!$B:$B,0))-INDEX(Data_metier!$H:$H,MATCH(O$1,Data_metier!$B:$B,0))&gt; 0,
INDEX(Data_metier!$H:$H,MATCH($A3,Data_metier!$B:$B,0))-INDEX(Data_metier!$H:$H,MATCH(O$1,Data_metier!$B:$B,0))&lt;=1),
1,
IF(INDEX(Data_metier!$H:$H,MATCH($A3,Data_metier!$B:$B,0))-INDEX(Data_metier!$H:$H,MATCH(O$1,Data_metier!$B:$B,0))&gt; 1,
2,
0)))</f>
        <v>1</v>
      </c>
      <c r="P3">
        <f>IF(INDEX(Data_metier!$H:$H,MATCH($A3,Data_metier!$B:$B,0))-INDEX(Data_metier!$H:$H,MATCH(P$1,Data_metier!$B:$B,0))&lt; 0,-1,
IF(AND(INDEX(Data_metier!$H:$H,MATCH($A3,Data_metier!$B:$B,0))-INDEX(Data_metier!$H:$H,MATCH(P$1,Data_metier!$B:$B,0))&gt; 0,
INDEX(Data_metier!$H:$H,MATCH($A3,Data_metier!$B:$B,0))-INDEX(Data_metier!$H:$H,MATCH(P$1,Data_metier!$B:$B,0))&lt;=1),
1,
IF(INDEX(Data_metier!$H:$H,MATCH($A3,Data_metier!$B:$B,0))-INDEX(Data_metier!$H:$H,MATCH(P$1,Data_metier!$B:$B,0))&gt; 1,
2,
0)))</f>
        <v>1</v>
      </c>
      <c r="Q3">
        <f>IF(INDEX(Data_metier!$H:$H,MATCH($A3,Data_metier!$B:$B,0))-INDEX(Data_metier!$H:$H,MATCH(Q$1,Data_metier!$B:$B,0))&lt; 0,-1,
IF(AND(INDEX(Data_metier!$H:$H,MATCH($A3,Data_metier!$B:$B,0))-INDEX(Data_metier!$H:$H,MATCH(Q$1,Data_metier!$B:$B,0))&gt; 0,
INDEX(Data_metier!$H:$H,MATCH($A3,Data_metier!$B:$B,0))-INDEX(Data_metier!$H:$H,MATCH(Q$1,Data_metier!$B:$B,0))&lt;=1),
1,
IF(INDEX(Data_metier!$H:$H,MATCH($A3,Data_metier!$B:$B,0))-INDEX(Data_metier!$H:$H,MATCH(Q$1,Data_metier!$B:$B,0))&gt; 1,
2,
0)))</f>
        <v>-1</v>
      </c>
      <c r="R3">
        <f>IF(INDEX(Data_metier!$H:$H,MATCH($A3,Data_metier!$B:$B,0))-INDEX(Data_metier!$H:$H,MATCH(R$1,Data_metier!$B:$B,0))&lt; 0,-1,
IF(AND(INDEX(Data_metier!$H:$H,MATCH($A3,Data_metier!$B:$B,0))-INDEX(Data_metier!$H:$H,MATCH(R$1,Data_metier!$B:$B,0))&gt; 0,
INDEX(Data_metier!$H:$H,MATCH($A3,Data_metier!$B:$B,0))-INDEX(Data_metier!$H:$H,MATCH(R$1,Data_metier!$B:$B,0))&lt;=1),
1,
IF(INDEX(Data_metier!$H:$H,MATCH($A3,Data_metier!$B:$B,0))-INDEX(Data_metier!$H:$H,MATCH(R$1,Data_metier!$B:$B,0))&gt; 1,
2,
0)))</f>
        <v>-1</v>
      </c>
      <c r="S3">
        <f>IF(INDEX(Data_metier!$H:$H,MATCH($A3,Data_metier!$B:$B,0))-INDEX(Data_metier!$H:$H,MATCH(S$1,Data_metier!$B:$B,0))&lt; 0,-1,
IF(AND(INDEX(Data_metier!$H:$H,MATCH($A3,Data_metier!$B:$B,0))-INDEX(Data_metier!$H:$H,MATCH(S$1,Data_metier!$B:$B,0))&gt; 0,
INDEX(Data_metier!$H:$H,MATCH($A3,Data_metier!$B:$B,0))-INDEX(Data_metier!$H:$H,MATCH(S$1,Data_metier!$B:$B,0))&lt;=1),
1,
IF(INDEX(Data_metier!$H:$H,MATCH($A3,Data_metier!$B:$B,0))-INDEX(Data_metier!$H:$H,MATCH(S$1,Data_metier!$B:$B,0))&gt; 1,
2,
0)))</f>
        <v>1</v>
      </c>
      <c r="T3">
        <f>IF(INDEX(Data_metier!$H:$H,MATCH($A3,Data_metier!$B:$B,0))-INDEX(Data_metier!$H:$H,MATCH(T$1,Data_metier!$B:$B,0))&lt; 0,-1,
IF(AND(INDEX(Data_metier!$H:$H,MATCH($A3,Data_metier!$B:$B,0))-INDEX(Data_metier!$H:$H,MATCH(T$1,Data_metier!$B:$B,0))&gt; 0,
INDEX(Data_metier!$H:$H,MATCH($A3,Data_metier!$B:$B,0))-INDEX(Data_metier!$H:$H,MATCH(T$1,Data_metier!$B:$B,0))&lt;=1),
1,
IF(INDEX(Data_metier!$H:$H,MATCH($A3,Data_metier!$B:$B,0))-INDEX(Data_metier!$H:$H,MATCH(T$1,Data_metier!$B:$B,0))&gt; 1,
2,
0)))</f>
        <v>1</v>
      </c>
      <c r="U3">
        <f>IF(INDEX(Data_metier!$H:$H,MATCH($A3,Data_metier!$B:$B,0))-INDEX(Data_metier!$H:$H,MATCH(U$1,Data_metier!$B:$B,0))&lt; 0,-1,
IF(AND(INDEX(Data_metier!$H:$H,MATCH($A3,Data_metier!$B:$B,0))-INDEX(Data_metier!$H:$H,MATCH(U$1,Data_metier!$B:$B,0))&gt; 0,
INDEX(Data_metier!$H:$H,MATCH($A3,Data_metier!$B:$B,0))-INDEX(Data_metier!$H:$H,MATCH(U$1,Data_metier!$B:$B,0))&lt;=1),
1,
IF(INDEX(Data_metier!$H:$H,MATCH($A3,Data_metier!$B:$B,0))-INDEX(Data_metier!$H:$H,MATCH(U$1,Data_metier!$B:$B,0))&gt; 1,
2,
0)))</f>
        <v>1</v>
      </c>
      <c r="V3">
        <f>IF(INDEX(Data_metier!$H:$H,MATCH($A3,Data_metier!$B:$B,0))-INDEX(Data_metier!$H:$H,MATCH(V$1,Data_metier!$B:$B,0))&lt; 0,-1,
IF(AND(INDEX(Data_metier!$H:$H,MATCH($A3,Data_metier!$B:$B,0))-INDEX(Data_metier!$H:$H,MATCH(V$1,Data_metier!$B:$B,0))&gt; 0,
INDEX(Data_metier!$H:$H,MATCH($A3,Data_metier!$B:$B,0))-INDEX(Data_metier!$H:$H,MATCH(V$1,Data_metier!$B:$B,0))&lt;=1),
1,
IF(INDEX(Data_metier!$H:$H,MATCH($A3,Data_metier!$B:$B,0))-INDEX(Data_metier!$H:$H,MATCH(V$1,Data_metier!$B:$B,0))&gt; 1,
2,
0)))</f>
        <v>0</v>
      </c>
      <c r="W3">
        <f>IF(INDEX(Data_metier!$H:$H,MATCH($A3,Data_metier!$B:$B,0))-INDEX(Data_metier!$H:$H,MATCH(W$1,Data_metier!$B:$B,0))&lt; 0,-1,
IF(AND(INDEX(Data_metier!$H:$H,MATCH($A3,Data_metier!$B:$B,0))-INDEX(Data_metier!$H:$H,MATCH(W$1,Data_metier!$B:$B,0))&gt; 0,
INDEX(Data_metier!$H:$H,MATCH($A3,Data_metier!$B:$B,0))-INDEX(Data_metier!$H:$H,MATCH(W$1,Data_metier!$B:$B,0))&lt;=1),
1,
IF(INDEX(Data_metier!$H:$H,MATCH($A3,Data_metier!$B:$B,0))-INDEX(Data_metier!$H:$H,MATCH(W$1,Data_metier!$B:$B,0))&gt; 1,
2,
0)))</f>
        <v>0</v>
      </c>
      <c r="X3">
        <f>IF(INDEX(Data_metier!$H:$H,MATCH($A3,Data_metier!$B:$B,0))-INDEX(Data_metier!$H:$H,MATCH(X$1,Data_metier!$B:$B,0))&lt; 0,-1,
IF(AND(INDEX(Data_metier!$H:$H,MATCH($A3,Data_metier!$B:$B,0))-INDEX(Data_metier!$H:$H,MATCH(X$1,Data_metier!$B:$B,0))&gt; 0,
INDEX(Data_metier!$H:$H,MATCH($A3,Data_metier!$B:$B,0))-INDEX(Data_metier!$H:$H,MATCH(X$1,Data_metier!$B:$B,0))&lt;=1),
1,
IF(INDEX(Data_metier!$H:$H,MATCH($A3,Data_metier!$B:$B,0))-INDEX(Data_metier!$H:$H,MATCH(X$1,Data_metier!$B:$B,0))&gt; 1,
2,
0)))</f>
        <v>-1</v>
      </c>
      <c r="Y3">
        <f>IF(INDEX(Data_metier!$H:$H,MATCH($A3,Data_metier!$B:$B,0))-INDEX(Data_metier!$H:$H,MATCH(Y$1,Data_metier!$B:$B,0))&lt; 0,-1,
IF(AND(INDEX(Data_metier!$H:$H,MATCH($A3,Data_metier!$B:$B,0))-INDEX(Data_metier!$H:$H,MATCH(Y$1,Data_metier!$B:$B,0))&gt; 0,
INDEX(Data_metier!$H:$H,MATCH($A3,Data_metier!$B:$B,0))-INDEX(Data_metier!$H:$H,MATCH(Y$1,Data_metier!$B:$B,0))&lt;=1),
1,
IF(INDEX(Data_metier!$H:$H,MATCH($A3,Data_metier!$B:$B,0))-INDEX(Data_metier!$H:$H,MATCH(Y$1,Data_metier!$B:$B,0))&gt; 1,
2,
0)))</f>
        <v>1</v>
      </c>
      <c r="Z3">
        <f>IF(INDEX(Data_metier!$H:$H,MATCH($A3,Data_metier!$B:$B,0))-INDEX(Data_metier!$H:$H,MATCH(Z$1,Data_metier!$B:$B,0))&lt; 0,-1,
IF(AND(INDEX(Data_metier!$H:$H,MATCH($A3,Data_metier!$B:$B,0))-INDEX(Data_metier!$H:$H,MATCH(Z$1,Data_metier!$B:$B,0))&gt; 0,
INDEX(Data_metier!$H:$H,MATCH($A3,Data_metier!$B:$B,0))-INDEX(Data_metier!$H:$H,MATCH(Z$1,Data_metier!$B:$B,0))&lt;=1),
1,
IF(INDEX(Data_metier!$H:$H,MATCH($A3,Data_metier!$B:$B,0))-INDEX(Data_metier!$H:$H,MATCH(Z$1,Data_metier!$B:$B,0))&gt; 1,
2,
0)))</f>
        <v>1</v>
      </c>
      <c r="AA3">
        <f>IF(INDEX(Data_metier!$H:$H,MATCH($A3,Data_metier!$B:$B,0))-INDEX(Data_metier!$H:$H,MATCH(AA$1,Data_metier!$B:$B,0))&lt; 0,-1,
IF(AND(INDEX(Data_metier!$H:$H,MATCH($A3,Data_metier!$B:$B,0))-INDEX(Data_metier!$H:$H,MATCH(AA$1,Data_metier!$B:$B,0))&gt; 0,
INDEX(Data_metier!$H:$H,MATCH($A3,Data_metier!$B:$B,0))-INDEX(Data_metier!$H:$H,MATCH(AA$1,Data_metier!$B:$B,0))&lt;=1),
1,
IF(INDEX(Data_metier!$H:$H,MATCH($A3,Data_metier!$B:$B,0))-INDEX(Data_metier!$H:$H,MATCH(AA$1,Data_metier!$B:$B,0))&gt; 1,
2,
0)))</f>
        <v>1</v>
      </c>
      <c r="AB3">
        <f>IF(INDEX(Data_metier!$H:$H,MATCH($A3,Data_metier!$B:$B,0))-INDEX(Data_metier!$H:$H,MATCH(AB$1,Data_metier!$B:$B,0))&lt; 0,-1,
IF(AND(INDEX(Data_metier!$H:$H,MATCH($A3,Data_metier!$B:$B,0))-INDEX(Data_metier!$H:$H,MATCH(AB$1,Data_metier!$B:$B,0))&gt; 0,
INDEX(Data_metier!$H:$H,MATCH($A3,Data_metier!$B:$B,0))-INDEX(Data_metier!$H:$H,MATCH(AB$1,Data_metier!$B:$B,0))&lt;=1),
1,
IF(INDEX(Data_metier!$H:$H,MATCH($A3,Data_metier!$B:$B,0))-INDEX(Data_metier!$H:$H,MATCH(AB$1,Data_metier!$B:$B,0))&gt; 1,
2,
0)))</f>
        <v>0</v>
      </c>
      <c r="AC3">
        <f>IF(INDEX(Data_metier!$H:$H,MATCH($A3,Data_metier!$B:$B,0))-INDEX(Data_metier!$H:$H,MATCH(AC$1,Data_metier!$B:$B,0))&lt; 0,-1,
IF(AND(INDEX(Data_metier!$H:$H,MATCH($A3,Data_metier!$B:$B,0))-INDEX(Data_metier!$H:$H,MATCH(AC$1,Data_metier!$B:$B,0))&gt; 0,
INDEX(Data_metier!$H:$H,MATCH($A3,Data_metier!$B:$B,0))-INDEX(Data_metier!$H:$H,MATCH(AC$1,Data_metier!$B:$B,0))&lt;=1),
1,
IF(INDEX(Data_metier!$H:$H,MATCH($A3,Data_metier!$B:$B,0))-INDEX(Data_metier!$H:$H,MATCH(AC$1,Data_metier!$B:$B,0))&gt; 1,
2,
0)))</f>
        <v>0</v>
      </c>
      <c r="AD3">
        <f>IF(INDEX(Data_metier!$H:$H,MATCH($A3,Data_metier!$B:$B,0))-INDEX(Data_metier!$H:$H,MATCH(AD$1,Data_metier!$B:$B,0))&lt; 0,-1,
IF(AND(INDEX(Data_metier!$H:$H,MATCH($A3,Data_metier!$B:$B,0))-INDEX(Data_metier!$H:$H,MATCH(AD$1,Data_metier!$B:$B,0))&gt; 0,
INDEX(Data_metier!$H:$H,MATCH($A3,Data_metier!$B:$B,0))-INDEX(Data_metier!$H:$H,MATCH(AD$1,Data_metier!$B:$B,0))&lt;=1),
1,
IF(INDEX(Data_metier!$H:$H,MATCH($A3,Data_metier!$B:$B,0))-INDEX(Data_metier!$H:$H,MATCH(AD$1,Data_metier!$B:$B,0))&gt; 1,
2,
0)))</f>
        <v>-1</v>
      </c>
    </row>
    <row r="4" spans="1:30">
      <c r="A4" t="str">
        <v>Opérateur(trice) logistique</v>
      </c>
      <c r="B4">
        <f>IF(INDEX(Data_metier!$H:$H,MATCH($A4,Data_metier!$B:$B,0))-INDEX(Data_metier!$H:$H,MATCH(B$1,Data_metier!$B:$B,0))&lt; 0,-1,
IF(AND(INDEX(Data_metier!$H:$H,MATCH($A4,Data_metier!$B:$B,0))-INDEX(Data_metier!$H:$H,MATCH(B$1,Data_metier!$B:$B,0))&gt; 0,
INDEX(Data_metier!$H:$H,MATCH($A4,Data_metier!$B:$B,0))-INDEX(Data_metier!$H:$H,MATCH(B$1,Data_metier!$B:$B,0))&lt;=1),
1,
IF(INDEX(Data_metier!$H:$H,MATCH($A4,Data_metier!$B:$B,0))-INDEX(Data_metier!$H:$H,MATCH(B$1,Data_metier!$B:$B,0))&gt; 1,
2,
0)))</f>
        <v>-1</v>
      </c>
      <c r="C4">
        <f>IF(INDEX(Data_metier!$H:$H,MATCH($A4,Data_metier!$B:$B,0))-INDEX(Data_metier!$H:$H,MATCH(C$1,Data_metier!$B:$B,0))&lt; 0,-1,
IF(AND(INDEX(Data_metier!$H:$H,MATCH($A4,Data_metier!$B:$B,0))-INDEX(Data_metier!$H:$H,MATCH(C$1,Data_metier!$B:$B,0))&gt; 0,
INDEX(Data_metier!$H:$H,MATCH($A4,Data_metier!$B:$B,0))-INDEX(Data_metier!$H:$H,MATCH(C$1,Data_metier!$B:$B,0))&lt;=1),
1,
IF(INDEX(Data_metier!$H:$H,MATCH($A4,Data_metier!$B:$B,0))-INDEX(Data_metier!$H:$H,MATCH(C$1,Data_metier!$B:$B,0))&gt; 1,
2,
0)))</f>
        <v>-1</v>
      </c>
      <c r="D4">
        <f>IF(INDEX(Data_metier!$H:$H,MATCH($A4,Data_metier!$B:$B,0))-INDEX(Data_metier!$H:$H,MATCH(D$1,Data_metier!$B:$B,0))&lt; 0,-1,
IF(AND(INDEX(Data_metier!$H:$H,MATCH($A4,Data_metier!$B:$B,0))-INDEX(Data_metier!$H:$H,MATCH(D$1,Data_metier!$B:$B,0))&gt; 0,
INDEX(Data_metier!$H:$H,MATCH($A4,Data_metier!$B:$B,0))-INDEX(Data_metier!$H:$H,MATCH(D$1,Data_metier!$B:$B,0))&lt;=1),
1,
IF(INDEX(Data_metier!$H:$H,MATCH($A4,Data_metier!$B:$B,0))-INDEX(Data_metier!$H:$H,MATCH(D$1,Data_metier!$B:$B,0))&gt; 1,
2,
0)))</f>
        <v>0</v>
      </c>
      <c r="E4">
        <f>IF(INDEX(Data_metier!$H:$H,MATCH($A4,Data_metier!$B:$B,0))-INDEX(Data_metier!$H:$H,MATCH(E$1,Data_metier!$B:$B,0))&lt; 0,-1,
IF(AND(INDEX(Data_metier!$H:$H,MATCH($A4,Data_metier!$B:$B,0))-INDEX(Data_metier!$H:$H,MATCH(E$1,Data_metier!$B:$B,0))&gt; 0,
INDEX(Data_metier!$H:$H,MATCH($A4,Data_metier!$B:$B,0))-INDEX(Data_metier!$H:$H,MATCH(E$1,Data_metier!$B:$B,0))&lt;=1),
1,
IF(INDEX(Data_metier!$H:$H,MATCH($A4,Data_metier!$B:$B,0))-INDEX(Data_metier!$H:$H,MATCH(E$1,Data_metier!$B:$B,0))&gt; 1,
2,
0)))</f>
        <v>-1</v>
      </c>
      <c r="F4">
        <f>IF(INDEX(Data_metier!$H:$H,MATCH($A4,Data_metier!$B:$B,0))-INDEX(Data_metier!$H:$H,MATCH(F$1,Data_metier!$B:$B,0))&lt; 0,-1,
IF(AND(INDEX(Data_metier!$H:$H,MATCH($A4,Data_metier!$B:$B,0))-INDEX(Data_metier!$H:$H,MATCH(F$1,Data_metier!$B:$B,0))&gt; 0,
INDEX(Data_metier!$H:$H,MATCH($A4,Data_metier!$B:$B,0))-INDEX(Data_metier!$H:$H,MATCH(F$1,Data_metier!$B:$B,0))&lt;=1),
1,
IF(INDEX(Data_metier!$H:$H,MATCH($A4,Data_metier!$B:$B,0))-INDEX(Data_metier!$H:$H,MATCH(F$1,Data_metier!$B:$B,0))&gt; 1,
2,
0)))</f>
        <v>-1</v>
      </c>
      <c r="G4">
        <f>IF(INDEX(Data_metier!$H:$H,MATCH($A4,Data_metier!$B:$B,0))-INDEX(Data_metier!$H:$H,MATCH(G$1,Data_metier!$B:$B,0))&lt; 0,-1,
IF(AND(INDEX(Data_metier!$H:$H,MATCH($A4,Data_metier!$B:$B,0))-INDEX(Data_metier!$H:$H,MATCH(G$1,Data_metier!$B:$B,0))&gt; 0,
INDEX(Data_metier!$H:$H,MATCH($A4,Data_metier!$B:$B,0))-INDEX(Data_metier!$H:$H,MATCH(G$1,Data_metier!$B:$B,0))&lt;=1),
1,
IF(INDEX(Data_metier!$H:$H,MATCH($A4,Data_metier!$B:$B,0))-INDEX(Data_metier!$H:$H,MATCH(G$1,Data_metier!$B:$B,0))&gt; 1,
2,
0)))</f>
        <v>-1</v>
      </c>
      <c r="H4">
        <f>IF(INDEX(Data_metier!$H:$H,MATCH($A4,Data_metier!$B:$B,0))-INDEX(Data_metier!$H:$H,MATCH(H$1,Data_metier!$B:$B,0))&lt; 0,-1,
IF(AND(INDEX(Data_metier!$H:$H,MATCH($A4,Data_metier!$B:$B,0))-INDEX(Data_metier!$H:$H,MATCH(H$1,Data_metier!$B:$B,0))&gt; 0,
INDEX(Data_metier!$H:$H,MATCH($A4,Data_metier!$B:$B,0))-INDEX(Data_metier!$H:$H,MATCH(H$1,Data_metier!$B:$B,0))&lt;=1),
1,
IF(INDEX(Data_metier!$H:$H,MATCH($A4,Data_metier!$B:$B,0))-INDEX(Data_metier!$H:$H,MATCH(H$1,Data_metier!$B:$B,0))&gt; 1,
2,
0)))</f>
        <v>-1</v>
      </c>
      <c r="I4">
        <f>IF(INDEX(Data_metier!$H:$H,MATCH($A4,Data_metier!$B:$B,0))-INDEX(Data_metier!$H:$H,MATCH(I$1,Data_metier!$B:$B,0))&lt; 0,-1,
IF(AND(INDEX(Data_metier!$H:$H,MATCH($A4,Data_metier!$B:$B,0))-INDEX(Data_metier!$H:$H,MATCH(I$1,Data_metier!$B:$B,0))&gt; 0,
INDEX(Data_metier!$H:$H,MATCH($A4,Data_metier!$B:$B,0))-INDEX(Data_metier!$H:$H,MATCH(I$1,Data_metier!$B:$B,0))&lt;=1),
1,
IF(INDEX(Data_metier!$H:$H,MATCH($A4,Data_metier!$B:$B,0))-INDEX(Data_metier!$H:$H,MATCH(I$1,Data_metier!$B:$B,0))&gt; 1,
2,
0)))</f>
        <v>0</v>
      </c>
      <c r="J4">
        <f>IF(INDEX(Data_metier!$H:$H,MATCH($A4,Data_metier!$B:$B,0))-INDEX(Data_metier!$H:$H,MATCH(J$1,Data_metier!$B:$B,0))&lt; 0,-1,
IF(AND(INDEX(Data_metier!$H:$H,MATCH($A4,Data_metier!$B:$B,0))-INDEX(Data_metier!$H:$H,MATCH(J$1,Data_metier!$B:$B,0))&gt; 0,
INDEX(Data_metier!$H:$H,MATCH($A4,Data_metier!$B:$B,0))-INDEX(Data_metier!$H:$H,MATCH(J$1,Data_metier!$B:$B,0))&lt;=1),
1,
IF(INDEX(Data_metier!$H:$H,MATCH($A4,Data_metier!$B:$B,0))-INDEX(Data_metier!$H:$H,MATCH(J$1,Data_metier!$B:$B,0))&gt; 1,
2,
0)))</f>
        <v>-1</v>
      </c>
      <c r="K4">
        <f>IF(INDEX(Data_metier!$H:$H,MATCH($A4,Data_metier!$B:$B,0))-INDEX(Data_metier!$H:$H,MATCH(K$1,Data_metier!$B:$B,0))&lt; 0,-1,
IF(AND(INDEX(Data_metier!$H:$H,MATCH($A4,Data_metier!$B:$B,0))-INDEX(Data_metier!$H:$H,MATCH(K$1,Data_metier!$B:$B,0))&gt; 0,
INDEX(Data_metier!$H:$H,MATCH($A4,Data_metier!$B:$B,0))-INDEX(Data_metier!$H:$H,MATCH(K$1,Data_metier!$B:$B,0))&lt;=1),
1,
IF(INDEX(Data_metier!$H:$H,MATCH($A4,Data_metier!$B:$B,0))-INDEX(Data_metier!$H:$H,MATCH(K$1,Data_metier!$B:$B,0))&gt; 1,
2,
0)))</f>
        <v>-1</v>
      </c>
      <c r="L4">
        <f>IF(INDEX(Data_metier!$H:$H,MATCH($A4,Data_metier!$B:$B,0))-INDEX(Data_metier!$H:$H,MATCH(L$1,Data_metier!$B:$B,0))&lt; 0,-1,
IF(AND(INDEX(Data_metier!$H:$H,MATCH($A4,Data_metier!$B:$B,0))-INDEX(Data_metier!$H:$H,MATCH(L$1,Data_metier!$B:$B,0))&gt; 0,
INDEX(Data_metier!$H:$H,MATCH($A4,Data_metier!$B:$B,0))-INDEX(Data_metier!$H:$H,MATCH(L$1,Data_metier!$B:$B,0))&lt;=1),
1,
IF(INDEX(Data_metier!$H:$H,MATCH($A4,Data_metier!$B:$B,0))-INDEX(Data_metier!$H:$H,MATCH(L$1,Data_metier!$B:$B,0))&gt; 1,
2,
0)))</f>
        <v>0</v>
      </c>
      <c r="M4">
        <f>IF(INDEX(Data_metier!$H:$H,MATCH($A4,Data_metier!$B:$B,0))-INDEX(Data_metier!$H:$H,MATCH(M$1,Data_metier!$B:$B,0))&lt; 0,-1,
IF(AND(INDEX(Data_metier!$H:$H,MATCH($A4,Data_metier!$B:$B,0))-INDEX(Data_metier!$H:$H,MATCH(M$1,Data_metier!$B:$B,0))&gt; 0,
INDEX(Data_metier!$H:$H,MATCH($A4,Data_metier!$B:$B,0))-INDEX(Data_metier!$H:$H,MATCH(M$1,Data_metier!$B:$B,0))&lt;=1),
1,
IF(INDEX(Data_metier!$H:$H,MATCH($A4,Data_metier!$B:$B,0))-INDEX(Data_metier!$H:$H,MATCH(M$1,Data_metier!$B:$B,0))&gt; 1,
2,
0)))</f>
        <v>-1</v>
      </c>
      <c r="N4">
        <f>IF(INDEX(Data_metier!$H:$H,MATCH($A4,Data_metier!$B:$B,0))-INDEX(Data_metier!$H:$H,MATCH(N$1,Data_metier!$B:$B,0))&lt; 0,-1,
IF(AND(INDEX(Data_metier!$H:$H,MATCH($A4,Data_metier!$B:$B,0))-INDEX(Data_metier!$H:$H,MATCH(N$1,Data_metier!$B:$B,0))&gt; 0,
INDEX(Data_metier!$H:$H,MATCH($A4,Data_metier!$B:$B,0))-INDEX(Data_metier!$H:$H,MATCH(N$1,Data_metier!$B:$B,0))&lt;=1),
1,
IF(INDEX(Data_metier!$H:$H,MATCH($A4,Data_metier!$B:$B,0))-INDEX(Data_metier!$H:$H,MATCH(N$1,Data_metier!$B:$B,0))&gt; 1,
2,
0)))</f>
        <v>-1</v>
      </c>
      <c r="O4">
        <f>IF(INDEX(Data_metier!$H:$H,MATCH($A4,Data_metier!$B:$B,0))-INDEX(Data_metier!$H:$H,MATCH(O$1,Data_metier!$B:$B,0))&lt; 0,-1,
IF(AND(INDEX(Data_metier!$H:$H,MATCH($A4,Data_metier!$B:$B,0))-INDEX(Data_metier!$H:$H,MATCH(O$1,Data_metier!$B:$B,0))&gt; 0,
INDEX(Data_metier!$H:$H,MATCH($A4,Data_metier!$B:$B,0))-INDEX(Data_metier!$H:$H,MATCH(O$1,Data_metier!$B:$B,0))&lt;=1),
1,
IF(INDEX(Data_metier!$H:$H,MATCH($A4,Data_metier!$B:$B,0))-INDEX(Data_metier!$H:$H,MATCH(O$1,Data_metier!$B:$B,0))&gt; 1,
2,
0)))</f>
        <v>0</v>
      </c>
      <c r="P4">
        <f>IF(INDEX(Data_metier!$H:$H,MATCH($A4,Data_metier!$B:$B,0))-INDEX(Data_metier!$H:$H,MATCH(P$1,Data_metier!$B:$B,0))&lt; 0,-1,
IF(AND(INDEX(Data_metier!$H:$H,MATCH($A4,Data_metier!$B:$B,0))-INDEX(Data_metier!$H:$H,MATCH(P$1,Data_metier!$B:$B,0))&gt; 0,
INDEX(Data_metier!$H:$H,MATCH($A4,Data_metier!$B:$B,0))-INDEX(Data_metier!$H:$H,MATCH(P$1,Data_metier!$B:$B,0))&lt;=1),
1,
IF(INDEX(Data_metier!$H:$H,MATCH($A4,Data_metier!$B:$B,0))-INDEX(Data_metier!$H:$H,MATCH(P$1,Data_metier!$B:$B,0))&gt; 1,
2,
0)))</f>
        <v>0</v>
      </c>
      <c r="Q4">
        <f>IF(INDEX(Data_metier!$H:$H,MATCH($A4,Data_metier!$B:$B,0))-INDEX(Data_metier!$H:$H,MATCH(Q$1,Data_metier!$B:$B,0))&lt; 0,-1,
IF(AND(INDEX(Data_metier!$H:$H,MATCH($A4,Data_metier!$B:$B,0))-INDEX(Data_metier!$H:$H,MATCH(Q$1,Data_metier!$B:$B,0))&gt; 0,
INDEX(Data_metier!$H:$H,MATCH($A4,Data_metier!$B:$B,0))-INDEX(Data_metier!$H:$H,MATCH(Q$1,Data_metier!$B:$B,0))&lt;=1),
1,
IF(INDEX(Data_metier!$H:$H,MATCH($A4,Data_metier!$B:$B,0))-INDEX(Data_metier!$H:$H,MATCH(Q$1,Data_metier!$B:$B,0))&gt; 1,
2,
0)))</f>
        <v>-1</v>
      </c>
      <c r="R4">
        <f>IF(INDEX(Data_metier!$H:$H,MATCH($A4,Data_metier!$B:$B,0))-INDEX(Data_metier!$H:$H,MATCH(R$1,Data_metier!$B:$B,0))&lt; 0,-1,
IF(AND(INDEX(Data_metier!$H:$H,MATCH($A4,Data_metier!$B:$B,0))-INDEX(Data_metier!$H:$H,MATCH(R$1,Data_metier!$B:$B,0))&gt; 0,
INDEX(Data_metier!$H:$H,MATCH($A4,Data_metier!$B:$B,0))-INDEX(Data_metier!$H:$H,MATCH(R$1,Data_metier!$B:$B,0))&lt;=1),
1,
IF(INDEX(Data_metier!$H:$H,MATCH($A4,Data_metier!$B:$B,0))-INDEX(Data_metier!$H:$H,MATCH(R$1,Data_metier!$B:$B,0))&gt; 1,
2,
0)))</f>
        <v>-1</v>
      </c>
      <c r="S4">
        <f>IF(INDEX(Data_metier!$H:$H,MATCH($A4,Data_metier!$B:$B,0))-INDEX(Data_metier!$H:$H,MATCH(S$1,Data_metier!$B:$B,0))&lt; 0,-1,
IF(AND(INDEX(Data_metier!$H:$H,MATCH($A4,Data_metier!$B:$B,0))-INDEX(Data_metier!$H:$H,MATCH(S$1,Data_metier!$B:$B,0))&gt; 0,
INDEX(Data_metier!$H:$H,MATCH($A4,Data_metier!$B:$B,0))-INDEX(Data_metier!$H:$H,MATCH(S$1,Data_metier!$B:$B,0))&lt;=1),
1,
IF(INDEX(Data_metier!$H:$H,MATCH($A4,Data_metier!$B:$B,0))-INDEX(Data_metier!$H:$H,MATCH(S$1,Data_metier!$B:$B,0))&gt; 1,
2,
0)))</f>
        <v>0</v>
      </c>
      <c r="T4">
        <f>IF(INDEX(Data_metier!$H:$H,MATCH($A4,Data_metier!$B:$B,0))-INDEX(Data_metier!$H:$H,MATCH(T$1,Data_metier!$B:$B,0))&lt; 0,-1,
IF(AND(INDEX(Data_metier!$H:$H,MATCH($A4,Data_metier!$B:$B,0))-INDEX(Data_metier!$H:$H,MATCH(T$1,Data_metier!$B:$B,0))&gt; 0,
INDEX(Data_metier!$H:$H,MATCH($A4,Data_metier!$B:$B,0))-INDEX(Data_metier!$H:$H,MATCH(T$1,Data_metier!$B:$B,0))&lt;=1),
1,
IF(INDEX(Data_metier!$H:$H,MATCH($A4,Data_metier!$B:$B,0))-INDEX(Data_metier!$H:$H,MATCH(T$1,Data_metier!$B:$B,0))&gt; 1,
2,
0)))</f>
        <v>0</v>
      </c>
      <c r="U4">
        <f>IF(INDEX(Data_metier!$H:$H,MATCH($A4,Data_metier!$B:$B,0))-INDEX(Data_metier!$H:$H,MATCH(U$1,Data_metier!$B:$B,0))&lt; 0,-1,
IF(AND(INDEX(Data_metier!$H:$H,MATCH($A4,Data_metier!$B:$B,0))-INDEX(Data_metier!$H:$H,MATCH(U$1,Data_metier!$B:$B,0))&gt; 0,
INDEX(Data_metier!$H:$H,MATCH($A4,Data_metier!$B:$B,0))-INDEX(Data_metier!$H:$H,MATCH(U$1,Data_metier!$B:$B,0))&lt;=1),
1,
IF(INDEX(Data_metier!$H:$H,MATCH($A4,Data_metier!$B:$B,0))-INDEX(Data_metier!$H:$H,MATCH(U$1,Data_metier!$B:$B,0))&gt; 1,
2,
0)))</f>
        <v>0</v>
      </c>
      <c r="V4">
        <f>IF(INDEX(Data_metier!$H:$H,MATCH($A4,Data_metier!$B:$B,0))-INDEX(Data_metier!$H:$H,MATCH(V$1,Data_metier!$B:$B,0))&lt; 0,-1,
IF(AND(INDEX(Data_metier!$H:$H,MATCH($A4,Data_metier!$B:$B,0))-INDEX(Data_metier!$H:$H,MATCH(V$1,Data_metier!$B:$B,0))&gt; 0,
INDEX(Data_metier!$H:$H,MATCH($A4,Data_metier!$B:$B,0))-INDEX(Data_metier!$H:$H,MATCH(V$1,Data_metier!$B:$B,0))&lt;=1),
1,
IF(INDEX(Data_metier!$H:$H,MATCH($A4,Data_metier!$B:$B,0))-INDEX(Data_metier!$H:$H,MATCH(V$1,Data_metier!$B:$B,0))&gt; 1,
2,
0)))</f>
        <v>-1</v>
      </c>
      <c r="W4">
        <f>IF(INDEX(Data_metier!$H:$H,MATCH($A4,Data_metier!$B:$B,0))-INDEX(Data_metier!$H:$H,MATCH(W$1,Data_metier!$B:$B,0))&lt; 0,-1,
IF(AND(INDEX(Data_metier!$H:$H,MATCH($A4,Data_metier!$B:$B,0))-INDEX(Data_metier!$H:$H,MATCH(W$1,Data_metier!$B:$B,0))&gt; 0,
INDEX(Data_metier!$H:$H,MATCH($A4,Data_metier!$B:$B,0))-INDEX(Data_metier!$H:$H,MATCH(W$1,Data_metier!$B:$B,0))&lt;=1),
1,
IF(INDEX(Data_metier!$H:$H,MATCH($A4,Data_metier!$B:$B,0))-INDEX(Data_metier!$H:$H,MATCH(W$1,Data_metier!$B:$B,0))&gt; 1,
2,
0)))</f>
        <v>-1</v>
      </c>
      <c r="X4">
        <f>IF(INDEX(Data_metier!$H:$H,MATCH($A4,Data_metier!$B:$B,0))-INDEX(Data_metier!$H:$H,MATCH(X$1,Data_metier!$B:$B,0))&lt; 0,-1,
IF(AND(INDEX(Data_metier!$H:$H,MATCH($A4,Data_metier!$B:$B,0))-INDEX(Data_metier!$H:$H,MATCH(X$1,Data_metier!$B:$B,0))&gt; 0,
INDEX(Data_metier!$H:$H,MATCH($A4,Data_metier!$B:$B,0))-INDEX(Data_metier!$H:$H,MATCH(X$1,Data_metier!$B:$B,0))&lt;=1),
1,
IF(INDEX(Data_metier!$H:$H,MATCH($A4,Data_metier!$B:$B,0))-INDEX(Data_metier!$H:$H,MATCH(X$1,Data_metier!$B:$B,0))&gt; 1,
2,
0)))</f>
        <v>-1</v>
      </c>
      <c r="Y4">
        <f>IF(INDEX(Data_metier!$H:$H,MATCH($A4,Data_metier!$B:$B,0))-INDEX(Data_metier!$H:$H,MATCH(Y$1,Data_metier!$B:$B,0))&lt; 0,-1,
IF(AND(INDEX(Data_metier!$H:$H,MATCH($A4,Data_metier!$B:$B,0))-INDEX(Data_metier!$H:$H,MATCH(Y$1,Data_metier!$B:$B,0))&gt; 0,
INDEX(Data_metier!$H:$H,MATCH($A4,Data_metier!$B:$B,0))-INDEX(Data_metier!$H:$H,MATCH(Y$1,Data_metier!$B:$B,0))&lt;=1),
1,
IF(INDEX(Data_metier!$H:$H,MATCH($A4,Data_metier!$B:$B,0))-INDEX(Data_metier!$H:$H,MATCH(Y$1,Data_metier!$B:$B,0))&gt; 1,
2,
0)))</f>
        <v>0</v>
      </c>
      <c r="Z4">
        <f>IF(INDEX(Data_metier!$H:$H,MATCH($A4,Data_metier!$B:$B,0))-INDEX(Data_metier!$H:$H,MATCH(Z$1,Data_metier!$B:$B,0))&lt; 0,-1,
IF(AND(INDEX(Data_metier!$H:$H,MATCH($A4,Data_metier!$B:$B,0))-INDEX(Data_metier!$H:$H,MATCH(Z$1,Data_metier!$B:$B,0))&gt; 0,
INDEX(Data_metier!$H:$H,MATCH($A4,Data_metier!$B:$B,0))-INDEX(Data_metier!$H:$H,MATCH(Z$1,Data_metier!$B:$B,0))&lt;=1),
1,
IF(INDEX(Data_metier!$H:$H,MATCH($A4,Data_metier!$B:$B,0))-INDEX(Data_metier!$H:$H,MATCH(Z$1,Data_metier!$B:$B,0))&gt; 1,
2,
0)))</f>
        <v>0</v>
      </c>
      <c r="AA4">
        <f>IF(INDEX(Data_metier!$H:$H,MATCH($A4,Data_metier!$B:$B,0))-INDEX(Data_metier!$H:$H,MATCH(AA$1,Data_metier!$B:$B,0))&lt; 0,-1,
IF(AND(INDEX(Data_metier!$H:$H,MATCH($A4,Data_metier!$B:$B,0))-INDEX(Data_metier!$H:$H,MATCH(AA$1,Data_metier!$B:$B,0))&gt; 0,
INDEX(Data_metier!$H:$H,MATCH($A4,Data_metier!$B:$B,0))-INDEX(Data_metier!$H:$H,MATCH(AA$1,Data_metier!$B:$B,0))&lt;=1),
1,
IF(INDEX(Data_metier!$H:$H,MATCH($A4,Data_metier!$B:$B,0))-INDEX(Data_metier!$H:$H,MATCH(AA$1,Data_metier!$B:$B,0))&gt; 1,
2,
0)))</f>
        <v>0</v>
      </c>
      <c r="AB4">
        <f>IF(INDEX(Data_metier!$H:$H,MATCH($A4,Data_metier!$B:$B,0))-INDEX(Data_metier!$H:$H,MATCH(AB$1,Data_metier!$B:$B,0))&lt; 0,-1,
IF(AND(INDEX(Data_metier!$H:$H,MATCH($A4,Data_metier!$B:$B,0))-INDEX(Data_metier!$H:$H,MATCH(AB$1,Data_metier!$B:$B,0))&gt; 0,
INDEX(Data_metier!$H:$H,MATCH($A4,Data_metier!$B:$B,0))-INDEX(Data_metier!$H:$H,MATCH(AB$1,Data_metier!$B:$B,0))&lt;=1),
1,
IF(INDEX(Data_metier!$H:$H,MATCH($A4,Data_metier!$B:$B,0))-INDEX(Data_metier!$H:$H,MATCH(AB$1,Data_metier!$B:$B,0))&gt; 1,
2,
0)))</f>
        <v>-1</v>
      </c>
      <c r="AC4">
        <f>IF(INDEX(Data_metier!$H:$H,MATCH($A4,Data_metier!$B:$B,0))-INDEX(Data_metier!$H:$H,MATCH(AC$1,Data_metier!$B:$B,0))&lt; 0,-1,
IF(AND(INDEX(Data_metier!$H:$H,MATCH($A4,Data_metier!$B:$B,0))-INDEX(Data_metier!$H:$H,MATCH(AC$1,Data_metier!$B:$B,0))&gt; 0,
INDEX(Data_metier!$H:$H,MATCH($A4,Data_metier!$B:$B,0))-INDEX(Data_metier!$H:$H,MATCH(AC$1,Data_metier!$B:$B,0))&lt;=1),
1,
IF(INDEX(Data_metier!$H:$H,MATCH($A4,Data_metier!$B:$B,0))-INDEX(Data_metier!$H:$H,MATCH(AC$1,Data_metier!$B:$B,0))&gt; 1,
2,
0)))</f>
        <v>-1</v>
      </c>
      <c r="AD4">
        <f>IF(INDEX(Data_metier!$H:$H,MATCH($A4,Data_metier!$B:$B,0))-INDEX(Data_metier!$H:$H,MATCH(AD$1,Data_metier!$B:$B,0))&lt; 0,-1,
IF(AND(INDEX(Data_metier!$H:$H,MATCH($A4,Data_metier!$B:$B,0))-INDEX(Data_metier!$H:$H,MATCH(AD$1,Data_metier!$B:$B,0))&gt; 0,
INDEX(Data_metier!$H:$H,MATCH($A4,Data_metier!$B:$B,0))-INDEX(Data_metier!$H:$H,MATCH(AD$1,Data_metier!$B:$B,0))&lt;=1),
1,
IF(INDEX(Data_metier!$H:$H,MATCH($A4,Data_metier!$B:$B,0))-INDEX(Data_metier!$H:$H,MATCH(AD$1,Data_metier!$B:$B,0))&gt; 1,
2,
0)))</f>
        <v>-1</v>
      </c>
    </row>
    <row r="5" spans="1:30">
      <c r="A5" t="str">
        <v>Manager(euse) logistique</v>
      </c>
      <c r="B5">
        <f>IF(INDEX(Data_metier!$H:$H,MATCH($A5,Data_metier!$B:$B,0))-INDEX(Data_metier!$H:$H,MATCH(B$1,Data_metier!$B:$B,0))&lt; 0,-1,
IF(AND(INDEX(Data_metier!$H:$H,MATCH($A5,Data_metier!$B:$B,0))-INDEX(Data_metier!$H:$H,MATCH(B$1,Data_metier!$B:$B,0))&gt; 0,
INDEX(Data_metier!$H:$H,MATCH($A5,Data_metier!$B:$B,0))-INDEX(Data_metier!$H:$H,MATCH(B$1,Data_metier!$B:$B,0))&lt;=1),
1,
IF(INDEX(Data_metier!$H:$H,MATCH($A5,Data_metier!$B:$B,0))-INDEX(Data_metier!$H:$H,MATCH(B$1,Data_metier!$B:$B,0))&gt; 1,
2,
0)))</f>
        <v>2</v>
      </c>
      <c r="C5">
        <f>IF(INDEX(Data_metier!$H:$H,MATCH($A5,Data_metier!$B:$B,0))-INDEX(Data_metier!$H:$H,MATCH(C$1,Data_metier!$B:$B,0))&lt; 0,-1,
IF(AND(INDEX(Data_metier!$H:$H,MATCH($A5,Data_metier!$B:$B,0))-INDEX(Data_metier!$H:$H,MATCH(C$1,Data_metier!$B:$B,0))&gt; 0,
INDEX(Data_metier!$H:$H,MATCH($A5,Data_metier!$B:$B,0))-INDEX(Data_metier!$H:$H,MATCH(C$1,Data_metier!$B:$B,0))&lt;=1),
1,
IF(INDEX(Data_metier!$H:$H,MATCH($A5,Data_metier!$B:$B,0))-INDEX(Data_metier!$H:$H,MATCH(C$1,Data_metier!$B:$B,0))&gt; 1,
2,
0)))</f>
        <v>2</v>
      </c>
      <c r="D5">
        <f>IF(INDEX(Data_metier!$H:$H,MATCH($A5,Data_metier!$B:$B,0))-INDEX(Data_metier!$H:$H,MATCH(D$1,Data_metier!$B:$B,0))&lt; 0,-1,
IF(AND(INDEX(Data_metier!$H:$H,MATCH($A5,Data_metier!$B:$B,0))-INDEX(Data_metier!$H:$H,MATCH(D$1,Data_metier!$B:$B,0))&gt; 0,
INDEX(Data_metier!$H:$H,MATCH($A5,Data_metier!$B:$B,0))-INDEX(Data_metier!$H:$H,MATCH(D$1,Data_metier!$B:$B,0))&lt;=1),
1,
IF(INDEX(Data_metier!$H:$H,MATCH($A5,Data_metier!$B:$B,0))-INDEX(Data_metier!$H:$H,MATCH(D$1,Data_metier!$B:$B,0))&gt; 1,
2,
0)))</f>
        <v>2</v>
      </c>
      <c r="E5">
        <f>IF(INDEX(Data_metier!$H:$H,MATCH($A5,Data_metier!$B:$B,0))-INDEX(Data_metier!$H:$H,MATCH(E$1,Data_metier!$B:$B,0))&lt; 0,-1,
IF(AND(INDEX(Data_metier!$H:$H,MATCH($A5,Data_metier!$B:$B,0))-INDEX(Data_metier!$H:$H,MATCH(E$1,Data_metier!$B:$B,0))&gt; 0,
INDEX(Data_metier!$H:$H,MATCH($A5,Data_metier!$B:$B,0))-INDEX(Data_metier!$H:$H,MATCH(E$1,Data_metier!$B:$B,0))&lt;=1),
1,
IF(INDEX(Data_metier!$H:$H,MATCH($A5,Data_metier!$B:$B,0))-INDEX(Data_metier!$H:$H,MATCH(E$1,Data_metier!$B:$B,0))&gt; 1,
2,
0)))</f>
        <v>0</v>
      </c>
      <c r="F5">
        <f>IF(INDEX(Data_metier!$H:$H,MATCH($A5,Data_metier!$B:$B,0))-INDEX(Data_metier!$H:$H,MATCH(F$1,Data_metier!$B:$B,0))&lt; 0,-1,
IF(AND(INDEX(Data_metier!$H:$H,MATCH($A5,Data_metier!$B:$B,0))-INDEX(Data_metier!$H:$H,MATCH(F$1,Data_metier!$B:$B,0))&gt; 0,
INDEX(Data_metier!$H:$H,MATCH($A5,Data_metier!$B:$B,0))-INDEX(Data_metier!$H:$H,MATCH(F$1,Data_metier!$B:$B,0))&lt;=1),
1,
IF(INDEX(Data_metier!$H:$H,MATCH($A5,Data_metier!$B:$B,0))-INDEX(Data_metier!$H:$H,MATCH(F$1,Data_metier!$B:$B,0))&gt; 1,
2,
0)))</f>
        <v>-1</v>
      </c>
      <c r="G5">
        <f>IF(INDEX(Data_metier!$H:$H,MATCH($A5,Data_metier!$B:$B,0))-INDEX(Data_metier!$H:$H,MATCH(G$1,Data_metier!$B:$B,0))&lt; 0,-1,
IF(AND(INDEX(Data_metier!$H:$H,MATCH($A5,Data_metier!$B:$B,0))-INDEX(Data_metier!$H:$H,MATCH(G$1,Data_metier!$B:$B,0))&gt; 0,
INDEX(Data_metier!$H:$H,MATCH($A5,Data_metier!$B:$B,0))-INDEX(Data_metier!$H:$H,MATCH(G$1,Data_metier!$B:$B,0))&lt;=1),
1,
IF(INDEX(Data_metier!$H:$H,MATCH($A5,Data_metier!$B:$B,0))-INDEX(Data_metier!$H:$H,MATCH(G$1,Data_metier!$B:$B,0))&gt; 1,
2,
0)))</f>
        <v>-1</v>
      </c>
      <c r="H5">
        <f>IF(INDEX(Data_metier!$H:$H,MATCH($A5,Data_metier!$B:$B,0))-INDEX(Data_metier!$H:$H,MATCH(H$1,Data_metier!$B:$B,0))&lt; 0,-1,
IF(AND(INDEX(Data_metier!$H:$H,MATCH($A5,Data_metier!$B:$B,0))-INDEX(Data_metier!$H:$H,MATCH(H$1,Data_metier!$B:$B,0))&gt; 0,
INDEX(Data_metier!$H:$H,MATCH($A5,Data_metier!$B:$B,0))-INDEX(Data_metier!$H:$H,MATCH(H$1,Data_metier!$B:$B,0))&lt;=1),
1,
IF(INDEX(Data_metier!$H:$H,MATCH($A5,Data_metier!$B:$B,0))-INDEX(Data_metier!$H:$H,MATCH(H$1,Data_metier!$B:$B,0))&gt; 1,
2,
0)))</f>
        <v>-1</v>
      </c>
      <c r="I5">
        <f>IF(INDEX(Data_metier!$H:$H,MATCH($A5,Data_metier!$B:$B,0))-INDEX(Data_metier!$H:$H,MATCH(I$1,Data_metier!$B:$B,0))&lt; 0,-1,
IF(AND(INDEX(Data_metier!$H:$H,MATCH($A5,Data_metier!$B:$B,0))-INDEX(Data_metier!$H:$H,MATCH(I$1,Data_metier!$B:$B,0))&gt; 0,
INDEX(Data_metier!$H:$H,MATCH($A5,Data_metier!$B:$B,0))-INDEX(Data_metier!$H:$H,MATCH(I$1,Data_metier!$B:$B,0))&lt;=1),
1,
IF(INDEX(Data_metier!$H:$H,MATCH($A5,Data_metier!$B:$B,0))-INDEX(Data_metier!$H:$H,MATCH(I$1,Data_metier!$B:$B,0))&gt; 1,
2,
0)))</f>
        <v>2</v>
      </c>
      <c r="J5">
        <f>IF(INDEX(Data_metier!$H:$H,MATCH($A5,Data_metier!$B:$B,0))-INDEX(Data_metier!$H:$H,MATCH(J$1,Data_metier!$B:$B,0))&lt; 0,-1,
IF(AND(INDEX(Data_metier!$H:$H,MATCH($A5,Data_metier!$B:$B,0))-INDEX(Data_metier!$H:$H,MATCH(J$1,Data_metier!$B:$B,0))&gt; 0,
INDEX(Data_metier!$H:$H,MATCH($A5,Data_metier!$B:$B,0))-INDEX(Data_metier!$H:$H,MATCH(J$1,Data_metier!$B:$B,0))&lt;=1),
1,
IF(INDEX(Data_metier!$H:$H,MATCH($A5,Data_metier!$B:$B,0))-INDEX(Data_metier!$H:$H,MATCH(J$1,Data_metier!$B:$B,0))&gt; 1,
2,
0)))</f>
        <v>0</v>
      </c>
      <c r="K5">
        <f>IF(INDEX(Data_metier!$H:$H,MATCH($A5,Data_metier!$B:$B,0))-INDEX(Data_metier!$H:$H,MATCH(K$1,Data_metier!$B:$B,0))&lt; 0,-1,
IF(AND(INDEX(Data_metier!$H:$H,MATCH($A5,Data_metier!$B:$B,0))-INDEX(Data_metier!$H:$H,MATCH(K$1,Data_metier!$B:$B,0))&gt; 0,
INDEX(Data_metier!$H:$H,MATCH($A5,Data_metier!$B:$B,0))-INDEX(Data_metier!$H:$H,MATCH(K$1,Data_metier!$B:$B,0))&lt;=1),
1,
IF(INDEX(Data_metier!$H:$H,MATCH($A5,Data_metier!$B:$B,0))-INDEX(Data_metier!$H:$H,MATCH(K$1,Data_metier!$B:$B,0))&gt; 1,
2,
0)))</f>
        <v>-1</v>
      </c>
      <c r="L5">
        <f>IF(INDEX(Data_metier!$H:$H,MATCH($A5,Data_metier!$B:$B,0))-INDEX(Data_metier!$H:$H,MATCH(L$1,Data_metier!$B:$B,0))&lt; 0,-1,
IF(AND(INDEX(Data_metier!$H:$H,MATCH($A5,Data_metier!$B:$B,0))-INDEX(Data_metier!$H:$H,MATCH(L$1,Data_metier!$B:$B,0))&gt; 0,
INDEX(Data_metier!$H:$H,MATCH($A5,Data_metier!$B:$B,0))-INDEX(Data_metier!$H:$H,MATCH(L$1,Data_metier!$B:$B,0))&lt;=1),
1,
IF(INDEX(Data_metier!$H:$H,MATCH($A5,Data_metier!$B:$B,0))-INDEX(Data_metier!$H:$H,MATCH(L$1,Data_metier!$B:$B,0))&gt; 1,
2,
0)))</f>
        <v>2</v>
      </c>
      <c r="M5">
        <f>IF(INDEX(Data_metier!$H:$H,MATCH($A5,Data_metier!$B:$B,0))-INDEX(Data_metier!$H:$H,MATCH(M$1,Data_metier!$B:$B,0))&lt; 0,-1,
IF(AND(INDEX(Data_metier!$H:$H,MATCH($A5,Data_metier!$B:$B,0))-INDEX(Data_metier!$H:$H,MATCH(M$1,Data_metier!$B:$B,0))&gt; 0,
INDEX(Data_metier!$H:$H,MATCH($A5,Data_metier!$B:$B,0))-INDEX(Data_metier!$H:$H,MATCH(M$1,Data_metier!$B:$B,0))&lt;=1),
1,
IF(INDEX(Data_metier!$H:$H,MATCH($A5,Data_metier!$B:$B,0))-INDEX(Data_metier!$H:$H,MATCH(M$1,Data_metier!$B:$B,0))&gt; 1,
2,
0)))</f>
        <v>2</v>
      </c>
      <c r="N5">
        <f>IF(INDEX(Data_metier!$H:$H,MATCH($A5,Data_metier!$B:$B,0))-INDEX(Data_metier!$H:$H,MATCH(N$1,Data_metier!$B:$B,0))&lt; 0,-1,
IF(AND(INDEX(Data_metier!$H:$H,MATCH($A5,Data_metier!$B:$B,0))-INDEX(Data_metier!$H:$H,MATCH(N$1,Data_metier!$B:$B,0))&gt; 0,
INDEX(Data_metier!$H:$H,MATCH($A5,Data_metier!$B:$B,0))-INDEX(Data_metier!$H:$H,MATCH(N$1,Data_metier!$B:$B,0))&lt;=1),
1,
IF(INDEX(Data_metier!$H:$H,MATCH($A5,Data_metier!$B:$B,0))-INDEX(Data_metier!$H:$H,MATCH(N$1,Data_metier!$B:$B,0))&gt; 1,
2,
0)))</f>
        <v>1</v>
      </c>
      <c r="O5">
        <f>IF(INDEX(Data_metier!$H:$H,MATCH($A5,Data_metier!$B:$B,0))-INDEX(Data_metier!$H:$H,MATCH(O$1,Data_metier!$B:$B,0))&lt; 0,-1,
IF(AND(INDEX(Data_metier!$H:$H,MATCH($A5,Data_metier!$B:$B,0))-INDEX(Data_metier!$H:$H,MATCH(O$1,Data_metier!$B:$B,0))&gt; 0,
INDEX(Data_metier!$H:$H,MATCH($A5,Data_metier!$B:$B,0))-INDEX(Data_metier!$H:$H,MATCH(O$1,Data_metier!$B:$B,0))&lt;=1),
1,
IF(INDEX(Data_metier!$H:$H,MATCH($A5,Data_metier!$B:$B,0))-INDEX(Data_metier!$H:$H,MATCH(O$1,Data_metier!$B:$B,0))&gt; 1,
2,
0)))</f>
        <v>2</v>
      </c>
      <c r="P5">
        <f>IF(INDEX(Data_metier!$H:$H,MATCH($A5,Data_metier!$B:$B,0))-INDEX(Data_metier!$H:$H,MATCH(P$1,Data_metier!$B:$B,0))&lt; 0,-1,
IF(AND(INDEX(Data_metier!$H:$H,MATCH($A5,Data_metier!$B:$B,0))-INDEX(Data_metier!$H:$H,MATCH(P$1,Data_metier!$B:$B,0))&gt; 0,
INDEX(Data_metier!$H:$H,MATCH($A5,Data_metier!$B:$B,0))-INDEX(Data_metier!$H:$H,MATCH(P$1,Data_metier!$B:$B,0))&lt;=1),
1,
IF(INDEX(Data_metier!$H:$H,MATCH($A5,Data_metier!$B:$B,0))-INDEX(Data_metier!$H:$H,MATCH(P$1,Data_metier!$B:$B,0))&gt; 1,
2,
0)))</f>
        <v>2</v>
      </c>
      <c r="Q5">
        <f>IF(INDEX(Data_metier!$H:$H,MATCH($A5,Data_metier!$B:$B,0))-INDEX(Data_metier!$H:$H,MATCH(Q$1,Data_metier!$B:$B,0))&lt; 0,-1,
IF(AND(INDEX(Data_metier!$H:$H,MATCH($A5,Data_metier!$B:$B,0))-INDEX(Data_metier!$H:$H,MATCH(Q$1,Data_metier!$B:$B,0))&gt; 0,
INDEX(Data_metier!$H:$H,MATCH($A5,Data_metier!$B:$B,0))-INDEX(Data_metier!$H:$H,MATCH(Q$1,Data_metier!$B:$B,0))&lt;=1),
1,
IF(INDEX(Data_metier!$H:$H,MATCH($A5,Data_metier!$B:$B,0))-INDEX(Data_metier!$H:$H,MATCH(Q$1,Data_metier!$B:$B,0))&gt; 1,
2,
0)))</f>
        <v>0</v>
      </c>
      <c r="R5">
        <f>IF(INDEX(Data_metier!$H:$H,MATCH($A5,Data_metier!$B:$B,0))-INDEX(Data_metier!$H:$H,MATCH(R$1,Data_metier!$B:$B,0))&lt; 0,-1,
IF(AND(INDEX(Data_metier!$H:$H,MATCH($A5,Data_metier!$B:$B,0))-INDEX(Data_metier!$H:$H,MATCH(R$1,Data_metier!$B:$B,0))&gt; 0,
INDEX(Data_metier!$H:$H,MATCH($A5,Data_metier!$B:$B,0))-INDEX(Data_metier!$H:$H,MATCH(R$1,Data_metier!$B:$B,0))&lt;=1),
1,
IF(INDEX(Data_metier!$H:$H,MATCH($A5,Data_metier!$B:$B,0))-INDEX(Data_metier!$H:$H,MATCH(R$1,Data_metier!$B:$B,0))&gt; 1,
2,
0)))</f>
        <v>-1</v>
      </c>
      <c r="S5">
        <f>IF(INDEX(Data_metier!$H:$H,MATCH($A5,Data_metier!$B:$B,0))-INDEX(Data_metier!$H:$H,MATCH(S$1,Data_metier!$B:$B,0))&lt; 0,-1,
IF(AND(INDEX(Data_metier!$H:$H,MATCH($A5,Data_metier!$B:$B,0))-INDEX(Data_metier!$H:$H,MATCH(S$1,Data_metier!$B:$B,0))&gt; 0,
INDEX(Data_metier!$H:$H,MATCH($A5,Data_metier!$B:$B,0))-INDEX(Data_metier!$H:$H,MATCH(S$1,Data_metier!$B:$B,0))&lt;=1),
1,
IF(INDEX(Data_metier!$H:$H,MATCH($A5,Data_metier!$B:$B,0))-INDEX(Data_metier!$H:$H,MATCH(S$1,Data_metier!$B:$B,0))&gt; 1,
2,
0)))</f>
        <v>2</v>
      </c>
      <c r="T5">
        <f>IF(INDEX(Data_metier!$H:$H,MATCH($A5,Data_metier!$B:$B,0))-INDEX(Data_metier!$H:$H,MATCH(T$1,Data_metier!$B:$B,0))&lt; 0,-1,
IF(AND(INDEX(Data_metier!$H:$H,MATCH($A5,Data_metier!$B:$B,0))-INDEX(Data_metier!$H:$H,MATCH(T$1,Data_metier!$B:$B,0))&gt; 0,
INDEX(Data_metier!$H:$H,MATCH($A5,Data_metier!$B:$B,0))-INDEX(Data_metier!$H:$H,MATCH(T$1,Data_metier!$B:$B,0))&lt;=1),
1,
IF(INDEX(Data_metier!$H:$H,MATCH($A5,Data_metier!$B:$B,0))-INDEX(Data_metier!$H:$H,MATCH(T$1,Data_metier!$B:$B,0))&gt; 1,
2,
0)))</f>
        <v>2</v>
      </c>
      <c r="U5">
        <f>IF(INDEX(Data_metier!$H:$H,MATCH($A5,Data_metier!$B:$B,0))-INDEX(Data_metier!$H:$H,MATCH(U$1,Data_metier!$B:$B,0))&lt; 0,-1,
IF(AND(INDEX(Data_metier!$H:$H,MATCH($A5,Data_metier!$B:$B,0))-INDEX(Data_metier!$H:$H,MATCH(U$1,Data_metier!$B:$B,0))&gt; 0,
INDEX(Data_metier!$H:$H,MATCH($A5,Data_metier!$B:$B,0))-INDEX(Data_metier!$H:$H,MATCH(U$1,Data_metier!$B:$B,0))&lt;=1),
1,
IF(INDEX(Data_metier!$H:$H,MATCH($A5,Data_metier!$B:$B,0))-INDEX(Data_metier!$H:$H,MATCH(U$1,Data_metier!$B:$B,0))&gt; 1,
2,
0)))</f>
        <v>2</v>
      </c>
      <c r="V5">
        <f>IF(INDEX(Data_metier!$H:$H,MATCH($A5,Data_metier!$B:$B,0))-INDEX(Data_metier!$H:$H,MATCH(V$1,Data_metier!$B:$B,0))&lt; 0,-1,
IF(AND(INDEX(Data_metier!$H:$H,MATCH($A5,Data_metier!$B:$B,0))-INDEX(Data_metier!$H:$H,MATCH(V$1,Data_metier!$B:$B,0))&gt; 0,
INDEX(Data_metier!$H:$H,MATCH($A5,Data_metier!$B:$B,0))-INDEX(Data_metier!$H:$H,MATCH(V$1,Data_metier!$B:$B,0))&lt;=1),
1,
IF(INDEX(Data_metier!$H:$H,MATCH($A5,Data_metier!$B:$B,0))-INDEX(Data_metier!$H:$H,MATCH(V$1,Data_metier!$B:$B,0))&gt; 1,
2,
0)))</f>
        <v>2</v>
      </c>
      <c r="W5">
        <f>IF(INDEX(Data_metier!$H:$H,MATCH($A5,Data_metier!$B:$B,0))-INDEX(Data_metier!$H:$H,MATCH(W$1,Data_metier!$B:$B,0))&lt; 0,-1,
IF(AND(INDEX(Data_metier!$H:$H,MATCH($A5,Data_metier!$B:$B,0))-INDEX(Data_metier!$H:$H,MATCH(W$1,Data_metier!$B:$B,0))&gt; 0,
INDEX(Data_metier!$H:$H,MATCH($A5,Data_metier!$B:$B,0))-INDEX(Data_metier!$H:$H,MATCH(W$1,Data_metier!$B:$B,0))&lt;=1),
1,
IF(INDEX(Data_metier!$H:$H,MATCH($A5,Data_metier!$B:$B,0))-INDEX(Data_metier!$H:$H,MATCH(W$1,Data_metier!$B:$B,0))&gt; 1,
2,
0)))</f>
        <v>2</v>
      </c>
      <c r="X5">
        <f>IF(INDEX(Data_metier!$H:$H,MATCH($A5,Data_metier!$B:$B,0))-INDEX(Data_metier!$H:$H,MATCH(X$1,Data_metier!$B:$B,0))&lt; 0,-1,
IF(AND(INDEX(Data_metier!$H:$H,MATCH($A5,Data_metier!$B:$B,0))-INDEX(Data_metier!$H:$H,MATCH(X$1,Data_metier!$B:$B,0))&gt; 0,
INDEX(Data_metier!$H:$H,MATCH($A5,Data_metier!$B:$B,0))-INDEX(Data_metier!$H:$H,MATCH(X$1,Data_metier!$B:$B,0))&lt;=1),
1,
IF(INDEX(Data_metier!$H:$H,MATCH($A5,Data_metier!$B:$B,0))-INDEX(Data_metier!$H:$H,MATCH(X$1,Data_metier!$B:$B,0))&gt; 1,
2,
0)))</f>
        <v>-1</v>
      </c>
      <c r="Y5">
        <f>IF(INDEX(Data_metier!$H:$H,MATCH($A5,Data_metier!$B:$B,0))-INDEX(Data_metier!$H:$H,MATCH(Y$1,Data_metier!$B:$B,0))&lt; 0,-1,
IF(AND(INDEX(Data_metier!$H:$H,MATCH($A5,Data_metier!$B:$B,0))-INDEX(Data_metier!$H:$H,MATCH(Y$1,Data_metier!$B:$B,0))&gt; 0,
INDEX(Data_metier!$H:$H,MATCH($A5,Data_metier!$B:$B,0))-INDEX(Data_metier!$H:$H,MATCH(Y$1,Data_metier!$B:$B,0))&lt;=1),
1,
IF(INDEX(Data_metier!$H:$H,MATCH($A5,Data_metier!$B:$B,0))-INDEX(Data_metier!$H:$H,MATCH(Y$1,Data_metier!$B:$B,0))&gt; 1,
2,
0)))</f>
        <v>2</v>
      </c>
      <c r="Z5">
        <f>IF(INDEX(Data_metier!$H:$H,MATCH($A5,Data_metier!$B:$B,0))-INDEX(Data_metier!$H:$H,MATCH(Z$1,Data_metier!$B:$B,0))&lt; 0,-1,
IF(AND(INDEX(Data_metier!$H:$H,MATCH($A5,Data_metier!$B:$B,0))-INDEX(Data_metier!$H:$H,MATCH(Z$1,Data_metier!$B:$B,0))&gt; 0,
INDEX(Data_metier!$H:$H,MATCH($A5,Data_metier!$B:$B,0))-INDEX(Data_metier!$H:$H,MATCH(Z$1,Data_metier!$B:$B,0))&lt;=1),
1,
IF(INDEX(Data_metier!$H:$H,MATCH($A5,Data_metier!$B:$B,0))-INDEX(Data_metier!$H:$H,MATCH(Z$1,Data_metier!$B:$B,0))&gt; 1,
2,
0)))</f>
        <v>2</v>
      </c>
      <c r="AA5">
        <f>IF(INDEX(Data_metier!$H:$H,MATCH($A5,Data_metier!$B:$B,0))-INDEX(Data_metier!$H:$H,MATCH(AA$1,Data_metier!$B:$B,0))&lt; 0,-1,
IF(AND(INDEX(Data_metier!$H:$H,MATCH($A5,Data_metier!$B:$B,0))-INDEX(Data_metier!$H:$H,MATCH(AA$1,Data_metier!$B:$B,0))&gt; 0,
INDEX(Data_metier!$H:$H,MATCH($A5,Data_metier!$B:$B,0))-INDEX(Data_metier!$H:$H,MATCH(AA$1,Data_metier!$B:$B,0))&lt;=1),
1,
IF(INDEX(Data_metier!$H:$H,MATCH($A5,Data_metier!$B:$B,0))-INDEX(Data_metier!$H:$H,MATCH(AA$1,Data_metier!$B:$B,0))&gt; 1,
2,
0)))</f>
        <v>2</v>
      </c>
      <c r="AB5">
        <f>IF(INDEX(Data_metier!$H:$H,MATCH($A5,Data_metier!$B:$B,0))-INDEX(Data_metier!$H:$H,MATCH(AB$1,Data_metier!$B:$B,0))&lt; 0,-1,
IF(AND(INDEX(Data_metier!$H:$H,MATCH($A5,Data_metier!$B:$B,0))-INDEX(Data_metier!$H:$H,MATCH(AB$1,Data_metier!$B:$B,0))&gt; 0,
INDEX(Data_metier!$H:$H,MATCH($A5,Data_metier!$B:$B,0))-INDEX(Data_metier!$H:$H,MATCH(AB$1,Data_metier!$B:$B,0))&lt;=1),
1,
IF(INDEX(Data_metier!$H:$H,MATCH($A5,Data_metier!$B:$B,0))-INDEX(Data_metier!$H:$H,MATCH(AB$1,Data_metier!$B:$B,0))&gt; 1,
2,
0)))</f>
        <v>2</v>
      </c>
      <c r="AC5">
        <f>IF(INDEX(Data_metier!$H:$H,MATCH($A5,Data_metier!$B:$B,0))-INDEX(Data_metier!$H:$H,MATCH(AC$1,Data_metier!$B:$B,0))&lt; 0,-1,
IF(AND(INDEX(Data_metier!$H:$H,MATCH($A5,Data_metier!$B:$B,0))-INDEX(Data_metier!$H:$H,MATCH(AC$1,Data_metier!$B:$B,0))&gt; 0,
INDEX(Data_metier!$H:$H,MATCH($A5,Data_metier!$B:$B,0))-INDEX(Data_metier!$H:$H,MATCH(AC$1,Data_metier!$B:$B,0))&lt;=1),
1,
IF(INDEX(Data_metier!$H:$H,MATCH($A5,Data_metier!$B:$B,0))-INDEX(Data_metier!$H:$H,MATCH(AC$1,Data_metier!$B:$B,0))&gt; 1,
2,
0)))</f>
        <v>2</v>
      </c>
      <c r="AD5">
        <f>IF(INDEX(Data_metier!$H:$H,MATCH($A5,Data_metier!$B:$B,0))-INDEX(Data_metier!$H:$H,MATCH(AD$1,Data_metier!$B:$B,0))&lt; 0,-1,
IF(AND(INDEX(Data_metier!$H:$H,MATCH($A5,Data_metier!$B:$B,0))-INDEX(Data_metier!$H:$H,MATCH(AD$1,Data_metier!$B:$B,0))&gt; 0,
INDEX(Data_metier!$H:$H,MATCH($A5,Data_metier!$B:$B,0))-INDEX(Data_metier!$H:$H,MATCH(AD$1,Data_metier!$B:$B,0))&lt;=1),
1,
IF(INDEX(Data_metier!$H:$H,MATCH($A5,Data_metier!$B:$B,0))-INDEX(Data_metier!$H:$H,MATCH(AD$1,Data_metier!$B:$B,0))&gt; 1,
2,
0)))</f>
        <v>1</v>
      </c>
    </row>
    <row r="6" spans="1:30">
      <c r="A6" t="str">
        <v>Maître(sse) de chai</v>
      </c>
      <c r="B6">
        <f>IF(INDEX(Data_metier!$H:$H,MATCH($A6,Data_metier!$B:$B,0))-INDEX(Data_metier!$H:$H,MATCH(B$1,Data_metier!$B:$B,0))&lt; 0,-1,
IF(AND(INDEX(Data_metier!$H:$H,MATCH($A6,Data_metier!$B:$B,0))-INDEX(Data_metier!$H:$H,MATCH(B$1,Data_metier!$B:$B,0))&gt; 0,
INDEX(Data_metier!$H:$H,MATCH($A6,Data_metier!$B:$B,0))-INDEX(Data_metier!$H:$H,MATCH(B$1,Data_metier!$B:$B,0))&lt;=1),
1,
IF(INDEX(Data_metier!$H:$H,MATCH($A6,Data_metier!$B:$B,0))-INDEX(Data_metier!$H:$H,MATCH(B$1,Data_metier!$B:$B,0))&gt; 1,
2,
0)))</f>
        <v>2</v>
      </c>
      <c r="C6">
        <f>IF(INDEX(Data_metier!$H:$H,MATCH($A6,Data_metier!$B:$B,0))-INDEX(Data_metier!$H:$H,MATCH(C$1,Data_metier!$B:$B,0))&lt; 0,-1,
IF(AND(INDEX(Data_metier!$H:$H,MATCH($A6,Data_metier!$B:$B,0))-INDEX(Data_metier!$H:$H,MATCH(C$1,Data_metier!$B:$B,0))&gt; 0,
INDEX(Data_metier!$H:$H,MATCH($A6,Data_metier!$B:$B,0))-INDEX(Data_metier!$H:$H,MATCH(C$1,Data_metier!$B:$B,0))&lt;=1),
1,
IF(INDEX(Data_metier!$H:$H,MATCH($A6,Data_metier!$B:$B,0))-INDEX(Data_metier!$H:$H,MATCH(C$1,Data_metier!$B:$B,0))&gt; 1,
2,
0)))</f>
        <v>2</v>
      </c>
      <c r="D6">
        <f>IF(INDEX(Data_metier!$H:$H,MATCH($A6,Data_metier!$B:$B,0))-INDEX(Data_metier!$H:$H,MATCH(D$1,Data_metier!$B:$B,0))&lt; 0,-1,
IF(AND(INDEX(Data_metier!$H:$H,MATCH($A6,Data_metier!$B:$B,0))-INDEX(Data_metier!$H:$H,MATCH(D$1,Data_metier!$B:$B,0))&gt; 0,
INDEX(Data_metier!$H:$H,MATCH($A6,Data_metier!$B:$B,0))-INDEX(Data_metier!$H:$H,MATCH(D$1,Data_metier!$B:$B,0))&lt;=1),
1,
IF(INDEX(Data_metier!$H:$H,MATCH($A6,Data_metier!$B:$B,0))-INDEX(Data_metier!$H:$H,MATCH(D$1,Data_metier!$B:$B,0))&gt; 1,
2,
0)))</f>
        <v>2</v>
      </c>
      <c r="E6">
        <f>IF(INDEX(Data_metier!$H:$H,MATCH($A6,Data_metier!$B:$B,0))-INDEX(Data_metier!$H:$H,MATCH(E$1,Data_metier!$B:$B,0))&lt; 0,-1,
IF(AND(INDEX(Data_metier!$H:$H,MATCH($A6,Data_metier!$B:$B,0))-INDEX(Data_metier!$H:$H,MATCH(E$1,Data_metier!$B:$B,0))&gt; 0,
INDEX(Data_metier!$H:$H,MATCH($A6,Data_metier!$B:$B,0))-INDEX(Data_metier!$H:$H,MATCH(E$1,Data_metier!$B:$B,0))&lt;=1),
1,
IF(INDEX(Data_metier!$H:$H,MATCH($A6,Data_metier!$B:$B,0))-INDEX(Data_metier!$H:$H,MATCH(E$1,Data_metier!$B:$B,0))&gt; 1,
2,
0)))</f>
        <v>1</v>
      </c>
      <c r="F6">
        <f>IF(INDEX(Data_metier!$H:$H,MATCH($A6,Data_metier!$B:$B,0))-INDEX(Data_metier!$H:$H,MATCH(F$1,Data_metier!$B:$B,0))&lt; 0,-1,
IF(AND(INDEX(Data_metier!$H:$H,MATCH($A6,Data_metier!$B:$B,0))-INDEX(Data_metier!$H:$H,MATCH(F$1,Data_metier!$B:$B,0))&gt; 0,
INDEX(Data_metier!$H:$H,MATCH($A6,Data_metier!$B:$B,0))-INDEX(Data_metier!$H:$H,MATCH(F$1,Data_metier!$B:$B,0))&lt;=1),
1,
IF(INDEX(Data_metier!$H:$H,MATCH($A6,Data_metier!$B:$B,0))-INDEX(Data_metier!$H:$H,MATCH(F$1,Data_metier!$B:$B,0))&gt; 1,
2,
0)))</f>
        <v>0</v>
      </c>
      <c r="G6">
        <f>IF(INDEX(Data_metier!$H:$H,MATCH($A6,Data_metier!$B:$B,0))-INDEX(Data_metier!$H:$H,MATCH(G$1,Data_metier!$B:$B,0))&lt; 0,-1,
IF(AND(INDEX(Data_metier!$H:$H,MATCH($A6,Data_metier!$B:$B,0))-INDEX(Data_metier!$H:$H,MATCH(G$1,Data_metier!$B:$B,0))&gt; 0,
INDEX(Data_metier!$H:$H,MATCH($A6,Data_metier!$B:$B,0))-INDEX(Data_metier!$H:$H,MATCH(G$1,Data_metier!$B:$B,0))&lt;=1),
1,
IF(INDEX(Data_metier!$H:$H,MATCH($A6,Data_metier!$B:$B,0))-INDEX(Data_metier!$H:$H,MATCH(G$1,Data_metier!$B:$B,0))&gt; 1,
2,
0)))</f>
        <v>0</v>
      </c>
      <c r="H6">
        <f>IF(INDEX(Data_metier!$H:$H,MATCH($A6,Data_metier!$B:$B,0))-INDEX(Data_metier!$H:$H,MATCH(H$1,Data_metier!$B:$B,0))&lt; 0,-1,
IF(AND(INDEX(Data_metier!$H:$H,MATCH($A6,Data_metier!$B:$B,0))-INDEX(Data_metier!$H:$H,MATCH(H$1,Data_metier!$B:$B,0))&gt; 0,
INDEX(Data_metier!$H:$H,MATCH($A6,Data_metier!$B:$B,0))-INDEX(Data_metier!$H:$H,MATCH(H$1,Data_metier!$B:$B,0))&lt;=1),
1,
IF(INDEX(Data_metier!$H:$H,MATCH($A6,Data_metier!$B:$B,0))-INDEX(Data_metier!$H:$H,MATCH(H$1,Data_metier!$B:$B,0))&gt; 1,
2,
0)))</f>
        <v>0</v>
      </c>
      <c r="I6">
        <f>IF(INDEX(Data_metier!$H:$H,MATCH($A6,Data_metier!$B:$B,0))-INDEX(Data_metier!$H:$H,MATCH(I$1,Data_metier!$B:$B,0))&lt; 0,-1,
IF(AND(INDEX(Data_metier!$H:$H,MATCH($A6,Data_metier!$B:$B,0))-INDEX(Data_metier!$H:$H,MATCH(I$1,Data_metier!$B:$B,0))&gt; 0,
INDEX(Data_metier!$H:$H,MATCH($A6,Data_metier!$B:$B,0))-INDEX(Data_metier!$H:$H,MATCH(I$1,Data_metier!$B:$B,0))&lt;=1),
1,
IF(INDEX(Data_metier!$H:$H,MATCH($A6,Data_metier!$B:$B,0))-INDEX(Data_metier!$H:$H,MATCH(I$1,Data_metier!$B:$B,0))&gt; 1,
2,
0)))</f>
        <v>2</v>
      </c>
      <c r="J6">
        <f>IF(INDEX(Data_metier!$H:$H,MATCH($A6,Data_metier!$B:$B,0))-INDEX(Data_metier!$H:$H,MATCH(J$1,Data_metier!$B:$B,0))&lt; 0,-1,
IF(AND(INDEX(Data_metier!$H:$H,MATCH($A6,Data_metier!$B:$B,0))-INDEX(Data_metier!$H:$H,MATCH(J$1,Data_metier!$B:$B,0))&gt; 0,
INDEX(Data_metier!$H:$H,MATCH($A6,Data_metier!$B:$B,0))-INDEX(Data_metier!$H:$H,MATCH(J$1,Data_metier!$B:$B,0))&lt;=1),
1,
IF(INDEX(Data_metier!$H:$H,MATCH($A6,Data_metier!$B:$B,0))-INDEX(Data_metier!$H:$H,MATCH(J$1,Data_metier!$B:$B,0))&gt; 1,
2,
0)))</f>
        <v>1</v>
      </c>
      <c r="K6">
        <f>IF(INDEX(Data_metier!$H:$H,MATCH($A6,Data_metier!$B:$B,0))-INDEX(Data_metier!$H:$H,MATCH(K$1,Data_metier!$B:$B,0))&lt; 0,-1,
IF(AND(INDEX(Data_metier!$H:$H,MATCH($A6,Data_metier!$B:$B,0))-INDEX(Data_metier!$H:$H,MATCH(K$1,Data_metier!$B:$B,0))&gt; 0,
INDEX(Data_metier!$H:$H,MATCH($A6,Data_metier!$B:$B,0))-INDEX(Data_metier!$H:$H,MATCH(K$1,Data_metier!$B:$B,0))&lt;=1),
1,
IF(INDEX(Data_metier!$H:$H,MATCH($A6,Data_metier!$B:$B,0))-INDEX(Data_metier!$H:$H,MATCH(K$1,Data_metier!$B:$B,0))&gt; 1,
2,
0)))</f>
        <v>-1</v>
      </c>
      <c r="L6">
        <f>IF(INDEX(Data_metier!$H:$H,MATCH($A6,Data_metier!$B:$B,0))-INDEX(Data_metier!$H:$H,MATCH(L$1,Data_metier!$B:$B,0))&lt; 0,-1,
IF(AND(INDEX(Data_metier!$H:$H,MATCH($A6,Data_metier!$B:$B,0))-INDEX(Data_metier!$H:$H,MATCH(L$1,Data_metier!$B:$B,0))&gt; 0,
INDEX(Data_metier!$H:$H,MATCH($A6,Data_metier!$B:$B,0))-INDEX(Data_metier!$H:$H,MATCH(L$1,Data_metier!$B:$B,0))&lt;=1),
1,
IF(INDEX(Data_metier!$H:$H,MATCH($A6,Data_metier!$B:$B,0))-INDEX(Data_metier!$H:$H,MATCH(L$1,Data_metier!$B:$B,0))&gt; 1,
2,
0)))</f>
        <v>2</v>
      </c>
      <c r="M6">
        <f>IF(INDEX(Data_metier!$H:$H,MATCH($A6,Data_metier!$B:$B,0))-INDEX(Data_metier!$H:$H,MATCH(M$1,Data_metier!$B:$B,0))&lt; 0,-1,
IF(AND(INDEX(Data_metier!$H:$H,MATCH($A6,Data_metier!$B:$B,0))-INDEX(Data_metier!$H:$H,MATCH(M$1,Data_metier!$B:$B,0))&gt; 0,
INDEX(Data_metier!$H:$H,MATCH($A6,Data_metier!$B:$B,0))-INDEX(Data_metier!$H:$H,MATCH(M$1,Data_metier!$B:$B,0))&lt;=1),
1,
IF(INDEX(Data_metier!$H:$H,MATCH($A6,Data_metier!$B:$B,0))-INDEX(Data_metier!$H:$H,MATCH(M$1,Data_metier!$B:$B,0))&gt; 1,
2,
0)))</f>
        <v>2</v>
      </c>
      <c r="N6">
        <f>IF(INDEX(Data_metier!$H:$H,MATCH($A6,Data_metier!$B:$B,0))-INDEX(Data_metier!$H:$H,MATCH(N$1,Data_metier!$B:$B,0))&lt; 0,-1,
IF(AND(INDEX(Data_metier!$H:$H,MATCH($A6,Data_metier!$B:$B,0))-INDEX(Data_metier!$H:$H,MATCH(N$1,Data_metier!$B:$B,0))&gt; 0,
INDEX(Data_metier!$H:$H,MATCH($A6,Data_metier!$B:$B,0))-INDEX(Data_metier!$H:$H,MATCH(N$1,Data_metier!$B:$B,0))&lt;=1),
1,
IF(INDEX(Data_metier!$H:$H,MATCH($A6,Data_metier!$B:$B,0))-INDEX(Data_metier!$H:$H,MATCH(N$1,Data_metier!$B:$B,0))&gt; 1,
2,
0)))</f>
        <v>1</v>
      </c>
      <c r="O6">
        <f>IF(INDEX(Data_metier!$H:$H,MATCH($A6,Data_metier!$B:$B,0))-INDEX(Data_metier!$H:$H,MATCH(O$1,Data_metier!$B:$B,0))&lt; 0,-1,
IF(AND(INDEX(Data_metier!$H:$H,MATCH($A6,Data_metier!$B:$B,0))-INDEX(Data_metier!$H:$H,MATCH(O$1,Data_metier!$B:$B,0))&gt; 0,
INDEX(Data_metier!$H:$H,MATCH($A6,Data_metier!$B:$B,0))-INDEX(Data_metier!$H:$H,MATCH(O$1,Data_metier!$B:$B,0))&lt;=1),
1,
IF(INDEX(Data_metier!$H:$H,MATCH($A6,Data_metier!$B:$B,0))-INDEX(Data_metier!$H:$H,MATCH(O$1,Data_metier!$B:$B,0))&gt; 1,
2,
0)))</f>
        <v>2</v>
      </c>
      <c r="P6">
        <f>IF(INDEX(Data_metier!$H:$H,MATCH($A6,Data_metier!$B:$B,0))-INDEX(Data_metier!$H:$H,MATCH(P$1,Data_metier!$B:$B,0))&lt; 0,-1,
IF(AND(INDEX(Data_metier!$H:$H,MATCH($A6,Data_metier!$B:$B,0))-INDEX(Data_metier!$H:$H,MATCH(P$1,Data_metier!$B:$B,0))&gt; 0,
INDEX(Data_metier!$H:$H,MATCH($A6,Data_metier!$B:$B,0))-INDEX(Data_metier!$H:$H,MATCH(P$1,Data_metier!$B:$B,0))&lt;=1),
1,
IF(INDEX(Data_metier!$H:$H,MATCH($A6,Data_metier!$B:$B,0))-INDEX(Data_metier!$H:$H,MATCH(P$1,Data_metier!$B:$B,0))&gt; 1,
2,
0)))</f>
        <v>2</v>
      </c>
      <c r="Q6">
        <f>IF(INDEX(Data_metier!$H:$H,MATCH($A6,Data_metier!$B:$B,0))-INDEX(Data_metier!$H:$H,MATCH(Q$1,Data_metier!$B:$B,0))&lt; 0,-1,
IF(AND(INDEX(Data_metier!$H:$H,MATCH($A6,Data_metier!$B:$B,0))-INDEX(Data_metier!$H:$H,MATCH(Q$1,Data_metier!$B:$B,0))&gt; 0,
INDEX(Data_metier!$H:$H,MATCH($A6,Data_metier!$B:$B,0))-INDEX(Data_metier!$H:$H,MATCH(Q$1,Data_metier!$B:$B,0))&lt;=1),
1,
IF(INDEX(Data_metier!$H:$H,MATCH($A6,Data_metier!$B:$B,0))-INDEX(Data_metier!$H:$H,MATCH(Q$1,Data_metier!$B:$B,0))&gt; 1,
2,
0)))</f>
        <v>1</v>
      </c>
      <c r="R6">
        <f>IF(INDEX(Data_metier!$H:$H,MATCH($A6,Data_metier!$B:$B,0))-INDEX(Data_metier!$H:$H,MATCH(R$1,Data_metier!$B:$B,0))&lt; 0,-1,
IF(AND(INDEX(Data_metier!$H:$H,MATCH($A6,Data_metier!$B:$B,0))-INDEX(Data_metier!$H:$H,MATCH(R$1,Data_metier!$B:$B,0))&gt; 0,
INDEX(Data_metier!$H:$H,MATCH($A6,Data_metier!$B:$B,0))-INDEX(Data_metier!$H:$H,MATCH(R$1,Data_metier!$B:$B,0))&lt;=1),
1,
IF(INDEX(Data_metier!$H:$H,MATCH($A6,Data_metier!$B:$B,0))-INDEX(Data_metier!$H:$H,MATCH(R$1,Data_metier!$B:$B,0))&gt; 1,
2,
0)))</f>
        <v>-1</v>
      </c>
      <c r="S6">
        <f>IF(INDEX(Data_metier!$H:$H,MATCH($A6,Data_metier!$B:$B,0))-INDEX(Data_metier!$H:$H,MATCH(S$1,Data_metier!$B:$B,0))&lt; 0,-1,
IF(AND(INDEX(Data_metier!$H:$H,MATCH($A6,Data_metier!$B:$B,0))-INDEX(Data_metier!$H:$H,MATCH(S$1,Data_metier!$B:$B,0))&gt; 0,
INDEX(Data_metier!$H:$H,MATCH($A6,Data_metier!$B:$B,0))-INDEX(Data_metier!$H:$H,MATCH(S$1,Data_metier!$B:$B,0))&lt;=1),
1,
IF(INDEX(Data_metier!$H:$H,MATCH($A6,Data_metier!$B:$B,0))-INDEX(Data_metier!$H:$H,MATCH(S$1,Data_metier!$B:$B,0))&gt; 1,
2,
0)))</f>
        <v>2</v>
      </c>
      <c r="T6">
        <f>IF(INDEX(Data_metier!$H:$H,MATCH($A6,Data_metier!$B:$B,0))-INDEX(Data_metier!$H:$H,MATCH(T$1,Data_metier!$B:$B,0))&lt; 0,-1,
IF(AND(INDEX(Data_metier!$H:$H,MATCH($A6,Data_metier!$B:$B,0))-INDEX(Data_metier!$H:$H,MATCH(T$1,Data_metier!$B:$B,0))&gt; 0,
INDEX(Data_metier!$H:$H,MATCH($A6,Data_metier!$B:$B,0))-INDEX(Data_metier!$H:$H,MATCH(T$1,Data_metier!$B:$B,0))&lt;=1),
1,
IF(INDEX(Data_metier!$H:$H,MATCH($A6,Data_metier!$B:$B,0))-INDEX(Data_metier!$H:$H,MATCH(T$1,Data_metier!$B:$B,0))&gt; 1,
2,
0)))</f>
        <v>2</v>
      </c>
      <c r="U6">
        <f>IF(INDEX(Data_metier!$H:$H,MATCH($A6,Data_metier!$B:$B,0))-INDEX(Data_metier!$H:$H,MATCH(U$1,Data_metier!$B:$B,0))&lt; 0,-1,
IF(AND(INDEX(Data_metier!$H:$H,MATCH($A6,Data_metier!$B:$B,0))-INDEX(Data_metier!$H:$H,MATCH(U$1,Data_metier!$B:$B,0))&gt; 0,
INDEX(Data_metier!$H:$H,MATCH($A6,Data_metier!$B:$B,0))-INDEX(Data_metier!$H:$H,MATCH(U$1,Data_metier!$B:$B,0))&lt;=1),
1,
IF(INDEX(Data_metier!$H:$H,MATCH($A6,Data_metier!$B:$B,0))-INDEX(Data_metier!$H:$H,MATCH(U$1,Data_metier!$B:$B,0))&gt; 1,
2,
0)))</f>
        <v>2</v>
      </c>
      <c r="V6">
        <f>IF(INDEX(Data_metier!$H:$H,MATCH($A6,Data_metier!$B:$B,0))-INDEX(Data_metier!$H:$H,MATCH(V$1,Data_metier!$B:$B,0))&lt; 0,-1,
IF(AND(INDEX(Data_metier!$H:$H,MATCH($A6,Data_metier!$B:$B,0))-INDEX(Data_metier!$H:$H,MATCH(V$1,Data_metier!$B:$B,0))&gt; 0,
INDEX(Data_metier!$H:$H,MATCH($A6,Data_metier!$B:$B,0))-INDEX(Data_metier!$H:$H,MATCH(V$1,Data_metier!$B:$B,0))&lt;=1),
1,
IF(INDEX(Data_metier!$H:$H,MATCH($A6,Data_metier!$B:$B,0))-INDEX(Data_metier!$H:$H,MATCH(V$1,Data_metier!$B:$B,0))&gt; 1,
2,
0)))</f>
        <v>2</v>
      </c>
      <c r="W6">
        <f>IF(INDEX(Data_metier!$H:$H,MATCH($A6,Data_metier!$B:$B,0))-INDEX(Data_metier!$H:$H,MATCH(W$1,Data_metier!$B:$B,0))&lt; 0,-1,
IF(AND(INDEX(Data_metier!$H:$H,MATCH($A6,Data_metier!$B:$B,0))-INDEX(Data_metier!$H:$H,MATCH(W$1,Data_metier!$B:$B,0))&gt; 0,
INDEX(Data_metier!$H:$H,MATCH($A6,Data_metier!$B:$B,0))-INDEX(Data_metier!$H:$H,MATCH(W$1,Data_metier!$B:$B,0))&lt;=1),
1,
IF(INDEX(Data_metier!$H:$H,MATCH($A6,Data_metier!$B:$B,0))-INDEX(Data_metier!$H:$H,MATCH(W$1,Data_metier!$B:$B,0))&gt; 1,
2,
0)))</f>
        <v>2</v>
      </c>
      <c r="X6">
        <f>IF(INDEX(Data_metier!$H:$H,MATCH($A6,Data_metier!$B:$B,0))-INDEX(Data_metier!$H:$H,MATCH(X$1,Data_metier!$B:$B,0))&lt; 0,-1,
IF(AND(INDEX(Data_metier!$H:$H,MATCH($A6,Data_metier!$B:$B,0))-INDEX(Data_metier!$H:$H,MATCH(X$1,Data_metier!$B:$B,0))&gt; 0,
INDEX(Data_metier!$H:$H,MATCH($A6,Data_metier!$B:$B,0))-INDEX(Data_metier!$H:$H,MATCH(X$1,Data_metier!$B:$B,0))&lt;=1),
1,
IF(INDEX(Data_metier!$H:$H,MATCH($A6,Data_metier!$B:$B,0))-INDEX(Data_metier!$H:$H,MATCH(X$1,Data_metier!$B:$B,0))&gt; 1,
2,
0)))</f>
        <v>0</v>
      </c>
      <c r="Y6">
        <f>IF(INDEX(Data_metier!$H:$H,MATCH($A6,Data_metier!$B:$B,0))-INDEX(Data_metier!$H:$H,MATCH(Y$1,Data_metier!$B:$B,0))&lt; 0,-1,
IF(AND(INDEX(Data_metier!$H:$H,MATCH($A6,Data_metier!$B:$B,0))-INDEX(Data_metier!$H:$H,MATCH(Y$1,Data_metier!$B:$B,0))&gt; 0,
INDEX(Data_metier!$H:$H,MATCH($A6,Data_metier!$B:$B,0))-INDEX(Data_metier!$H:$H,MATCH(Y$1,Data_metier!$B:$B,0))&lt;=1),
1,
IF(INDEX(Data_metier!$H:$H,MATCH($A6,Data_metier!$B:$B,0))-INDEX(Data_metier!$H:$H,MATCH(Y$1,Data_metier!$B:$B,0))&gt; 1,
2,
0)))</f>
        <v>2</v>
      </c>
      <c r="Z6">
        <f>IF(INDEX(Data_metier!$H:$H,MATCH($A6,Data_metier!$B:$B,0))-INDEX(Data_metier!$H:$H,MATCH(Z$1,Data_metier!$B:$B,0))&lt; 0,-1,
IF(AND(INDEX(Data_metier!$H:$H,MATCH($A6,Data_metier!$B:$B,0))-INDEX(Data_metier!$H:$H,MATCH(Z$1,Data_metier!$B:$B,0))&gt; 0,
INDEX(Data_metier!$H:$H,MATCH($A6,Data_metier!$B:$B,0))-INDEX(Data_metier!$H:$H,MATCH(Z$1,Data_metier!$B:$B,0))&lt;=1),
1,
IF(INDEX(Data_metier!$H:$H,MATCH($A6,Data_metier!$B:$B,0))-INDEX(Data_metier!$H:$H,MATCH(Z$1,Data_metier!$B:$B,0))&gt; 1,
2,
0)))</f>
        <v>2</v>
      </c>
      <c r="AA6">
        <f>IF(INDEX(Data_metier!$H:$H,MATCH($A6,Data_metier!$B:$B,0))-INDEX(Data_metier!$H:$H,MATCH(AA$1,Data_metier!$B:$B,0))&lt; 0,-1,
IF(AND(INDEX(Data_metier!$H:$H,MATCH($A6,Data_metier!$B:$B,0))-INDEX(Data_metier!$H:$H,MATCH(AA$1,Data_metier!$B:$B,0))&gt; 0,
INDEX(Data_metier!$H:$H,MATCH($A6,Data_metier!$B:$B,0))-INDEX(Data_metier!$H:$H,MATCH(AA$1,Data_metier!$B:$B,0))&lt;=1),
1,
IF(INDEX(Data_metier!$H:$H,MATCH($A6,Data_metier!$B:$B,0))-INDEX(Data_metier!$H:$H,MATCH(AA$1,Data_metier!$B:$B,0))&gt; 1,
2,
0)))</f>
        <v>2</v>
      </c>
      <c r="AB6">
        <f>IF(INDEX(Data_metier!$H:$H,MATCH($A6,Data_metier!$B:$B,0))-INDEX(Data_metier!$H:$H,MATCH(AB$1,Data_metier!$B:$B,0))&lt; 0,-1,
IF(AND(INDEX(Data_metier!$H:$H,MATCH($A6,Data_metier!$B:$B,0))-INDEX(Data_metier!$H:$H,MATCH(AB$1,Data_metier!$B:$B,0))&gt; 0,
INDEX(Data_metier!$H:$H,MATCH($A6,Data_metier!$B:$B,0))-INDEX(Data_metier!$H:$H,MATCH(AB$1,Data_metier!$B:$B,0))&lt;=1),
1,
IF(INDEX(Data_metier!$H:$H,MATCH($A6,Data_metier!$B:$B,0))-INDEX(Data_metier!$H:$H,MATCH(AB$1,Data_metier!$B:$B,0))&gt; 1,
2,
0)))</f>
        <v>2</v>
      </c>
      <c r="AC6">
        <f>IF(INDEX(Data_metier!$H:$H,MATCH($A6,Data_metier!$B:$B,0))-INDEX(Data_metier!$H:$H,MATCH(AC$1,Data_metier!$B:$B,0))&lt; 0,-1,
IF(AND(INDEX(Data_metier!$H:$H,MATCH($A6,Data_metier!$B:$B,0))-INDEX(Data_metier!$H:$H,MATCH(AC$1,Data_metier!$B:$B,0))&gt; 0,
INDEX(Data_metier!$H:$H,MATCH($A6,Data_metier!$B:$B,0))-INDEX(Data_metier!$H:$H,MATCH(AC$1,Data_metier!$B:$B,0))&lt;=1),
1,
IF(INDEX(Data_metier!$H:$H,MATCH($A6,Data_metier!$B:$B,0))-INDEX(Data_metier!$H:$H,MATCH(AC$1,Data_metier!$B:$B,0))&gt; 1,
2,
0)))</f>
        <v>2</v>
      </c>
      <c r="AD6">
        <f>IF(INDEX(Data_metier!$H:$H,MATCH($A6,Data_metier!$B:$B,0))-INDEX(Data_metier!$H:$H,MATCH(AD$1,Data_metier!$B:$B,0))&lt; 0,-1,
IF(AND(INDEX(Data_metier!$H:$H,MATCH($A6,Data_metier!$B:$B,0))-INDEX(Data_metier!$H:$H,MATCH(AD$1,Data_metier!$B:$B,0))&gt; 0,
INDEX(Data_metier!$H:$H,MATCH($A6,Data_metier!$B:$B,0))-INDEX(Data_metier!$H:$H,MATCH(AD$1,Data_metier!$B:$B,0))&lt;=1),
1,
IF(INDEX(Data_metier!$H:$H,MATCH($A6,Data_metier!$B:$B,0))-INDEX(Data_metier!$H:$H,MATCH(AD$1,Data_metier!$B:$B,0))&gt; 1,
2,
0)))</f>
        <v>2</v>
      </c>
    </row>
    <row r="7" spans="1:30">
      <c r="A7" t="str">
        <v>Superviseur(se) de production (fabrication / conditionnement)</v>
      </c>
      <c r="B7">
        <f>IF(INDEX(Data_metier!$H:$H,MATCH($A7,Data_metier!$B:$B,0))-INDEX(Data_metier!$H:$H,MATCH(B$1,Data_metier!$B:$B,0))&lt; 0,-1,
IF(AND(INDEX(Data_metier!$H:$H,MATCH($A7,Data_metier!$B:$B,0))-INDEX(Data_metier!$H:$H,MATCH(B$1,Data_metier!$B:$B,0))&gt; 0,
INDEX(Data_metier!$H:$H,MATCH($A7,Data_metier!$B:$B,0))-INDEX(Data_metier!$H:$H,MATCH(B$1,Data_metier!$B:$B,0))&lt;=1),
1,
IF(INDEX(Data_metier!$H:$H,MATCH($A7,Data_metier!$B:$B,0))-INDEX(Data_metier!$H:$H,MATCH(B$1,Data_metier!$B:$B,0))&gt; 1,
2,
0)))</f>
        <v>2</v>
      </c>
      <c r="C7">
        <f>IF(INDEX(Data_metier!$H:$H,MATCH($A7,Data_metier!$B:$B,0))-INDEX(Data_metier!$H:$H,MATCH(C$1,Data_metier!$B:$B,0))&lt; 0,-1,
IF(AND(INDEX(Data_metier!$H:$H,MATCH($A7,Data_metier!$B:$B,0))-INDEX(Data_metier!$H:$H,MATCH(C$1,Data_metier!$B:$B,0))&gt; 0,
INDEX(Data_metier!$H:$H,MATCH($A7,Data_metier!$B:$B,0))-INDEX(Data_metier!$H:$H,MATCH(C$1,Data_metier!$B:$B,0))&lt;=1),
1,
IF(INDEX(Data_metier!$H:$H,MATCH($A7,Data_metier!$B:$B,0))-INDEX(Data_metier!$H:$H,MATCH(C$1,Data_metier!$B:$B,0))&gt; 1,
2,
0)))</f>
        <v>2</v>
      </c>
      <c r="D7">
        <f>IF(INDEX(Data_metier!$H:$H,MATCH($A7,Data_metier!$B:$B,0))-INDEX(Data_metier!$H:$H,MATCH(D$1,Data_metier!$B:$B,0))&lt; 0,-1,
IF(AND(INDEX(Data_metier!$H:$H,MATCH($A7,Data_metier!$B:$B,0))-INDEX(Data_metier!$H:$H,MATCH(D$1,Data_metier!$B:$B,0))&gt; 0,
INDEX(Data_metier!$H:$H,MATCH($A7,Data_metier!$B:$B,0))-INDEX(Data_metier!$H:$H,MATCH(D$1,Data_metier!$B:$B,0))&lt;=1),
1,
IF(INDEX(Data_metier!$H:$H,MATCH($A7,Data_metier!$B:$B,0))-INDEX(Data_metier!$H:$H,MATCH(D$1,Data_metier!$B:$B,0))&gt; 1,
2,
0)))</f>
        <v>2</v>
      </c>
      <c r="E7">
        <f>IF(INDEX(Data_metier!$H:$H,MATCH($A7,Data_metier!$B:$B,0))-INDEX(Data_metier!$H:$H,MATCH(E$1,Data_metier!$B:$B,0))&lt; 0,-1,
IF(AND(INDEX(Data_metier!$H:$H,MATCH($A7,Data_metier!$B:$B,0))-INDEX(Data_metier!$H:$H,MATCH(E$1,Data_metier!$B:$B,0))&gt; 0,
INDEX(Data_metier!$H:$H,MATCH($A7,Data_metier!$B:$B,0))-INDEX(Data_metier!$H:$H,MATCH(E$1,Data_metier!$B:$B,0))&lt;=1),
1,
IF(INDEX(Data_metier!$H:$H,MATCH($A7,Data_metier!$B:$B,0))-INDEX(Data_metier!$H:$H,MATCH(E$1,Data_metier!$B:$B,0))&gt; 1,
2,
0)))</f>
        <v>1</v>
      </c>
      <c r="F7">
        <f>IF(INDEX(Data_metier!$H:$H,MATCH($A7,Data_metier!$B:$B,0))-INDEX(Data_metier!$H:$H,MATCH(F$1,Data_metier!$B:$B,0))&lt; 0,-1,
IF(AND(INDEX(Data_metier!$H:$H,MATCH($A7,Data_metier!$B:$B,0))-INDEX(Data_metier!$H:$H,MATCH(F$1,Data_metier!$B:$B,0))&gt; 0,
INDEX(Data_metier!$H:$H,MATCH($A7,Data_metier!$B:$B,0))-INDEX(Data_metier!$H:$H,MATCH(F$1,Data_metier!$B:$B,0))&lt;=1),
1,
IF(INDEX(Data_metier!$H:$H,MATCH($A7,Data_metier!$B:$B,0))-INDEX(Data_metier!$H:$H,MATCH(F$1,Data_metier!$B:$B,0))&gt; 1,
2,
0)))</f>
        <v>0</v>
      </c>
      <c r="G7">
        <f>IF(INDEX(Data_metier!$H:$H,MATCH($A7,Data_metier!$B:$B,0))-INDEX(Data_metier!$H:$H,MATCH(G$1,Data_metier!$B:$B,0))&lt; 0,-1,
IF(AND(INDEX(Data_metier!$H:$H,MATCH($A7,Data_metier!$B:$B,0))-INDEX(Data_metier!$H:$H,MATCH(G$1,Data_metier!$B:$B,0))&gt; 0,
INDEX(Data_metier!$H:$H,MATCH($A7,Data_metier!$B:$B,0))-INDEX(Data_metier!$H:$H,MATCH(G$1,Data_metier!$B:$B,0))&lt;=1),
1,
IF(INDEX(Data_metier!$H:$H,MATCH($A7,Data_metier!$B:$B,0))-INDEX(Data_metier!$H:$H,MATCH(G$1,Data_metier!$B:$B,0))&gt; 1,
2,
0)))</f>
        <v>0</v>
      </c>
      <c r="H7">
        <f>IF(INDEX(Data_metier!$H:$H,MATCH($A7,Data_metier!$B:$B,0))-INDEX(Data_metier!$H:$H,MATCH(H$1,Data_metier!$B:$B,0))&lt; 0,-1,
IF(AND(INDEX(Data_metier!$H:$H,MATCH($A7,Data_metier!$B:$B,0))-INDEX(Data_metier!$H:$H,MATCH(H$1,Data_metier!$B:$B,0))&gt; 0,
INDEX(Data_metier!$H:$H,MATCH($A7,Data_metier!$B:$B,0))-INDEX(Data_metier!$H:$H,MATCH(H$1,Data_metier!$B:$B,0))&lt;=1),
1,
IF(INDEX(Data_metier!$H:$H,MATCH($A7,Data_metier!$B:$B,0))-INDEX(Data_metier!$H:$H,MATCH(H$1,Data_metier!$B:$B,0))&gt; 1,
2,
0)))</f>
        <v>0</v>
      </c>
      <c r="I7">
        <f>IF(INDEX(Data_metier!$H:$H,MATCH($A7,Data_metier!$B:$B,0))-INDEX(Data_metier!$H:$H,MATCH(I$1,Data_metier!$B:$B,0))&lt; 0,-1,
IF(AND(INDEX(Data_metier!$H:$H,MATCH($A7,Data_metier!$B:$B,0))-INDEX(Data_metier!$H:$H,MATCH(I$1,Data_metier!$B:$B,0))&gt; 0,
INDEX(Data_metier!$H:$H,MATCH($A7,Data_metier!$B:$B,0))-INDEX(Data_metier!$H:$H,MATCH(I$1,Data_metier!$B:$B,0))&lt;=1),
1,
IF(INDEX(Data_metier!$H:$H,MATCH($A7,Data_metier!$B:$B,0))-INDEX(Data_metier!$H:$H,MATCH(I$1,Data_metier!$B:$B,0))&gt; 1,
2,
0)))</f>
        <v>2</v>
      </c>
      <c r="J7">
        <f>IF(INDEX(Data_metier!$H:$H,MATCH($A7,Data_metier!$B:$B,0))-INDEX(Data_metier!$H:$H,MATCH(J$1,Data_metier!$B:$B,0))&lt; 0,-1,
IF(AND(INDEX(Data_metier!$H:$H,MATCH($A7,Data_metier!$B:$B,0))-INDEX(Data_metier!$H:$H,MATCH(J$1,Data_metier!$B:$B,0))&gt; 0,
INDEX(Data_metier!$H:$H,MATCH($A7,Data_metier!$B:$B,0))-INDEX(Data_metier!$H:$H,MATCH(J$1,Data_metier!$B:$B,0))&lt;=1),
1,
IF(INDEX(Data_metier!$H:$H,MATCH($A7,Data_metier!$B:$B,0))-INDEX(Data_metier!$H:$H,MATCH(J$1,Data_metier!$B:$B,0))&gt; 1,
2,
0)))</f>
        <v>1</v>
      </c>
      <c r="K7">
        <f>IF(INDEX(Data_metier!$H:$H,MATCH($A7,Data_metier!$B:$B,0))-INDEX(Data_metier!$H:$H,MATCH(K$1,Data_metier!$B:$B,0))&lt; 0,-1,
IF(AND(INDEX(Data_metier!$H:$H,MATCH($A7,Data_metier!$B:$B,0))-INDEX(Data_metier!$H:$H,MATCH(K$1,Data_metier!$B:$B,0))&gt; 0,
INDEX(Data_metier!$H:$H,MATCH($A7,Data_metier!$B:$B,0))-INDEX(Data_metier!$H:$H,MATCH(K$1,Data_metier!$B:$B,0))&lt;=1),
1,
IF(INDEX(Data_metier!$H:$H,MATCH($A7,Data_metier!$B:$B,0))-INDEX(Data_metier!$H:$H,MATCH(K$1,Data_metier!$B:$B,0))&gt; 1,
2,
0)))</f>
        <v>-1</v>
      </c>
      <c r="L7">
        <f>IF(INDEX(Data_metier!$H:$H,MATCH($A7,Data_metier!$B:$B,0))-INDEX(Data_metier!$H:$H,MATCH(L$1,Data_metier!$B:$B,0))&lt; 0,-1,
IF(AND(INDEX(Data_metier!$H:$H,MATCH($A7,Data_metier!$B:$B,0))-INDEX(Data_metier!$H:$H,MATCH(L$1,Data_metier!$B:$B,0))&gt; 0,
INDEX(Data_metier!$H:$H,MATCH($A7,Data_metier!$B:$B,0))-INDEX(Data_metier!$H:$H,MATCH(L$1,Data_metier!$B:$B,0))&lt;=1),
1,
IF(INDEX(Data_metier!$H:$H,MATCH($A7,Data_metier!$B:$B,0))-INDEX(Data_metier!$H:$H,MATCH(L$1,Data_metier!$B:$B,0))&gt; 1,
2,
0)))</f>
        <v>2</v>
      </c>
      <c r="M7">
        <f>IF(INDEX(Data_metier!$H:$H,MATCH($A7,Data_metier!$B:$B,0))-INDEX(Data_metier!$H:$H,MATCH(M$1,Data_metier!$B:$B,0))&lt; 0,-1,
IF(AND(INDEX(Data_metier!$H:$H,MATCH($A7,Data_metier!$B:$B,0))-INDEX(Data_metier!$H:$H,MATCH(M$1,Data_metier!$B:$B,0))&gt; 0,
INDEX(Data_metier!$H:$H,MATCH($A7,Data_metier!$B:$B,0))-INDEX(Data_metier!$H:$H,MATCH(M$1,Data_metier!$B:$B,0))&lt;=1),
1,
IF(INDEX(Data_metier!$H:$H,MATCH($A7,Data_metier!$B:$B,0))-INDEX(Data_metier!$H:$H,MATCH(M$1,Data_metier!$B:$B,0))&gt; 1,
2,
0)))</f>
        <v>2</v>
      </c>
      <c r="N7">
        <f>IF(INDEX(Data_metier!$H:$H,MATCH($A7,Data_metier!$B:$B,0))-INDEX(Data_metier!$H:$H,MATCH(N$1,Data_metier!$B:$B,0))&lt; 0,-1,
IF(AND(INDEX(Data_metier!$H:$H,MATCH($A7,Data_metier!$B:$B,0))-INDEX(Data_metier!$H:$H,MATCH(N$1,Data_metier!$B:$B,0))&gt; 0,
INDEX(Data_metier!$H:$H,MATCH($A7,Data_metier!$B:$B,0))-INDEX(Data_metier!$H:$H,MATCH(N$1,Data_metier!$B:$B,0))&lt;=1),
1,
IF(INDEX(Data_metier!$H:$H,MATCH($A7,Data_metier!$B:$B,0))-INDEX(Data_metier!$H:$H,MATCH(N$1,Data_metier!$B:$B,0))&gt; 1,
2,
0)))</f>
        <v>1</v>
      </c>
      <c r="O7">
        <f>IF(INDEX(Data_metier!$H:$H,MATCH($A7,Data_metier!$B:$B,0))-INDEX(Data_metier!$H:$H,MATCH(O$1,Data_metier!$B:$B,0))&lt; 0,-1,
IF(AND(INDEX(Data_metier!$H:$H,MATCH($A7,Data_metier!$B:$B,0))-INDEX(Data_metier!$H:$H,MATCH(O$1,Data_metier!$B:$B,0))&gt; 0,
INDEX(Data_metier!$H:$H,MATCH($A7,Data_metier!$B:$B,0))-INDEX(Data_metier!$H:$H,MATCH(O$1,Data_metier!$B:$B,0))&lt;=1),
1,
IF(INDEX(Data_metier!$H:$H,MATCH($A7,Data_metier!$B:$B,0))-INDEX(Data_metier!$H:$H,MATCH(O$1,Data_metier!$B:$B,0))&gt; 1,
2,
0)))</f>
        <v>2</v>
      </c>
      <c r="P7">
        <f>IF(INDEX(Data_metier!$H:$H,MATCH($A7,Data_metier!$B:$B,0))-INDEX(Data_metier!$H:$H,MATCH(P$1,Data_metier!$B:$B,0))&lt; 0,-1,
IF(AND(INDEX(Data_metier!$H:$H,MATCH($A7,Data_metier!$B:$B,0))-INDEX(Data_metier!$H:$H,MATCH(P$1,Data_metier!$B:$B,0))&gt; 0,
INDEX(Data_metier!$H:$H,MATCH($A7,Data_metier!$B:$B,0))-INDEX(Data_metier!$H:$H,MATCH(P$1,Data_metier!$B:$B,0))&lt;=1),
1,
IF(INDEX(Data_metier!$H:$H,MATCH($A7,Data_metier!$B:$B,0))-INDEX(Data_metier!$H:$H,MATCH(P$1,Data_metier!$B:$B,0))&gt; 1,
2,
0)))</f>
        <v>2</v>
      </c>
      <c r="Q7">
        <f>IF(INDEX(Data_metier!$H:$H,MATCH($A7,Data_metier!$B:$B,0))-INDEX(Data_metier!$H:$H,MATCH(Q$1,Data_metier!$B:$B,0))&lt; 0,-1,
IF(AND(INDEX(Data_metier!$H:$H,MATCH($A7,Data_metier!$B:$B,0))-INDEX(Data_metier!$H:$H,MATCH(Q$1,Data_metier!$B:$B,0))&gt; 0,
INDEX(Data_metier!$H:$H,MATCH($A7,Data_metier!$B:$B,0))-INDEX(Data_metier!$H:$H,MATCH(Q$1,Data_metier!$B:$B,0))&lt;=1),
1,
IF(INDEX(Data_metier!$H:$H,MATCH($A7,Data_metier!$B:$B,0))-INDEX(Data_metier!$H:$H,MATCH(Q$1,Data_metier!$B:$B,0))&gt; 1,
2,
0)))</f>
        <v>1</v>
      </c>
      <c r="R7">
        <f>IF(INDEX(Data_metier!$H:$H,MATCH($A7,Data_metier!$B:$B,0))-INDEX(Data_metier!$H:$H,MATCH(R$1,Data_metier!$B:$B,0))&lt; 0,-1,
IF(AND(INDEX(Data_metier!$H:$H,MATCH($A7,Data_metier!$B:$B,0))-INDEX(Data_metier!$H:$H,MATCH(R$1,Data_metier!$B:$B,0))&gt; 0,
INDEX(Data_metier!$H:$H,MATCH($A7,Data_metier!$B:$B,0))-INDEX(Data_metier!$H:$H,MATCH(R$1,Data_metier!$B:$B,0))&lt;=1),
1,
IF(INDEX(Data_metier!$H:$H,MATCH($A7,Data_metier!$B:$B,0))-INDEX(Data_metier!$H:$H,MATCH(R$1,Data_metier!$B:$B,0))&gt; 1,
2,
0)))</f>
        <v>-1</v>
      </c>
      <c r="S7">
        <f>IF(INDEX(Data_metier!$H:$H,MATCH($A7,Data_metier!$B:$B,0))-INDEX(Data_metier!$H:$H,MATCH(S$1,Data_metier!$B:$B,0))&lt; 0,-1,
IF(AND(INDEX(Data_metier!$H:$H,MATCH($A7,Data_metier!$B:$B,0))-INDEX(Data_metier!$H:$H,MATCH(S$1,Data_metier!$B:$B,0))&gt; 0,
INDEX(Data_metier!$H:$H,MATCH($A7,Data_metier!$B:$B,0))-INDEX(Data_metier!$H:$H,MATCH(S$1,Data_metier!$B:$B,0))&lt;=1),
1,
IF(INDEX(Data_metier!$H:$H,MATCH($A7,Data_metier!$B:$B,0))-INDEX(Data_metier!$H:$H,MATCH(S$1,Data_metier!$B:$B,0))&gt; 1,
2,
0)))</f>
        <v>2</v>
      </c>
      <c r="T7">
        <f>IF(INDEX(Data_metier!$H:$H,MATCH($A7,Data_metier!$B:$B,0))-INDEX(Data_metier!$H:$H,MATCH(T$1,Data_metier!$B:$B,0))&lt; 0,-1,
IF(AND(INDEX(Data_metier!$H:$H,MATCH($A7,Data_metier!$B:$B,0))-INDEX(Data_metier!$H:$H,MATCH(T$1,Data_metier!$B:$B,0))&gt; 0,
INDEX(Data_metier!$H:$H,MATCH($A7,Data_metier!$B:$B,0))-INDEX(Data_metier!$H:$H,MATCH(T$1,Data_metier!$B:$B,0))&lt;=1),
1,
IF(INDEX(Data_metier!$H:$H,MATCH($A7,Data_metier!$B:$B,0))-INDEX(Data_metier!$H:$H,MATCH(T$1,Data_metier!$B:$B,0))&gt; 1,
2,
0)))</f>
        <v>2</v>
      </c>
      <c r="U7">
        <f>IF(INDEX(Data_metier!$H:$H,MATCH($A7,Data_metier!$B:$B,0))-INDEX(Data_metier!$H:$H,MATCH(U$1,Data_metier!$B:$B,0))&lt; 0,-1,
IF(AND(INDEX(Data_metier!$H:$H,MATCH($A7,Data_metier!$B:$B,0))-INDEX(Data_metier!$H:$H,MATCH(U$1,Data_metier!$B:$B,0))&gt; 0,
INDEX(Data_metier!$H:$H,MATCH($A7,Data_metier!$B:$B,0))-INDEX(Data_metier!$H:$H,MATCH(U$1,Data_metier!$B:$B,0))&lt;=1),
1,
IF(INDEX(Data_metier!$H:$H,MATCH($A7,Data_metier!$B:$B,0))-INDEX(Data_metier!$H:$H,MATCH(U$1,Data_metier!$B:$B,0))&gt; 1,
2,
0)))</f>
        <v>2</v>
      </c>
      <c r="V7">
        <f>IF(INDEX(Data_metier!$H:$H,MATCH($A7,Data_metier!$B:$B,0))-INDEX(Data_metier!$H:$H,MATCH(V$1,Data_metier!$B:$B,0))&lt; 0,-1,
IF(AND(INDEX(Data_metier!$H:$H,MATCH($A7,Data_metier!$B:$B,0))-INDEX(Data_metier!$H:$H,MATCH(V$1,Data_metier!$B:$B,0))&gt; 0,
INDEX(Data_metier!$H:$H,MATCH($A7,Data_metier!$B:$B,0))-INDEX(Data_metier!$H:$H,MATCH(V$1,Data_metier!$B:$B,0))&lt;=1),
1,
IF(INDEX(Data_metier!$H:$H,MATCH($A7,Data_metier!$B:$B,0))-INDEX(Data_metier!$H:$H,MATCH(V$1,Data_metier!$B:$B,0))&gt; 1,
2,
0)))</f>
        <v>2</v>
      </c>
      <c r="W7">
        <f>IF(INDEX(Data_metier!$H:$H,MATCH($A7,Data_metier!$B:$B,0))-INDEX(Data_metier!$H:$H,MATCH(W$1,Data_metier!$B:$B,0))&lt; 0,-1,
IF(AND(INDEX(Data_metier!$H:$H,MATCH($A7,Data_metier!$B:$B,0))-INDEX(Data_metier!$H:$H,MATCH(W$1,Data_metier!$B:$B,0))&gt; 0,
INDEX(Data_metier!$H:$H,MATCH($A7,Data_metier!$B:$B,0))-INDEX(Data_metier!$H:$H,MATCH(W$1,Data_metier!$B:$B,0))&lt;=1),
1,
IF(INDEX(Data_metier!$H:$H,MATCH($A7,Data_metier!$B:$B,0))-INDEX(Data_metier!$H:$H,MATCH(W$1,Data_metier!$B:$B,0))&gt; 1,
2,
0)))</f>
        <v>2</v>
      </c>
      <c r="X7">
        <f>IF(INDEX(Data_metier!$H:$H,MATCH($A7,Data_metier!$B:$B,0))-INDEX(Data_metier!$H:$H,MATCH(X$1,Data_metier!$B:$B,0))&lt; 0,-1,
IF(AND(INDEX(Data_metier!$H:$H,MATCH($A7,Data_metier!$B:$B,0))-INDEX(Data_metier!$H:$H,MATCH(X$1,Data_metier!$B:$B,0))&gt; 0,
INDEX(Data_metier!$H:$H,MATCH($A7,Data_metier!$B:$B,0))-INDEX(Data_metier!$H:$H,MATCH(X$1,Data_metier!$B:$B,0))&lt;=1),
1,
IF(INDEX(Data_metier!$H:$H,MATCH($A7,Data_metier!$B:$B,0))-INDEX(Data_metier!$H:$H,MATCH(X$1,Data_metier!$B:$B,0))&gt; 1,
2,
0)))</f>
        <v>0</v>
      </c>
      <c r="Y7">
        <f>IF(INDEX(Data_metier!$H:$H,MATCH($A7,Data_metier!$B:$B,0))-INDEX(Data_metier!$H:$H,MATCH(Y$1,Data_metier!$B:$B,0))&lt; 0,-1,
IF(AND(INDEX(Data_metier!$H:$H,MATCH($A7,Data_metier!$B:$B,0))-INDEX(Data_metier!$H:$H,MATCH(Y$1,Data_metier!$B:$B,0))&gt; 0,
INDEX(Data_metier!$H:$H,MATCH($A7,Data_metier!$B:$B,0))-INDEX(Data_metier!$H:$H,MATCH(Y$1,Data_metier!$B:$B,0))&lt;=1),
1,
IF(INDEX(Data_metier!$H:$H,MATCH($A7,Data_metier!$B:$B,0))-INDEX(Data_metier!$H:$H,MATCH(Y$1,Data_metier!$B:$B,0))&gt; 1,
2,
0)))</f>
        <v>2</v>
      </c>
      <c r="Z7">
        <f>IF(INDEX(Data_metier!$H:$H,MATCH($A7,Data_metier!$B:$B,0))-INDEX(Data_metier!$H:$H,MATCH(Z$1,Data_metier!$B:$B,0))&lt; 0,-1,
IF(AND(INDEX(Data_metier!$H:$H,MATCH($A7,Data_metier!$B:$B,0))-INDEX(Data_metier!$H:$H,MATCH(Z$1,Data_metier!$B:$B,0))&gt; 0,
INDEX(Data_metier!$H:$H,MATCH($A7,Data_metier!$B:$B,0))-INDEX(Data_metier!$H:$H,MATCH(Z$1,Data_metier!$B:$B,0))&lt;=1),
1,
IF(INDEX(Data_metier!$H:$H,MATCH($A7,Data_metier!$B:$B,0))-INDEX(Data_metier!$H:$H,MATCH(Z$1,Data_metier!$B:$B,0))&gt; 1,
2,
0)))</f>
        <v>2</v>
      </c>
      <c r="AA7">
        <f>IF(INDEX(Data_metier!$H:$H,MATCH($A7,Data_metier!$B:$B,0))-INDEX(Data_metier!$H:$H,MATCH(AA$1,Data_metier!$B:$B,0))&lt; 0,-1,
IF(AND(INDEX(Data_metier!$H:$H,MATCH($A7,Data_metier!$B:$B,0))-INDEX(Data_metier!$H:$H,MATCH(AA$1,Data_metier!$B:$B,0))&gt; 0,
INDEX(Data_metier!$H:$H,MATCH($A7,Data_metier!$B:$B,0))-INDEX(Data_metier!$H:$H,MATCH(AA$1,Data_metier!$B:$B,0))&lt;=1),
1,
IF(INDEX(Data_metier!$H:$H,MATCH($A7,Data_metier!$B:$B,0))-INDEX(Data_metier!$H:$H,MATCH(AA$1,Data_metier!$B:$B,0))&gt; 1,
2,
0)))</f>
        <v>2</v>
      </c>
      <c r="AB7">
        <f>IF(INDEX(Data_metier!$H:$H,MATCH($A7,Data_metier!$B:$B,0))-INDEX(Data_metier!$H:$H,MATCH(AB$1,Data_metier!$B:$B,0))&lt; 0,-1,
IF(AND(INDEX(Data_metier!$H:$H,MATCH($A7,Data_metier!$B:$B,0))-INDEX(Data_metier!$H:$H,MATCH(AB$1,Data_metier!$B:$B,0))&gt; 0,
INDEX(Data_metier!$H:$H,MATCH($A7,Data_metier!$B:$B,0))-INDEX(Data_metier!$H:$H,MATCH(AB$1,Data_metier!$B:$B,0))&lt;=1),
1,
IF(INDEX(Data_metier!$H:$H,MATCH($A7,Data_metier!$B:$B,0))-INDEX(Data_metier!$H:$H,MATCH(AB$1,Data_metier!$B:$B,0))&gt; 1,
2,
0)))</f>
        <v>2</v>
      </c>
      <c r="AC7">
        <f>IF(INDEX(Data_metier!$H:$H,MATCH($A7,Data_metier!$B:$B,0))-INDEX(Data_metier!$H:$H,MATCH(AC$1,Data_metier!$B:$B,0))&lt; 0,-1,
IF(AND(INDEX(Data_metier!$H:$H,MATCH($A7,Data_metier!$B:$B,0))-INDEX(Data_metier!$H:$H,MATCH(AC$1,Data_metier!$B:$B,0))&gt; 0,
INDEX(Data_metier!$H:$H,MATCH($A7,Data_metier!$B:$B,0))-INDEX(Data_metier!$H:$H,MATCH(AC$1,Data_metier!$B:$B,0))&lt;=1),
1,
IF(INDEX(Data_metier!$H:$H,MATCH($A7,Data_metier!$B:$B,0))-INDEX(Data_metier!$H:$H,MATCH(AC$1,Data_metier!$B:$B,0))&gt; 1,
2,
0)))</f>
        <v>2</v>
      </c>
      <c r="AD7">
        <f>IF(INDEX(Data_metier!$H:$H,MATCH($A7,Data_metier!$B:$B,0))-INDEX(Data_metier!$H:$H,MATCH(AD$1,Data_metier!$B:$B,0))&lt; 0,-1,
IF(AND(INDEX(Data_metier!$H:$H,MATCH($A7,Data_metier!$B:$B,0))-INDEX(Data_metier!$H:$H,MATCH(AD$1,Data_metier!$B:$B,0))&gt; 0,
INDEX(Data_metier!$H:$H,MATCH($A7,Data_metier!$B:$B,0))-INDEX(Data_metier!$H:$H,MATCH(AD$1,Data_metier!$B:$B,0))&lt;=1),
1,
IF(INDEX(Data_metier!$H:$H,MATCH($A7,Data_metier!$B:$B,0))-INDEX(Data_metier!$H:$H,MATCH(AD$1,Data_metier!$B:$B,0))&gt; 1,
2,
0)))</f>
        <v>2</v>
      </c>
    </row>
    <row r="8" spans="1:30">
      <c r="A8" t="str">
        <v>Spécialiste planning / ordonnancement</v>
      </c>
      <c r="B8">
        <f>IF(INDEX(Data_metier!$H:$H,MATCH($A8,Data_metier!$B:$B,0))-INDEX(Data_metier!$H:$H,MATCH(B$1,Data_metier!$B:$B,0))&lt; 0,-1,
IF(AND(INDEX(Data_metier!$H:$H,MATCH($A8,Data_metier!$B:$B,0))-INDEX(Data_metier!$H:$H,MATCH(B$1,Data_metier!$B:$B,0))&gt; 0,
INDEX(Data_metier!$H:$H,MATCH($A8,Data_metier!$B:$B,0))-INDEX(Data_metier!$H:$H,MATCH(B$1,Data_metier!$B:$B,0))&lt;=1),
1,
IF(INDEX(Data_metier!$H:$H,MATCH($A8,Data_metier!$B:$B,0))-INDEX(Data_metier!$H:$H,MATCH(B$1,Data_metier!$B:$B,0))&gt; 1,
2,
0)))</f>
        <v>2</v>
      </c>
      <c r="C8">
        <f>IF(INDEX(Data_metier!$H:$H,MATCH($A8,Data_metier!$B:$B,0))-INDEX(Data_metier!$H:$H,MATCH(C$1,Data_metier!$B:$B,0))&lt; 0,-1,
IF(AND(INDEX(Data_metier!$H:$H,MATCH($A8,Data_metier!$B:$B,0))-INDEX(Data_metier!$H:$H,MATCH(C$1,Data_metier!$B:$B,0))&gt; 0,
INDEX(Data_metier!$H:$H,MATCH($A8,Data_metier!$B:$B,0))-INDEX(Data_metier!$H:$H,MATCH(C$1,Data_metier!$B:$B,0))&lt;=1),
1,
IF(INDEX(Data_metier!$H:$H,MATCH($A8,Data_metier!$B:$B,0))-INDEX(Data_metier!$H:$H,MATCH(C$1,Data_metier!$B:$B,0))&gt; 1,
2,
0)))</f>
        <v>2</v>
      </c>
      <c r="D8">
        <f>IF(INDEX(Data_metier!$H:$H,MATCH($A8,Data_metier!$B:$B,0))-INDEX(Data_metier!$H:$H,MATCH(D$1,Data_metier!$B:$B,0))&lt; 0,-1,
IF(AND(INDEX(Data_metier!$H:$H,MATCH($A8,Data_metier!$B:$B,0))-INDEX(Data_metier!$H:$H,MATCH(D$1,Data_metier!$B:$B,0))&gt; 0,
INDEX(Data_metier!$H:$H,MATCH($A8,Data_metier!$B:$B,0))-INDEX(Data_metier!$H:$H,MATCH(D$1,Data_metier!$B:$B,0))&lt;=1),
1,
IF(INDEX(Data_metier!$H:$H,MATCH($A8,Data_metier!$B:$B,0))-INDEX(Data_metier!$H:$H,MATCH(D$1,Data_metier!$B:$B,0))&gt; 1,
2,
0)))</f>
        <v>2</v>
      </c>
      <c r="E8">
        <f>IF(INDEX(Data_metier!$H:$H,MATCH($A8,Data_metier!$B:$B,0))-INDEX(Data_metier!$H:$H,MATCH(E$1,Data_metier!$B:$B,0))&lt; 0,-1,
IF(AND(INDEX(Data_metier!$H:$H,MATCH($A8,Data_metier!$B:$B,0))-INDEX(Data_metier!$H:$H,MATCH(E$1,Data_metier!$B:$B,0))&gt; 0,
INDEX(Data_metier!$H:$H,MATCH($A8,Data_metier!$B:$B,0))-INDEX(Data_metier!$H:$H,MATCH(E$1,Data_metier!$B:$B,0))&lt;=1),
1,
IF(INDEX(Data_metier!$H:$H,MATCH($A8,Data_metier!$B:$B,0))-INDEX(Data_metier!$H:$H,MATCH(E$1,Data_metier!$B:$B,0))&gt; 1,
2,
0)))</f>
        <v>1</v>
      </c>
      <c r="F8">
        <f>IF(INDEX(Data_metier!$H:$H,MATCH($A8,Data_metier!$B:$B,0))-INDEX(Data_metier!$H:$H,MATCH(F$1,Data_metier!$B:$B,0))&lt; 0,-1,
IF(AND(INDEX(Data_metier!$H:$H,MATCH($A8,Data_metier!$B:$B,0))-INDEX(Data_metier!$H:$H,MATCH(F$1,Data_metier!$B:$B,0))&gt; 0,
INDEX(Data_metier!$H:$H,MATCH($A8,Data_metier!$B:$B,0))-INDEX(Data_metier!$H:$H,MATCH(F$1,Data_metier!$B:$B,0))&lt;=1),
1,
IF(INDEX(Data_metier!$H:$H,MATCH($A8,Data_metier!$B:$B,0))-INDEX(Data_metier!$H:$H,MATCH(F$1,Data_metier!$B:$B,0))&gt; 1,
2,
0)))</f>
        <v>0</v>
      </c>
      <c r="G8">
        <f>IF(INDEX(Data_metier!$H:$H,MATCH($A8,Data_metier!$B:$B,0))-INDEX(Data_metier!$H:$H,MATCH(G$1,Data_metier!$B:$B,0))&lt; 0,-1,
IF(AND(INDEX(Data_metier!$H:$H,MATCH($A8,Data_metier!$B:$B,0))-INDEX(Data_metier!$H:$H,MATCH(G$1,Data_metier!$B:$B,0))&gt; 0,
INDEX(Data_metier!$H:$H,MATCH($A8,Data_metier!$B:$B,0))-INDEX(Data_metier!$H:$H,MATCH(G$1,Data_metier!$B:$B,0))&lt;=1),
1,
IF(INDEX(Data_metier!$H:$H,MATCH($A8,Data_metier!$B:$B,0))-INDEX(Data_metier!$H:$H,MATCH(G$1,Data_metier!$B:$B,0))&gt; 1,
2,
0)))</f>
        <v>0</v>
      </c>
      <c r="H8">
        <f>IF(INDEX(Data_metier!$H:$H,MATCH($A8,Data_metier!$B:$B,0))-INDEX(Data_metier!$H:$H,MATCH(H$1,Data_metier!$B:$B,0))&lt; 0,-1,
IF(AND(INDEX(Data_metier!$H:$H,MATCH($A8,Data_metier!$B:$B,0))-INDEX(Data_metier!$H:$H,MATCH(H$1,Data_metier!$B:$B,0))&gt; 0,
INDEX(Data_metier!$H:$H,MATCH($A8,Data_metier!$B:$B,0))-INDEX(Data_metier!$H:$H,MATCH(H$1,Data_metier!$B:$B,0))&lt;=1),
1,
IF(INDEX(Data_metier!$H:$H,MATCH($A8,Data_metier!$B:$B,0))-INDEX(Data_metier!$H:$H,MATCH(H$1,Data_metier!$B:$B,0))&gt; 1,
2,
0)))</f>
        <v>0</v>
      </c>
      <c r="I8">
        <f>IF(INDEX(Data_metier!$H:$H,MATCH($A8,Data_metier!$B:$B,0))-INDEX(Data_metier!$H:$H,MATCH(I$1,Data_metier!$B:$B,0))&lt; 0,-1,
IF(AND(INDEX(Data_metier!$H:$H,MATCH($A8,Data_metier!$B:$B,0))-INDEX(Data_metier!$H:$H,MATCH(I$1,Data_metier!$B:$B,0))&gt; 0,
INDEX(Data_metier!$H:$H,MATCH($A8,Data_metier!$B:$B,0))-INDEX(Data_metier!$H:$H,MATCH(I$1,Data_metier!$B:$B,0))&lt;=1),
1,
IF(INDEX(Data_metier!$H:$H,MATCH($A8,Data_metier!$B:$B,0))-INDEX(Data_metier!$H:$H,MATCH(I$1,Data_metier!$B:$B,0))&gt; 1,
2,
0)))</f>
        <v>2</v>
      </c>
      <c r="J8">
        <f>IF(INDEX(Data_metier!$H:$H,MATCH($A8,Data_metier!$B:$B,0))-INDEX(Data_metier!$H:$H,MATCH(J$1,Data_metier!$B:$B,0))&lt; 0,-1,
IF(AND(INDEX(Data_metier!$H:$H,MATCH($A8,Data_metier!$B:$B,0))-INDEX(Data_metier!$H:$H,MATCH(J$1,Data_metier!$B:$B,0))&gt; 0,
INDEX(Data_metier!$H:$H,MATCH($A8,Data_metier!$B:$B,0))-INDEX(Data_metier!$H:$H,MATCH(J$1,Data_metier!$B:$B,0))&lt;=1),
1,
IF(INDEX(Data_metier!$H:$H,MATCH($A8,Data_metier!$B:$B,0))-INDEX(Data_metier!$H:$H,MATCH(J$1,Data_metier!$B:$B,0))&gt; 1,
2,
0)))</f>
        <v>1</v>
      </c>
      <c r="K8">
        <f>IF(INDEX(Data_metier!$H:$H,MATCH($A8,Data_metier!$B:$B,0))-INDEX(Data_metier!$H:$H,MATCH(K$1,Data_metier!$B:$B,0))&lt; 0,-1,
IF(AND(INDEX(Data_metier!$H:$H,MATCH($A8,Data_metier!$B:$B,0))-INDEX(Data_metier!$H:$H,MATCH(K$1,Data_metier!$B:$B,0))&gt; 0,
INDEX(Data_metier!$H:$H,MATCH($A8,Data_metier!$B:$B,0))-INDEX(Data_metier!$H:$H,MATCH(K$1,Data_metier!$B:$B,0))&lt;=1),
1,
IF(INDEX(Data_metier!$H:$H,MATCH($A8,Data_metier!$B:$B,0))-INDEX(Data_metier!$H:$H,MATCH(K$1,Data_metier!$B:$B,0))&gt; 1,
2,
0)))</f>
        <v>-1</v>
      </c>
      <c r="L8">
        <f>IF(INDEX(Data_metier!$H:$H,MATCH($A8,Data_metier!$B:$B,0))-INDEX(Data_metier!$H:$H,MATCH(L$1,Data_metier!$B:$B,0))&lt; 0,-1,
IF(AND(INDEX(Data_metier!$H:$H,MATCH($A8,Data_metier!$B:$B,0))-INDEX(Data_metier!$H:$H,MATCH(L$1,Data_metier!$B:$B,0))&gt; 0,
INDEX(Data_metier!$H:$H,MATCH($A8,Data_metier!$B:$B,0))-INDEX(Data_metier!$H:$H,MATCH(L$1,Data_metier!$B:$B,0))&lt;=1),
1,
IF(INDEX(Data_metier!$H:$H,MATCH($A8,Data_metier!$B:$B,0))-INDEX(Data_metier!$H:$H,MATCH(L$1,Data_metier!$B:$B,0))&gt; 1,
2,
0)))</f>
        <v>2</v>
      </c>
      <c r="M8">
        <f>IF(INDEX(Data_metier!$H:$H,MATCH($A8,Data_metier!$B:$B,0))-INDEX(Data_metier!$H:$H,MATCH(M$1,Data_metier!$B:$B,0))&lt; 0,-1,
IF(AND(INDEX(Data_metier!$H:$H,MATCH($A8,Data_metier!$B:$B,0))-INDEX(Data_metier!$H:$H,MATCH(M$1,Data_metier!$B:$B,0))&gt; 0,
INDEX(Data_metier!$H:$H,MATCH($A8,Data_metier!$B:$B,0))-INDEX(Data_metier!$H:$H,MATCH(M$1,Data_metier!$B:$B,0))&lt;=1),
1,
IF(INDEX(Data_metier!$H:$H,MATCH($A8,Data_metier!$B:$B,0))-INDEX(Data_metier!$H:$H,MATCH(M$1,Data_metier!$B:$B,0))&gt; 1,
2,
0)))</f>
        <v>2</v>
      </c>
      <c r="N8">
        <f>IF(INDEX(Data_metier!$H:$H,MATCH($A8,Data_metier!$B:$B,0))-INDEX(Data_metier!$H:$H,MATCH(N$1,Data_metier!$B:$B,0))&lt; 0,-1,
IF(AND(INDEX(Data_metier!$H:$H,MATCH($A8,Data_metier!$B:$B,0))-INDEX(Data_metier!$H:$H,MATCH(N$1,Data_metier!$B:$B,0))&gt; 0,
INDEX(Data_metier!$H:$H,MATCH($A8,Data_metier!$B:$B,0))-INDEX(Data_metier!$H:$H,MATCH(N$1,Data_metier!$B:$B,0))&lt;=1),
1,
IF(INDEX(Data_metier!$H:$H,MATCH($A8,Data_metier!$B:$B,0))-INDEX(Data_metier!$H:$H,MATCH(N$1,Data_metier!$B:$B,0))&gt; 1,
2,
0)))</f>
        <v>1</v>
      </c>
      <c r="O8">
        <f>IF(INDEX(Data_metier!$H:$H,MATCH($A8,Data_metier!$B:$B,0))-INDEX(Data_metier!$H:$H,MATCH(O$1,Data_metier!$B:$B,0))&lt; 0,-1,
IF(AND(INDEX(Data_metier!$H:$H,MATCH($A8,Data_metier!$B:$B,0))-INDEX(Data_metier!$H:$H,MATCH(O$1,Data_metier!$B:$B,0))&gt; 0,
INDEX(Data_metier!$H:$H,MATCH($A8,Data_metier!$B:$B,0))-INDEX(Data_metier!$H:$H,MATCH(O$1,Data_metier!$B:$B,0))&lt;=1),
1,
IF(INDEX(Data_metier!$H:$H,MATCH($A8,Data_metier!$B:$B,0))-INDEX(Data_metier!$H:$H,MATCH(O$1,Data_metier!$B:$B,0))&gt; 1,
2,
0)))</f>
        <v>2</v>
      </c>
      <c r="P8">
        <f>IF(INDEX(Data_metier!$H:$H,MATCH($A8,Data_metier!$B:$B,0))-INDEX(Data_metier!$H:$H,MATCH(P$1,Data_metier!$B:$B,0))&lt; 0,-1,
IF(AND(INDEX(Data_metier!$H:$H,MATCH($A8,Data_metier!$B:$B,0))-INDEX(Data_metier!$H:$H,MATCH(P$1,Data_metier!$B:$B,0))&gt; 0,
INDEX(Data_metier!$H:$H,MATCH($A8,Data_metier!$B:$B,0))-INDEX(Data_metier!$H:$H,MATCH(P$1,Data_metier!$B:$B,0))&lt;=1),
1,
IF(INDEX(Data_metier!$H:$H,MATCH($A8,Data_metier!$B:$B,0))-INDEX(Data_metier!$H:$H,MATCH(P$1,Data_metier!$B:$B,0))&gt; 1,
2,
0)))</f>
        <v>2</v>
      </c>
      <c r="Q8">
        <f>IF(INDEX(Data_metier!$H:$H,MATCH($A8,Data_metier!$B:$B,0))-INDEX(Data_metier!$H:$H,MATCH(Q$1,Data_metier!$B:$B,0))&lt; 0,-1,
IF(AND(INDEX(Data_metier!$H:$H,MATCH($A8,Data_metier!$B:$B,0))-INDEX(Data_metier!$H:$H,MATCH(Q$1,Data_metier!$B:$B,0))&gt; 0,
INDEX(Data_metier!$H:$H,MATCH($A8,Data_metier!$B:$B,0))-INDEX(Data_metier!$H:$H,MATCH(Q$1,Data_metier!$B:$B,0))&lt;=1),
1,
IF(INDEX(Data_metier!$H:$H,MATCH($A8,Data_metier!$B:$B,0))-INDEX(Data_metier!$H:$H,MATCH(Q$1,Data_metier!$B:$B,0))&gt; 1,
2,
0)))</f>
        <v>1</v>
      </c>
      <c r="R8">
        <f>IF(INDEX(Data_metier!$H:$H,MATCH($A8,Data_metier!$B:$B,0))-INDEX(Data_metier!$H:$H,MATCH(R$1,Data_metier!$B:$B,0))&lt; 0,-1,
IF(AND(INDEX(Data_metier!$H:$H,MATCH($A8,Data_metier!$B:$B,0))-INDEX(Data_metier!$H:$H,MATCH(R$1,Data_metier!$B:$B,0))&gt; 0,
INDEX(Data_metier!$H:$H,MATCH($A8,Data_metier!$B:$B,0))-INDEX(Data_metier!$H:$H,MATCH(R$1,Data_metier!$B:$B,0))&lt;=1),
1,
IF(INDEX(Data_metier!$H:$H,MATCH($A8,Data_metier!$B:$B,0))-INDEX(Data_metier!$H:$H,MATCH(R$1,Data_metier!$B:$B,0))&gt; 1,
2,
0)))</f>
        <v>-1</v>
      </c>
      <c r="S8">
        <f>IF(INDEX(Data_metier!$H:$H,MATCH($A8,Data_metier!$B:$B,0))-INDEX(Data_metier!$H:$H,MATCH(S$1,Data_metier!$B:$B,0))&lt; 0,-1,
IF(AND(INDEX(Data_metier!$H:$H,MATCH($A8,Data_metier!$B:$B,0))-INDEX(Data_metier!$H:$H,MATCH(S$1,Data_metier!$B:$B,0))&gt; 0,
INDEX(Data_metier!$H:$H,MATCH($A8,Data_metier!$B:$B,0))-INDEX(Data_metier!$H:$H,MATCH(S$1,Data_metier!$B:$B,0))&lt;=1),
1,
IF(INDEX(Data_metier!$H:$H,MATCH($A8,Data_metier!$B:$B,0))-INDEX(Data_metier!$H:$H,MATCH(S$1,Data_metier!$B:$B,0))&gt; 1,
2,
0)))</f>
        <v>2</v>
      </c>
      <c r="T8">
        <f>IF(INDEX(Data_metier!$H:$H,MATCH($A8,Data_metier!$B:$B,0))-INDEX(Data_metier!$H:$H,MATCH(T$1,Data_metier!$B:$B,0))&lt; 0,-1,
IF(AND(INDEX(Data_metier!$H:$H,MATCH($A8,Data_metier!$B:$B,0))-INDEX(Data_metier!$H:$H,MATCH(T$1,Data_metier!$B:$B,0))&gt; 0,
INDEX(Data_metier!$H:$H,MATCH($A8,Data_metier!$B:$B,0))-INDEX(Data_metier!$H:$H,MATCH(T$1,Data_metier!$B:$B,0))&lt;=1),
1,
IF(INDEX(Data_metier!$H:$H,MATCH($A8,Data_metier!$B:$B,0))-INDEX(Data_metier!$H:$H,MATCH(T$1,Data_metier!$B:$B,0))&gt; 1,
2,
0)))</f>
        <v>2</v>
      </c>
      <c r="U8">
        <f>IF(INDEX(Data_metier!$H:$H,MATCH($A8,Data_metier!$B:$B,0))-INDEX(Data_metier!$H:$H,MATCH(U$1,Data_metier!$B:$B,0))&lt; 0,-1,
IF(AND(INDEX(Data_metier!$H:$H,MATCH($A8,Data_metier!$B:$B,0))-INDEX(Data_metier!$H:$H,MATCH(U$1,Data_metier!$B:$B,0))&gt; 0,
INDEX(Data_metier!$H:$H,MATCH($A8,Data_metier!$B:$B,0))-INDEX(Data_metier!$H:$H,MATCH(U$1,Data_metier!$B:$B,0))&lt;=1),
1,
IF(INDEX(Data_metier!$H:$H,MATCH($A8,Data_metier!$B:$B,0))-INDEX(Data_metier!$H:$H,MATCH(U$1,Data_metier!$B:$B,0))&gt; 1,
2,
0)))</f>
        <v>2</v>
      </c>
      <c r="V8">
        <f>IF(INDEX(Data_metier!$H:$H,MATCH($A8,Data_metier!$B:$B,0))-INDEX(Data_metier!$H:$H,MATCH(V$1,Data_metier!$B:$B,0))&lt; 0,-1,
IF(AND(INDEX(Data_metier!$H:$H,MATCH($A8,Data_metier!$B:$B,0))-INDEX(Data_metier!$H:$H,MATCH(V$1,Data_metier!$B:$B,0))&gt; 0,
INDEX(Data_metier!$H:$H,MATCH($A8,Data_metier!$B:$B,0))-INDEX(Data_metier!$H:$H,MATCH(V$1,Data_metier!$B:$B,0))&lt;=1),
1,
IF(INDEX(Data_metier!$H:$H,MATCH($A8,Data_metier!$B:$B,0))-INDEX(Data_metier!$H:$H,MATCH(V$1,Data_metier!$B:$B,0))&gt; 1,
2,
0)))</f>
        <v>2</v>
      </c>
      <c r="W8">
        <f>IF(INDEX(Data_metier!$H:$H,MATCH($A8,Data_metier!$B:$B,0))-INDEX(Data_metier!$H:$H,MATCH(W$1,Data_metier!$B:$B,0))&lt; 0,-1,
IF(AND(INDEX(Data_metier!$H:$H,MATCH($A8,Data_metier!$B:$B,0))-INDEX(Data_metier!$H:$H,MATCH(W$1,Data_metier!$B:$B,0))&gt; 0,
INDEX(Data_metier!$H:$H,MATCH($A8,Data_metier!$B:$B,0))-INDEX(Data_metier!$H:$H,MATCH(W$1,Data_metier!$B:$B,0))&lt;=1),
1,
IF(INDEX(Data_metier!$H:$H,MATCH($A8,Data_metier!$B:$B,0))-INDEX(Data_metier!$H:$H,MATCH(W$1,Data_metier!$B:$B,0))&gt; 1,
2,
0)))</f>
        <v>2</v>
      </c>
      <c r="X8">
        <f>IF(INDEX(Data_metier!$H:$H,MATCH($A8,Data_metier!$B:$B,0))-INDEX(Data_metier!$H:$H,MATCH(X$1,Data_metier!$B:$B,0))&lt; 0,-1,
IF(AND(INDEX(Data_metier!$H:$H,MATCH($A8,Data_metier!$B:$B,0))-INDEX(Data_metier!$H:$H,MATCH(X$1,Data_metier!$B:$B,0))&gt; 0,
INDEX(Data_metier!$H:$H,MATCH($A8,Data_metier!$B:$B,0))-INDEX(Data_metier!$H:$H,MATCH(X$1,Data_metier!$B:$B,0))&lt;=1),
1,
IF(INDEX(Data_metier!$H:$H,MATCH($A8,Data_metier!$B:$B,0))-INDEX(Data_metier!$H:$H,MATCH(X$1,Data_metier!$B:$B,0))&gt; 1,
2,
0)))</f>
        <v>0</v>
      </c>
      <c r="Y8">
        <f>IF(INDEX(Data_metier!$H:$H,MATCH($A8,Data_metier!$B:$B,0))-INDEX(Data_metier!$H:$H,MATCH(Y$1,Data_metier!$B:$B,0))&lt; 0,-1,
IF(AND(INDEX(Data_metier!$H:$H,MATCH($A8,Data_metier!$B:$B,0))-INDEX(Data_metier!$H:$H,MATCH(Y$1,Data_metier!$B:$B,0))&gt; 0,
INDEX(Data_metier!$H:$H,MATCH($A8,Data_metier!$B:$B,0))-INDEX(Data_metier!$H:$H,MATCH(Y$1,Data_metier!$B:$B,0))&lt;=1),
1,
IF(INDEX(Data_metier!$H:$H,MATCH($A8,Data_metier!$B:$B,0))-INDEX(Data_metier!$H:$H,MATCH(Y$1,Data_metier!$B:$B,0))&gt; 1,
2,
0)))</f>
        <v>2</v>
      </c>
      <c r="Z8">
        <f>IF(INDEX(Data_metier!$H:$H,MATCH($A8,Data_metier!$B:$B,0))-INDEX(Data_metier!$H:$H,MATCH(Z$1,Data_metier!$B:$B,0))&lt; 0,-1,
IF(AND(INDEX(Data_metier!$H:$H,MATCH($A8,Data_metier!$B:$B,0))-INDEX(Data_metier!$H:$H,MATCH(Z$1,Data_metier!$B:$B,0))&gt; 0,
INDEX(Data_metier!$H:$H,MATCH($A8,Data_metier!$B:$B,0))-INDEX(Data_metier!$H:$H,MATCH(Z$1,Data_metier!$B:$B,0))&lt;=1),
1,
IF(INDEX(Data_metier!$H:$H,MATCH($A8,Data_metier!$B:$B,0))-INDEX(Data_metier!$H:$H,MATCH(Z$1,Data_metier!$B:$B,0))&gt; 1,
2,
0)))</f>
        <v>2</v>
      </c>
      <c r="AA8">
        <f>IF(INDEX(Data_metier!$H:$H,MATCH($A8,Data_metier!$B:$B,0))-INDEX(Data_metier!$H:$H,MATCH(AA$1,Data_metier!$B:$B,0))&lt; 0,-1,
IF(AND(INDEX(Data_metier!$H:$H,MATCH($A8,Data_metier!$B:$B,0))-INDEX(Data_metier!$H:$H,MATCH(AA$1,Data_metier!$B:$B,0))&gt; 0,
INDEX(Data_metier!$H:$H,MATCH($A8,Data_metier!$B:$B,0))-INDEX(Data_metier!$H:$H,MATCH(AA$1,Data_metier!$B:$B,0))&lt;=1),
1,
IF(INDEX(Data_metier!$H:$H,MATCH($A8,Data_metier!$B:$B,0))-INDEX(Data_metier!$H:$H,MATCH(AA$1,Data_metier!$B:$B,0))&gt; 1,
2,
0)))</f>
        <v>2</v>
      </c>
      <c r="AB8">
        <f>IF(INDEX(Data_metier!$H:$H,MATCH($A8,Data_metier!$B:$B,0))-INDEX(Data_metier!$H:$H,MATCH(AB$1,Data_metier!$B:$B,0))&lt; 0,-1,
IF(AND(INDEX(Data_metier!$H:$H,MATCH($A8,Data_metier!$B:$B,0))-INDEX(Data_metier!$H:$H,MATCH(AB$1,Data_metier!$B:$B,0))&gt; 0,
INDEX(Data_metier!$H:$H,MATCH($A8,Data_metier!$B:$B,0))-INDEX(Data_metier!$H:$H,MATCH(AB$1,Data_metier!$B:$B,0))&lt;=1),
1,
IF(INDEX(Data_metier!$H:$H,MATCH($A8,Data_metier!$B:$B,0))-INDEX(Data_metier!$H:$H,MATCH(AB$1,Data_metier!$B:$B,0))&gt; 1,
2,
0)))</f>
        <v>2</v>
      </c>
      <c r="AC8">
        <f>IF(INDEX(Data_metier!$H:$H,MATCH($A8,Data_metier!$B:$B,0))-INDEX(Data_metier!$H:$H,MATCH(AC$1,Data_metier!$B:$B,0))&lt; 0,-1,
IF(AND(INDEX(Data_metier!$H:$H,MATCH($A8,Data_metier!$B:$B,0))-INDEX(Data_metier!$H:$H,MATCH(AC$1,Data_metier!$B:$B,0))&gt; 0,
INDEX(Data_metier!$H:$H,MATCH($A8,Data_metier!$B:$B,0))-INDEX(Data_metier!$H:$H,MATCH(AC$1,Data_metier!$B:$B,0))&lt;=1),
1,
IF(INDEX(Data_metier!$H:$H,MATCH($A8,Data_metier!$B:$B,0))-INDEX(Data_metier!$H:$H,MATCH(AC$1,Data_metier!$B:$B,0))&gt; 1,
2,
0)))</f>
        <v>2</v>
      </c>
      <c r="AD8">
        <f>IF(INDEX(Data_metier!$H:$H,MATCH($A8,Data_metier!$B:$B,0))-INDEX(Data_metier!$H:$H,MATCH(AD$1,Data_metier!$B:$B,0))&lt; 0,-1,
IF(AND(INDEX(Data_metier!$H:$H,MATCH($A8,Data_metier!$B:$B,0))-INDEX(Data_metier!$H:$H,MATCH(AD$1,Data_metier!$B:$B,0))&gt; 0,
INDEX(Data_metier!$H:$H,MATCH($A8,Data_metier!$B:$B,0))-INDEX(Data_metier!$H:$H,MATCH(AD$1,Data_metier!$B:$B,0))&lt;=1),
1,
IF(INDEX(Data_metier!$H:$H,MATCH($A8,Data_metier!$B:$B,0))-INDEX(Data_metier!$H:$H,MATCH(AD$1,Data_metier!$B:$B,0))&gt; 1,
2,
0)))</f>
        <v>2</v>
      </c>
    </row>
    <row r="9" spans="1:30">
      <c r="A9" t="str">
        <v>Opérateur(trice) logistique</v>
      </c>
      <c r="B9">
        <f>IF(INDEX(Data_metier!$H:$H,MATCH($A9,Data_metier!$B:$B,0))-INDEX(Data_metier!$H:$H,MATCH(B$1,Data_metier!$B:$B,0))&lt; 0,-1,
IF(AND(INDEX(Data_metier!$H:$H,MATCH($A9,Data_metier!$B:$B,0))-INDEX(Data_metier!$H:$H,MATCH(B$1,Data_metier!$B:$B,0))&gt; 0,
INDEX(Data_metier!$H:$H,MATCH($A9,Data_metier!$B:$B,0))-INDEX(Data_metier!$H:$H,MATCH(B$1,Data_metier!$B:$B,0))&lt;=1),
1,
IF(INDEX(Data_metier!$H:$H,MATCH($A9,Data_metier!$B:$B,0))-INDEX(Data_metier!$H:$H,MATCH(B$1,Data_metier!$B:$B,0))&gt; 1,
2,
0)))</f>
        <v>-1</v>
      </c>
      <c r="C9">
        <f>IF(INDEX(Data_metier!$H:$H,MATCH($A9,Data_metier!$B:$B,0))-INDEX(Data_metier!$H:$H,MATCH(C$1,Data_metier!$B:$B,0))&lt; 0,-1,
IF(AND(INDEX(Data_metier!$H:$H,MATCH($A9,Data_metier!$B:$B,0))-INDEX(Data_metier!$H:$H,MATCH(C$1,Data_metier!$B:$B,0))&gt; 0,
INDEX(Data_metier!$H:$H,MATCH($A9,Data_metier!$B:$B,0))-INDEX(Data_metier!$H:$H,MATCH(C$1,Data_metier!$B:$B,0))&lt;=1),
1,
IF(INDEX(Data_metier!$H:$H,MATCH($A9,Data_metier!$B:$B,0))-INDEX(Data_metier!$H:$H,MATCH(C$1,Data_metier!$B:$B,0))&gt; 1,
2,
0)))</f>
        <v>-1</v>
      </c>
      <c r="D9">
        <f>IF(INDEX(Data_metier!$H:$H,MATCH($A9,Data_metier!$B:$B,0))-INDEX(Data_metier!$H:$H,MATCH(D$1,Data_metier!$B:$B,0))&lt; 0,-1,
IF(AND(INDEX(Data_metier!$H:$H,MATCH($A9,Data_metier!$B:$B,0))-INDEX(Data_metier!$H:$H,MATCH(D$1,Data_metier!$B:$B,0))&gt; 0,
INDEX(Data_metier!$H:$H,MATCH($A9,Data_metier!$B:$B,0))-INDEX(Data_metier!$H:$H,MATCH(D$1,Data_metier!$B:$B,0))&lt;=1),
1,
IF(INDEX(Data_metier!$H:$H,MATCH($A9,Data_metier!$B:$B,0))-INDEX(Data_metier!$H:$H,MATCH(D$1,Data_metier!$B:$B,0))&gt; 1,
2,
0)))</f>
        <v>0</v>
      </c>
      <c r="E9">
        <f>IF(INDEX(Data_metier!$H:$H,MATCH($A9,Data_metier!$B:$B,0))-INDEX(Data_metier!$H:$H,MATCH(E$1,Data_metier!$B:$B,0))&lt; 0,-1,
IF(AND(INDEX(Data_metier!$H:$H,MATCH($A9,Data_metier!$B:$B,0))-INDEX(Data_metier!$H:$H,MATCH(E$1,Data_metier!$B:$B,0))&gt; 0,
INDEX(Data_metier!$H:$H,MATCH($A9,Data_metier!$B:$B,0))-INDEX(Data_metier!$H:$H,MATCH(E$1,Data_metier!$B:$B,0))&lt;=1),
1,
IF(INDEX(Data_metier!$H:$H,MATCH($A9,Data_metier!$B:$B,0))-INDEX(Data_metier!$H:$H,MATCH(E$1,Data_metier!$B:$B,0))&gt; 1,
2,
0)))</f>
        <v>-1</v>
      </c>
      <c r="F9">
        <f>IF(INDEX(Data_metier!$H:$H,MATCH($A9,Data_metier!$B:$B,0))-INDEX(Data_metier!$H:$H,MATCH(F$1,Data_metier!$B:$B,0))&lt; 0,-1,
IF(AND(INDEX(Data_metier!$H:$H,MATCH($A9,Data_metier!$B:$B,0))-INDEX(Data_metier!$H:$H,MATCH(F$1,Data_metier!$B:$B,0))&gt; 0,
INDEX(Data_metier!$H:$H,MATCH($A9,Data_metier!$B:$B,0))-INDEX(Data_metier!$H:$H,MATCH(F$1,Data_metier!$B:$B,0))&lt;=1),
1,
IF(INDEX(Data_metier!$H:$H,MATCH($A9,Data_metier!$B:$B,0))-INDEX(Data_metier!$H:$H,MATCH(F$1,Data_metier!$B:$B,0))&gt; 1,
2,
0)))</f>
        <v>-1</v>
      </c>
      <c r="G9">
        <f>IF(INDEX(Data_metier!$H:$H,MATCH($A9,Data_metier!$B:$B,0))-INDEX(Data_metier!$H:$H,MATCH(G$1,Data_metier!$B:$B,0))&lt; 0,-1,
IF(AND(INDEX(Data_metier!$H:$H,MATCH($A9,Data_metier!$B:$B,0))-INDEX(Data_metier!$H:$H,MATCH(G$1,Data_metier!$B:$B,0))&gt; 0,
INDEX(Data_metier!$H:$H,MATCH($A9,Data_metier!$B:$B,0))-INDEX(Data_metier!$H:$H,MATCH(G$1,Data_metier!$B:$B,0))&lt;=1),
1,
IF(INDEX(Data_metier!$H:$H,MATCH($A9,Data_metier!$B:$B,0))-INDEX(Data_metier!$H:$H,MATCH(G$1,Data_metier!$B:$B,0))&gt; 1,
2,
0)))</f>
        <v>-1</v>
      </c>
      <c r="H9">
        <f>IF(INDEX(Data_metier!$H:$H,MATCH($A9,Data_metier!$B:$B,0))-INDEX(Data_metier!$H:$H,MATCH(H$1,Data_metier!$B:$B,0))&lt; 0,-1,
IF(AND(INDEX(Data_metier!$H:$H,MATCH($A9,Data_metier!$B:$B,0))-INDEX(Data_metier!$H:$H,MATCH(H$1,Data_metier!$B:$B,0))&gt; 0,
INDEX(Data_metier!$H:$H,MATCH($A9,Data_metier!$B:$B,0))-INDEX(Data_metier!$H:$H,MATCH(H$1,Data_metier!$B:$B,0))&lt;=1),
1,
IF(INDEX(Data_metier!$H:$H,MATCH($A9,Data_metier!$B:$B,0))-INDEX(Data_metier!$H:$H,MATCH(H$1,Data_metier!$B:$B,0))&gt; 1,
2,
0)))</f>
        <v>-1</v>
      </c>
      <c r="I9">
        <f>IF(INDEX(Data_metier!$H:$H,MATCH($A9,Data_metier!$B:$B,0))-INDEX(Data_metier!$H:$H,MATCH(I$1,Data_metier!$B:$B,0))&lt; 0,-1,
IF(AND(INDEX(Data_metier!$H:$H,MATCH($A9,Data_metier!$B:$B,0))-INDEX(Data_metier!$H:$H,MATCH(I$1,Data_metier!$B:$B,0))&gt; 0,
INDEX(Data_metier!$H:$H,MATCH($A9,Data_metier!$B:$B,0))-INDEX(Data_metier!$H:$H,MATCH(I$1,Data_metier!$B:$B,0))&lt;=1),
1,
IF(INDEX(Data_metier!$H:$H,MATCH($A9,Data_metier!$B:$B,0))-INDEX(Data_metier!$H:$H,MATCH(I$1,Data_metier!$B:$B,0))&gt; 1,
2,
0)))</f>
        <v>0</v>
      </c>
      <c r="J9">
        <f>IF(INDEX(Data_metier!$H:$H,MATCH($A9,Data_metier!$B:$B,0))-INDEX(Data_metier!$H:$H,MATCH(J$1,Data_metier!$B:$B,0))&lt; 0,-1,
IF(AND(INDEX(Data_metier!$H:$H,MATCH($A9,Data_metier!$B:$B,0))-INDEX(Data_metier!$H:$H,MATCH(J$1,Data_metier!$B:$B,0))&gt; 0,
INDEX(Data_metier!$H:$H,MATCH($A9,Data_metier!$B:$B,0))-INDEX(Data_metier!$H:$H,MATCH(J$1,Data_metier!$B:$B,0))&lt;=1),
1,
IF(INDEX(Data_metier!$H:$H,MATCH($A9,Data_metier!$B:$B,0))-INDEX(Data_metier!$H:$H,MATCH(J$1,Data_metier!$B:$B,0))&gt; 1,
2,
0)))</f>
        <v>-1</v>
      </c>
      <c r="K9">
        <f>IF(INDEX(Data_metier!$H:$H,MATCH($A9,Data_metier!$B:$B,0))-INDEX(Data_metier!$H:$H,MATCH(K$1,Data_metier!$B:$B,0))&lt; 0,-1,
IF(AND(INDEX(Data_metier!$H:$H,MATCH($A9,Data_metier!$B:$B,0))-INDEX(Data_metier!$H:$H,MATCH(K$1,Data_metier!$B:$B,0))&gt; 0,
INDEX(Data_metier!$H:$H,MATCH($A9,Data_metier!$B:$B,0))-INDEX(Data_metier!$H:$H,MATCH(K$1,Data_metier!$B:$B,0))&lt;=1),
1,
IF(INDEX(Data_metier!$H:$H,MATCH($A9,Data_metier!$B:$B,0))-INDEX(Data_metier!$H:$H,MATCH(K$1,Data_metier!$B:$B,0))&gt; 1,
2,
0)))</f>
        <v>-1</v>
      </c>
      <c r="L9">
        <f>IF(INDEX(Data_metier!$H:$H,MATCH($A9,Data_metier!$B:$B,0))-INDEX(Data_metier!$H:$H,MATCH(L$1,Data_metier!$B:$B,0))&lt; 0,-1,
IF(AND(INDEX(Data_metier!$H:$H,MATCH($A9,Data_metier!$B:$B,0))-INDEX(Data_metier!$H:$H,MATCH(L$1,Data_metier!$B:$B,0))&gt; 0,
INDEX(Data_metier!$H:$H,MATCH($A9,Data_metier!$B:$B,0))-INDEX(Data_metier!$H:$H,MATCH(L$1,Data_metier!$B:$B,0))&lt;=1),
1,
IF(INDEX(Data_metier!$H:$H,MATCH($A9,Data_metier!$B:$B,0))-INDEX(Data_metier!$H:$H,MATCH(L$1,Data_metier!$B:$B,0))&gt; 1,
2,
0)))</f>
        <v>0</v>
      </c>
      <c r="M9">
        <f>IF(INDEX(Data_metier!$H:$H,MATCH($A9,Data_metier!$B:$B,0))-INDEX(Data_metier!$H:$H,MATCH(M$1,Data_metier!$B:$B,0))&lt; 0,-1,
IF(AND(INDEX(Data_metier!$H:$H,MATCH($A9,Data_metier!$B:$B,0))-INDEX(Data_metier!$H:$H,MATCH(M$1,Data_metier!$B:$B,0))&gt; 0,
INDEX(Data_metier!$H:$H,MATCH($A9,Data_metier!$B:$B,0))-INDEX(Data_metier!$H:$H,MATCH(M$1,Data_metier!$B:$B,0))&lt;=1),
1,
IF(INDEX(Data_metier!$H:$H,MATCH($A9,Data_metier!$B:$B,0))-INDEX(Data_metier!$H:$H,MATCH(M$1,Data_metier!$B:$B,0))&gt; 1,
2,
0)))</f>
        <v>-1</v>
      </c>
      <c r="N9">
        <f>IF(INDEX(Data_metier!$H:$H,MATCH($A9,Data_metier!$B:$B,0))-INDEX(Data_metier!$H:$H,MATCH(N$1,Data_metier!$B:$B,0))&lt; 0,-1,
IF(AND(INDEX(Data_metier!$H:$H,MATCH($A9,Data_metier!$B:$B,0))-INDEX(Data_metier!$H:$H,MATCH(N$1,Data_metier!$B:$B,0))&gt; 0,
INDEX(Data_metier!$H:$H,MATCH($A9,Data_metier!$B:$B,0))-INDEX(Data_metier!$H:$H,MATCH(N$1,Data_metier!$B:$B,0))&lt;=1),
1,
IF(INDEX(Data_metier!$H:$H,MATCH($A9,Data_metier!$B:$B,0))-INDEX(Data_metier!$H:$H,MATCH(N$1,Data_metier!$B:$B,0))&gt; 1,
2,
0)))</f>
        <v>-1</v>
      </c>
      <c r="O9">
        <f>IF(INDEX(Data_metier!$H:$H,MATCH($A9,Data_metier!$B:$B,0))-INDEX(Data_metier!$H:$H,MATCH(O$1,Data_metier!$B:$B,0))&lt; 0,-1,
IF(AND(INDEX(Data_metier!$H:$H,MATCH($A9,Data_metier!$B:$B,0))-INDEX(Data_metier!$H:$H,MATCH(O$1,Data_metier!$B:$B,0))&gt; 0,
INDEX(Data_metier!$H:$H,MATCH($A9,Data_metier!$B:$B,0))-INDEX(Data_metier!$H:$H,MATCH(O$1,Data_metier!$B:$B,0))&lt;=1),
1,
IF(INDEX(Data_metier!$H:$H,MATCH($A9,Data_metier!$B:$B,0))-INDEX(Data_metier!$H:$H,MATCH(O$1,Data_metier!$B:$B,0))&gt; 1,
2,
0)))</f>
        <v>0</v>
      </c>
      <c r="P9">
        <f>IF(INDEX(Data_metier!$H:$H,MATCH($A9,Data_metier!$B:$B,0))-INDEX(Data_metier!$H:$H,MATCH(P$1,Data_metier!$B:$B,0))&lt; 0,-1,
IF(AND(INDEX(Data_metier!$H:$H,MATCH($A9,Data_metier!$B:$B,0))-INDEX(Data_metier!$H:$H,MATCH(P$1,Data_metier!$B:$B,0))&gt; 0,
INDEX(Data_metier!$H:$H,MATCH($A9,Data_metier!$B:$B,0))-INDEX(Data_metier!$H:$H,MATCH(P$1,Data_metier!$B:$B,0))&lt;=1),
1,
IF(INDEX(Data_metier!$H:$H,MATCH($A9,Data_metier!$B:$B,0))-INDEX(Data_metier!$H:$H,MATCH(P$1,Data_metier!$B:$B,0))&gt; 1,
2,
0)))</f>
        <v>0</v>
      </c>
      <c r="Q9">
        <f>IF(INDEX(Data_metier!$H:$H,MATCH($A9,Data_metier!$B:$B,0))-INDEX(Data_metier!$H:$H,MATCH(Q$1,Data_metier!$B:$B,0))&lt; 0,-1,
IF(AND(INDEX(Data_metier!$H:$H,MATCH($A9,Data_metier!$B:$B,0))-INDEX(Data_metier!$H:$H,MATCH(Q$1,Data_metier!$B:$B,0))&gt; 0,
INDEX(Data_metier!$H:$H,MATCH($A9,Data_metier!$B:$B,0))-INDEX(Data_metier!$H:$H,MATCH(Q$1,Data_metier!$B:$B,0))&lt;=1),
1,
IF(INDEX(Data_metier!$H:$H,MATCH($A9,Data_metier!$B:$B,0))-INDEX(Data_metier!$H:$H,MATCH(Q$1,Data_metier!$B:$B,0))&gt; 1,
2,
0)))</f>
        <v>-1</v>
      </c>
      <c r="R9">
        <f>IF(INDEX(Data_metier!$H:$H,MATCH($A9,Data_metier!$B:$B,0))-INDEX(Data_metier!$H:$H,MATCH(R$1,Data_metier!$B:$B,0))&lt; 0,-1,
IF(AND(INDEX(Data_metier!$H:$H,MATCH($A9,Data_metier!$B:$B,0))-INDEX(Data_metier!$H:$H,MATCH(R$1,Data_metier!$B:$B,0))&gt; 0,
INDEX(Data_metier!$H:$H,MATCH($A9,Data_metier!$B:$B,0))-INDEX(Data_metier!$H:$H,MATCH(R$1,Data_metier!$B:$B,0))&lt;=1),
1,
IF(INDEX(Data_metier!$H:$H,MATCH($A9,Data_metier!$B:$B,0))-INDEX(Data_metier!$H:$H,MATCH(R$1,Data_metier!$B:$B,0))&gt; 1,
2,
0)))</f>
        <v>-1</v>
      </c>
      <c r="S9">
        <f>IF(INDEX(Data_metier!$H:$H,MATCH($A9,Data_metier!$B:$B,0))-INDEX(Data_metier!$H:$H,MATCH(S$1,Data_metier!$B:$B,0))&lt; 0,-1,
IF(AND(INDEX(Data_metier!$H:$H,MATCH($A9,Data_metier!$B:$B,0))-INDEX(Data_metier!$H:$H,MATCH(S$1,Data_metier!$B:$B,0))&gt; 0,
INDEX(Data_metier!$H:$H,MATCH($A9,Data_metier!$B:$B,0))-INDEX(Data_metier!$H:$H,MATCH(S$1,Data_metier!$B:$B,0))&lt;=1),
1,
IF(INDEX(Data_metier!$H:$H,MATCH($A9,Data_metier!$B:$B,0))-INDEX(Data_metier!$H:$H,MATCH(S$1,Data_metier!$B:$B,0))&gt; 1,
2,
0)))</f>
        <v>0</v>
      </c>
      <c r="T9">
        <f>IF(INDEX(Data_metier!$H:$H,MATCH($A9,Data_metier!$B:$B,0))-INDEX(Data_metier!$H:$H,MATCH(T$1,Data_metier!$B:$B,0))&lt; 0,-1,
IF(AND(INDEX(Data_metier!$H:$H,MATCH($A9,Data_metier!$B:$B,0))-INDEX(Data_metier!$H:$H,MATCH(T$1,Data_metier!$B:$B,0))&gt; 0,
INDEX(Data_metier!$H:$H,MATCH($A9,Data_metier!$B:$B,0))-INDEX(Data_metier!$H:$H,MATCH(T$1,Data_metier!$B:$B,0))&lt;=1),
1,
IF(INDEX(Data_metier!$H:$H,MATCH($A9,Data_metier!$B:$B,0))-INDEX(Data_metier!$H:$H,MATCH(T$1,Data_metier!$B:$B,0))&gt; 1,
2,
0)))</f>
        <v>0</v>
      </c>
      <c r="U9">
        <f>IF(INDEX(Data_metier!$H:$H,MATCH($A9,Data_metier!$B:$B,0))-INDEX(Data_metier!$H:$H,MATCH(U$1,Data_metier!$B:$B,0))&lt; 0,-1,
IF(AND(INDEX(Data_metier!$H:$H,MATCH($A9,Data_metier!$B:$B,0))-INDEX(Data_metier!$H:$H,MATCH(U$1,Data_metier!$B:$B,0))&gt; 0,
INDEX(Data_metier!$H:$H,MATCH($A9,Data_metier!$B:$B,0))-INDEX(Data_metier!$H:$H,MATCH(U$1,Data_metier!$B:$B,0))&lt;=1),
1,
IF(INDEX(Data_metier!$H:$H,MATCH($A9,Data_metier!$B:$B,0))-INDEX(Data_metier!$H:$H,MATCH(U$1,Data_metier!$B:$B,0))&gt; 1,
2,
0)))</f>
        <v>0</v>
      </c>
      <c r="V9">
        <f>IF(INDEX(Data_metier!$H:$H,MATCH($A9,Data_metier!$B:$B,0))-INDEX(Data_metier!$H:$H,MATCH(V$1,Data_metier!$B:$B,0))&lt; 0,-1,
IF(AND(INDEX(Data_metier!$H:$H,MATCH($A9,Data_metier!$B:$B,0))-INDEX(Data_metier!$H:$H,MATCH(V$1,Data_metier!$B:$B,0))&gt; 0,
INDEX(Data_metier!$H:$H,MATCH($A9,Data_metier!$B:$B,0))-INDEX(Data_metier!$H:$H,MATCH(V$1,Data_metier!$B:$B,0))&lt;=1),
1,
IF(INDEX(Data_metier!$H:$H,MATCH($A9,Data_metier!$B:$B,0))-INDEX(Data_metier!$H:$H,MATCH(V$1,Data_metier!$B:$B,0))&gt; 1,
2,
0)))</f>
        <v>-1</v>
      </c>
      <c r="W9">
        <f>IF(INDEX(Data_metier!$H:$H,MATCH($A9,Data_metier!$B:$B,0))-INDEX(Data_metier!$H:$H,MATCH(W$1,Data_metier!$B:$B,0))&lt; 0,-1,
IF(AND(INDEX(Data_metier!$H:$H,MATCH($A9,Data_metier!$B:$B,0))-INDEX(Data_metier!$H:$H,MATCH(W$1,Data_metier!$B:$B,0))&gt; 0,
INDEX(Data_metier!$H:$H,MATCH($A9,Data_metier!$B:$B,0))-INDEX(Data_metier!$H:$H,MATCH(W$1,Data_metier!$B:$B,0))&lt;=1),
1,
IF(INDEX(Data_metier!$H:$H,MATCH($A9,Data_metier!$B:$B,0))-INDEX(Data_metier!$H:$H,MATCH(W$1,Data_metier!$B:$B,0))&gt; 1,
2,
0)))</f>
        <v>-1</v>
      </c>
      <c r="X9">
        <f>IF(INDEX(Data_metier!$H:$H,MATCH($A9,Data_metier!$B:$B,0))-INDEX(Data_metier!$H:$H,MATCH(X$1,Data_metier!$B:$B,0))&lt; 0,-1,
IF(AND(INDEX(Data_metier!$H:$H,MATCH($A9,Data_metier!$B:$B,0))-INDEX(Data_metier!$H:$H,MATCH(X$1,Data_metier!$B:$B,0))&gt; 0,
INDEX(Data_metier!$H:$H,MATCH($A9,Data_metier!$B:$B,0))-INDEX(Data_metier!$H:$H,MATCH(X$1,Data_metier!$B:$B,0))&lt;=1),
1,
IF(INDEX(Data_metier!$H:$H,MATCH($A9,Data_metier!$B:$B,0))-INDEX(Data_metier!$H:$H,MATCH(X$1,Data_metier!$B:$B,0))&gt; 1,
2,
0)))</f>
        <v>-1</v>
      </c>
      <c r="Y9">
        <f>IF(INDEX(Data_metier!$H:$H,MATCH($A9,Data_metier!$B:$B,0))-INDEX(Data_metier!$H:$H,MATCH(Y$1,Data_metier!$B:$B,0))&lt; 0,-1,
IF(AND(INDEX(Data_metier!$H:$H,MATCH($A9,Data_metier!$B:$B,0))-INDEX(Data_metier!$H:$H,MATCH(Y$1,Data_metier!$B:$B,0))&gt; 0,
INDEX(Data_metier!$H:$H,MATCH($A9,Data_metier!$B:$B,0))-INDEX(Data_metier!$H:$H,MATCH(Y$1,Data_metier!$B:$B,0))&lt;=1),
1,
IF(INDEX(Data_metier!$H:$H,MATCH($A9,Data_metier!$B:$B,0))-INDEX(Data_metier!$H:$H,MATCH(Y$1,Data_metier!$B:$B,0))&gt; 1,
2,
0)))</f>
        <v>0</v>
      </c>
      <c r="Z9">
        <f>IF(INDEX(Data_metier!$H:$H,MATCH($A9,Data_metier!$B:$B,0))-INDEX(Data_metier!$H:$H,MATCH(Z$1,Data_metier!$B:$B,0))&lt; 0,-1,
IF(AND(INDEX(Data_metier!$H:$H,MATCH($A9,Data_metier!$B:$B,0))-INDEX(Data_metier!$H:$H,MATCH(Z$1,Data_metier!$B:$B,0))&gt; 0,
INDEX(Data_metier!$H:$H,MATCH($A9,Data_metier!$B:$B,0))-INDEX(Data_metier!$H:$H,MATCH(Z$1,Data_metier!$B:$B,0))&lt;=1),
1,
IF(INDEX(Data_metier!$H:$H,MATCH($A9,Data_metier!$B:$B,0))-INDEX(Data_metier!$H:$H,MATCH(Z$1,Data_metier!$B:$B,0))&gt; 1,
2,
0)))</f>
        <v>0</v>
      </c>
      <c r="AA9">
        <f>IF(INDEX(Data_metier!$H:$H,MATCH($A9,Data_metier!$B:$B,0))-INDEX(Data_metier!$H:$H,MATCH(AA$1,Data_metier!$B:$B,0))&lt; 0,-1,
IF(AND(INDEX(Data_metier!$H:$H,MATCH($A9,Data_metier!$B:$B,0))-INDEX(Data_metier!$H:$H,MATCH(AA$1,Data_metier!$B:$B,0))&gt; 0,
INDEX(Data_metier!$H:$H,MATCH($A9,Data_metier!$B:$B,0))-INDEX(Data_metier!$H:$H,MATCH(AA$1,Data_metier!$B:$B,0))&lt;=1),
1,
IF(INDEX(Data_metier!$H:$H,MATCH($A9,Data_metier!$B:$B,0))-INDEX(Data_metier!$H:$H,MATCH(AA$1,Data_metier!$B:$B,0))&gt; 1,
2,
0)))</f>
        <v>0</v>
      </c>
      <c r="AB9">
        <f>IF(INDEX(Data_metier!$H:$H,MATCH($A9,Data_metier!$B:$B,0))-INDEX(Data_metier!$H:$H,MATCH(AB$1,Data_metier!$B:$B,0))&lt; 0,-1,
IF(AND(INDEX(Data_metier!$H:$H,MATCH($A9,Data_metier!$B:$B,0))-INDEX(Data_metier!$H:$H,MATCH(AB$1,Data_metier!$B:$B,0))&gt; 0,
INDEX(Data_metier!$H:$H,MATCH($A9,Data_metier!$B:$B,0))-INDEX(Data_metier!$H:$H,MATCH(AB$1,Data_metier!$B:$B,0))&lt;=1),
1,
IF(INDEX(Data_metier!$H:$H,MATCH($A9,Data_metier!$B:$B,0))-INDEX(Data_metier!$H:$H,MATCH(AB$1,Data_metier!$B:$B,0))&gt; 1,
2,
0)))</f>
        <v>-1</v>
      </c>
      <c r="AC9">
        <f>IF(INDEX(Data_metier!$H:$H,MATCH($A9,Data_metier!$B:$B,0))-INDEX(Data_metier!$H:$H,MATCH(AC$1,Data_metier!$B:$B,0))&lt; 0,-1,
IF(AND(INDEX(Data_metier!$H:$H,MATCH($A9,Data_metier!$B:$B,0))-INDEX(Data_metier!$H:$H,MATCH(AC$1,Data_metier!$B:$B,0))&gt; 0,
INDEX(Data_metier!$H:$H,MATCH($A9,Data_metier!$B:$B,0))-INDEX(Data_metier!$H:$H,MATCH(AC$1,Data_metier!$B:$B,0))&lt;=1),
1,
IF(INDEX(Data_metier!$H:$H,MATCH($A9,Data_metier!$B:$B,0))-INDEX(Data_metier!$H:$H,MATCH(AC$1,Data_metier!$B:$B,0))&gt; 1,
2,
0)))</f>
        <v>-1</v>
      </c>
      <c r="AD9">
        <f>IF(INDEX(Data_metier!$H:$H,MATCH($A9,Data_metier!$B:$B,0))-INDEX(Data_metier!$H:$H,MATCH(AD$1,Data_metier!$B:$B,0))&lt; 0,-1,
IF(AND(INDEX(Data_metier!$H:$H,MATCH($A9,Data_metier!$B:$B,0))-INDEX(Data_metier!$H:$H,MATCH(AD$1,Data_metier!$B:$B,0))&gt; 0,
INDEX(Data_metier!$H:$H,MATCH($A9,Data_metier!$B:$B,0))-INDEX(Data_metier!$H:$H,MATCH(AD$1,Data_metier!$B:$B,0))&lt;=1),
1,
IF(INDEX(Data_metier!$H:$H,MATCH($A9,Data_metier!$B:$B,0))-INDEX(Data_metier!$H:$H,MATCH(AD$1,Data_metier!$B:$B,0))&gt; 1,
2,
0)))</f>
        <v>-1</v>
      </c>
    </row>
    <row r="10" spans="1:30">
      <c r="A10" t="str">
        <v>Logisticien(ne) approvisionneur(se)</v>
      </c>
      <c r="B10">
        <f>IF(INDEX(Data_metier!$H:$H,MATCH($A10,Data_metier!$B:$B,0))-INDEX(Data_metier!$H:$H,MATCH(B$1,Data_metier!$B:$B,0))&lt; 0,-1,
IF(AND(INDEX(Data_metier!$H:$H,MATCH($A10,Data_metier!$B:$B,0))-INDEX(Data_metier!$H:$H,MATCH(B$1,Data_metier!$B:$B,0))&gt; 0,
INDEX(Data_metier!$H:$H,MATCH($A10,Data_metier!$B:$B,0))-INDEX(Data_metier!$H:$H,MATCH(B$1,Data_metier!$B:$B,0))&lt;=1),
1,
IF(INDEX(Data_metier!$H:$H,MATCH($A10,Data_metier!$B:$B,0))-INDEX(Data_metier!$H:$H,MATCH(B$1,Data_metier!$B:$B,0))&gt; 1,
2,
0)))</f>
        <v>2</v>
      </c>
      <c r="C10">
        <f>IF(INDEX(Data_metier!$H:$H,MATCH($A10,Data_metier!$B:$B,0))-INDEX(Data_metier!$H:$H,MATCH(C$1,Data_metier!$B:$B,0))&lt; 0,-1,
IF(AND(INDEX(Data_metier!$H:$H,MATCH($A10,Data_metier!$B:$B,0))-INDEX(Data_metier!$H:$H,MATCH(C$1,Data_metier!$B:$B,0))&gt; 0,
INDEX(Data_metier!$H:$H,MATCH($A10,Data_metier!$B:$B,0))-INDEX(Data_metier!$H:$H,MATCH(C$1,Data_metier!$B:$B,0))&lt;=1),
1,
IF(INDEX(Data_metier!$H:$H,MATCH($A10,Data_metier!$B:$B,0))-INDEX(Data_metier!$H:$H,MATCH(C$1,Data_metier!$B:$B,0))&gt; 1,
2,
0)))</f>
        <v>2</v>
      </c>
      <c r="D10">
        <f>IF(INDEX(Data_metier!$H:$H,MATCH($A10,Data_metier!$B:$B,0))-INDEX(Data_metier!$H:$H,MATCH(D$1,Data_metier!$B:$B,0))&lt; 0,-1,
IF(AND(INDEX(Data_metier!$H:$H,MATCH($A10,Data_metier!$B:$B,0))-INDEX(Data_metier!$H:$H,MATCH(D$1,Data_metier!$B:$B,0))&gt; 0,
INDEX(Data_metier!$H:$H,MATCH($A10,Data_metier!$B:$B,0))-INDEX(Data_metier!$H:$H,MATCH(D$1,Data_metier!$B:$B,0))&lt;=1),
1,
IF(INDEX(Data_metier!$H:$H,MATCH($A10,Data_metier!$B:$B,0))-INDEX(Data_metier!$H:$H,MATCH(D$1,Data_metier!$B:$B,0))&gt; 1,
2,
0)))</f>
        <v>2</v>
      </c>
      <c r="E10">
        <f>IF(INDEX(Data_metier!$H:$H,MATCH($A10,Data_metier!$B:$B,0))-INDEX(Data_metier!$H:$H,MATCH(E$1,Data_metier!$B:$B,0))&lt; 0,-1,
IF(AND(INDEX(Data_metier!$H:$H,MATCH($A10,Data_metier!$B:$B,0))-INDEX(Data_metier!$H:$H,MATCH(E$1,Data_metier!$B:$B,0))&gt; 0,
INDEX(Data_metier!$H:$H,MATCH($A10,Data_metier!$B:$B,0))-INDEX(Data_metier!$H:$H,MATCH(E$1,Data_metier!$B:$B,0))&lt;=1),
1,
IF(INDEX(Data_metier!$H:$H,MATCH($A10,Data_metier!$B:$B,0))-INDEX(Data_metier!$H:$H,MATCH(E$1,Data_metier!$B:$B,0))&gt; 1,
2,
0)))</f>
        <v>0</v>
      </c>
      <c r="F10">
        <f>IF(INDEX(Data_metier!$H:$H,MATCH($A10,Data_metier!$B:$B,0))-INDEX(Data_metier!$H:$H,MATCH(F$1,Data_metier!$B:$B,0))&lt; 0,-1,
IF(AND(INDEX(Data_metier!$H:$H,MATCH($A10,Data_metier!$B:$B,0))-INDEX(Data_metier!$H:$H,MATCH(F$1,Data_metier!$B:$B,0))&gt; 0,
INDEX(Data_metier!$H:$H,MATCH($A10,Data_metier!$B:$B,0))-INDEX(Data_metier!$H:$H,MATCH(F$1,Data_metier!$B:$B,0))&lt;=1),
1,
IF(INDEX(Data_metier!$H:$H,MATCH($A10,Data_metier!$B:$B,0))-INDEX(Data_metier!$H:$H,MATCH(F$1,Data_metier!$B:$B,0))&gt; 1,
2,
0)))</f>
        <v>-1</v>
      </c>
      <c r="G10">
        <f>IF(INDEX(Data_metier!$H:$H,MATCH($A10,Data_metier!$B:$B,0))-INDEX(Data_metier!$H:$H,MATCH(G$1,Data_metier!$B:$B,0))&lt; 0,-1,
IF(AND(INDEX(Data_metier!$H:$H,MATCH($A10,Data_metier!$B:$B,0))-INDEX(Data_metier!$H:$H,MATCH(G$1,Data_metier!$B:$B,0))&gt; 0,
INDEX(Data_metier!$H:$H,MATCH($A10,Data_metier!$B:$B,0))-INDEX(Data_metier!$H:$H,MATCH(G$1,Data_metier!$B:$B,0))&lt;=1),
1,
IF(INDEX(Data_metier!$H:$H,MATCH($A10,Data_metier!$B:$B,0))-INDEX(Data_metier!$H:$H,MATCH(G$1,Data_metier!$B:$B,0))&gt; 1,
2,
0)))</f>
        <v>-1</v>
      </c>
      <c r="H10">
        <f>IF(INDEX(Data_metier!$H:$H,MATCH($A10,Data_metier!$B:$B,0))-INDEX(Data_metier!$H:$H,MATCH(H$1,Data_metier!$B:$B,0))&lt; 0,-1,
IF(AND(INDEX(Data_metier!$H:$H,MATCH($A10,Data_metier!$B:$B,0))-INDEX(Data_metier!$H:$H,MATCH(H$1,Data_metier!$B:$B,0))&gt; 0,
INDEX(Data_metier!$H:$H,MATCH($A10,Data_metier!$B:$B,0))-INDEX(Data_metier!$H:$H,MATCH(H$1,Data_metier!$B:$B,0))&lt;=1),
1,
IF(INDEX(Data_metier!$H:$H,MATCH($A10,Data_metier!$B:$B,0))-INDEX(Data_metier!$H:$H,MATCH(H$1,Data_metier!$B:$B,0))&gt; 1,
2,
0)))</f>
        <v>-1</v>
      </c>
      <c r="I10">
        <f>IF(INDEX(Data_metier!$H:$H,MATCH($A10,Data_metier!$B:$B,0))-INDEX(Data_metier!$H:$H,MATCH(I$1,Data_metier!$B:$B,0))&lt; 0,-1,
IF(AND(INDEX(Data_metier!$H:$H,MATCH($A10,Data_metier!$B:$B,0))-INDEX(Data_metier!$H:$H,MATCH(I$1,Data_metier!$B:$B,0))&gt; 0,
INDEX(Data_metier!$H:$H,MATCH($A10,Data_metier!$B:$B,0))-INDEX(Data_metier!$H:$H,MATCH(I$1,Data_metier!$B:$B,0))&lt;=1),
1,
IF(INDEX(Data_metier!$H:$H,MATCH($A10,Data_metier!$B:$B,0))-INDEX(Data_metier!$H:$H,MATCH(I$1,Data_metier!$B:$B,0))&gt; 1,
2,
0)))</f>
        <v>2</v>
      </c>
      <c r="J10">
        <f>IF(INDEX(Data_metier!$H:$H,MATCH($A10,Data_metier!$B:$B,0))-INDEX(Data_metier!$H:$H,MATCH(J$1,Data_metier!$B:$B,0))&lt; 0,-1,
IF(AND(INDEX(Data_metier!$H:$H,MATCH($A10,Data_metier!$B:$B,0))-INDEX(Data_metier!$H:$H,MATCH(J$1,Data_metier!$B:$B,0))&gt; 0,
INDEX(Data_metier!$H:$H,MATCH($A10,Data_metier!$B:$B,0))-INDEX(Data_metier!$H:$H,MATCH(J$1,Data_metier!$B:$B,0))&lt;=1),
1,
IF(INDEX(Data_metier!$H:$H,MATCH($A10,Data_metier!$B:$B,0))-INDEX(Data_metier!$H:$H,MATCH(J$1,Data_metier!$B:$B,0))&gt; 1,
2,
0)))</f>
        <v>0</v>
      </c>
      <c r="K10">
        <f>IF(INDEX(Data_metier!$H:$H,MATCH($A10,Data_metier!$B:$B,0))-INDEX(Data_metier!$H:$H,MATCH(K$1,Data_metier!$B:$B,0))&lt; 0,-1,
IF(AND(INDEX(Data_metier!$H:$H,MATCH($A10,Data_metier!$B:$B,0))-INDEX(Data_metier!$H:$H,MATCH(K$1,Data_metier!$B:$B,0))&gt; 0,
INDEX(Data_metier!$H:$H,MATCH($A10,Data_metier!$B:$B,0))-INDEX(Data_metier!$H:$H,MATCH(K$1,Data_metier!$B:$B,0))&lt;=1),
1,
IF(INDEX(Data_metier!$H:$H,MATCH($A10,Data_metier!$B:$B,0))-INDEX(Data_metier!$H:$H,MATCH(K$1,Data_metier!$B:$B,0))&gt; 1,
2,
0)))</f>
        <v>-1</v>
      </c>
      <c r="L10">
        <f>IF(INDEX(Data_metier!$H:$H,MATCH($A10,Data_metier!$B:$B,0))-INDEX(Data_metier!$H:$H,MATCH(L$1,Data_metier!$B:$B,0))&lt; 0,-1,
IF(AND(INDEX(Data_metier!$H:$H,MATCH($A10,Data_metier!$B:$B,0))-INDEX(Data_metier!$H:$H,MATCH(L$1,Data_metier!$B:$B,0))&gt; 0,
INDEX(Data_metier!$H:$H,MATCH($A10,Data_metier!$B:$B,0))-INDEX(Data_metier!$H:$H,MATCH(L$1,Data_metier!$B:$B,0))&lt;=1),
1,
IF(INDEX(Data_metier!$H:$H,MATCH($A10,Data_metier!$B:$B,0))-INDEX(Data_metier!$H:$H,MATCH(L$1,Data_metier!$B:$B,0))&gt; 1,
2,
0)))</f>
        <v>2</v>
      </c>
      <c r="M10">
        <f>IF(INDEX(Data_metier!$H:$H,MATCH($A10,Data_metier!$B:$B,0))-INDEX(Data_metier!$H:$H,MATCH(M$1,Data_metier!$B:$B,0))&lt; 0,-1,
IF(AND(INDEX(Data_metier!$H:$H,MATCH($A10,Data_metier!$B:$B,0))-INDEX(Data_metier!$H:$H,MATCH(M$1,Data_metier!$B:$B,0))&gt; 0,
INDEX(Data_metier!$H:$H,MATCH($A10,Data_metier!$B:$B,0))-INDEX(Data_metier!$H:$H,MATCH(M$1,Data_metier!$B:$B,0))&lt;=1),
1,
IF(INDEX(Data_metier!$H:$H,MATCH($A10,Data_metier!$B:$B,0))-INDEX(Data_metier!$H:$H,MATCH(M$1,Data_metier!$B:$B,0))&gt; 1,
2,
0)))</f>
        <v>2</v>
      </c>
      <c r="N10">
        <f>IF(INDEX(Data_metier!$H:$H,MATCH($A10,Data_metier!$B:$B,0))-INDEX(Data_metier!$H:$H,MATCH(N$1,Data_metier!$B:$B,0))&lt; 0,-1,
IF(AND(INDEX(Data_metier!$H:$H,MATCH($A10,Data_metier!$B:$B,0))-INDEX(Data_metier!$H:$H,MATCH(N$1,Data_metier!$B:$B,0))&gt; 0,
INDEX(Data_metier!$H:$H,MATCH($A10,Data_metier!$B:$B,0))-INDEX(Data_metier!$H:$H,MATCH(N$1,Data_metier!$B:$B,0))&lt;=1),
1,
IF(INDEX(Data_metier!$H:$H,MATCH($A10,Data_metier!$B:$B,0))-INDEX(Data_metier!$H:$H,MATCH(N$1,Data_metier!$B:$B,0))&gt; 1,
2,
0)))</f>
        <v>1</v>
      </c>
      <c r="O10">
        <f>IF(INDEX(Data_metier!$H:$H,MATCH($A10,Data_metier!$B:$B,0))-INDEX(Data_metier!$H:$H,MATCH(O$1,Data_metier!$B:$B,0))&lt; 0,-1,
IF(AND(INDEX(Data_metier!$H:$H,MATCH($A10,Data_metier!$B:$B,0))-INDEX(Data_metier!$H:$H,MATCH(O$1,Data_metier!$B:$B,0))&gt; 0,
INDEX(Data_metier!$H:$H,MATCH($A10,Data_metier!$B:$B,0))-INDEX(Data_metier!$H:$H,MATCH(O$1,Data_metier!$B:$B,0))&lt;=1),
1,
IF(INDEX(Data_metier!$H:$H,MATCH($A10,Data_metier!$B:$B,0))-INDEX(Data_metier!$H:$H,MATCH(O$1,Data_metier!$B:$B,0))&gt; 1,
2,
0)))</f>
        <v>2</v>
      </c>
      <c r="P10">
        <f>IF(INDEX(Data_metier!$H:$H,MATCH($A10,Data_metier!$B:$B,0))-INDEX(Data_metier!$H:$H,MATCH(P$1,Data_metier!$B:$B,0))&lt; 0,-1,
IF(AND(INDEX(Data_metier!$H:$H,MATCH($A10,Data_metier!$B:$B,0))-INDEX(Data_metier!$H:$H,MATCH(P$1,Data_metier!$B:$B,0))&gt; 0,
INDEX(Data_metier!$H:$H,MATCH($A10,Data_metier!$B:$B,0))-INDEX(Data_metier!$H:$H,MATCH(P$1,Data_metier!$B:$B,0))&lt;=1),
1,
IF(INDEX(Data_metier!$H:$H,MATCH($A10,Data_metier!$B:$B,0))-INDEX(Data_metier!$H:$H,MATCH(P$1,Data_metier!$B:$B,0))&gt; 1,
2,
0)))</f>
        <v>2</v>
      </c>
      <c r="Q10">
        <f>IF(INDEX(Data_metier!$H:$H,MATCH($A10,Data_metier!$B:$B,0))-INDEX(Data_metier!$H:$H,MATCH(Q$1,Data_metier!$B:$B,0))&lt; 0,-1,
IF(AND(INDEX(Data_metier!$H:$H,MATCH($A10,Data_metier!$B:$B,0))-INDEX(Data_metier!$H:$H,MATCH(Q$1,Data_metier!$B:$B,0))&gt; 0,
INDEX(Data_metier!$H:$H,MATCH($A10,Data_metier!$B:$B,0))-INDEX(Data_metier!$H:$H,MATCH(Q$1,Data_metier!$B:$B,0))&lt;=1),
1,
IF(INDEX(Data_metier!$H:$H,MATCH($A10,Data_metier!$B:$B,0))-INDEX(Data_metier!$H:$H,MATCH(Q$1,Data_metier!$B:$B,0))&gt; 1,
2,
0)))</f>
        <v>0</v>
      </c>
      <c r="R10">
        <f>IF(INDEX(Data_metier!$H:$H,MATCH($A10,Data_metier!$B:$B,0))-INDEX(Data_metier!$H:$H,MATCH(R$1,Data_metier!$B:$B,0))&lt; 0,-1,
IF(AND(INDEX(Data_metier!$H:$H,MATCH($A10,Data_metier!$B:$B,0))-INDEX(Data_metier!$H:$H,MATCH(R$1,Data_metier!$B:$B,0))&gt; 0,
INDEX(Data_metier!$H:$H,MATCH($A10,Data_metier!$B:$B,0))-INDEX(Data_metier!$H:$H,MATCH(R$1,Data_metier!$B:$B,0))&lt;=1),
1,
IF(INDEX(Data_metier!$H:$H,MATCH($A10,Data_metier!$B:$B,0))-INDEX(Data_metier!$H:$H,MATCH(R$1,Data_metier!$B:$B,0))&gt; 1,
2,
0)))</f>
        <v>-1</v>
      </c>
      <c r="S10">
        <f>IF(INDEX(Data_metier!$H:$H,MATCH($A10,Data_metier!$B:$B,0))-INDEX(Data_metier!$H:$H,MATCH(S$1,Data_metier!$B:$B,0))&lt; 0,-1,
IF(AND(INDEX(Data_metier!$H:$H,MATCH($A10,Data_metier!$B:$B,0))-INDEX(Data_metier!$H:$H,MATCH(S$1,Data_metier!$B:$B,0))&gt; 0,
INDEX(Data_metier!$H:$H,MATCH($A10,Data_metier!$B:$B,0))-INDEX(Data_metier!$H:$H,MATCH(S$1,Data_metier!$B:$B,0))&lt;=1),
1,
IF(INDEX(Data_metier!$H:$H,MATCH($A10,Data_metier!$B:$B,0))-INDEX(Data_metier!$H:$H,MATCH(S$1,Data_metier!$B:$B,0))&gt; 1,
2,
0)))</f>
        <v>2</v>
      </c>
      <c r="T10">
        <f>IF(INDEX(Data_metier!$H:$H,MATCH($A10,Data_metier!$B:$B,0))-INDEX(Data_metier!$H:$H,MATCH(T$1,Data_metier!$B:$B,0))&lt; 0,-1,
IF(AND(INDEX(Data_metier!$H:$H,MATCH($A10,Data_metier!$B:$B,0))-INDEX(Data_metier!$H:$H,MATCH(T$1,Data_metier!$B:$B,0))&gt; 0,
INDEX(Data_metier!$H:$H,MATCH($A10,Data_metier!$B:$B,0))-INDEX(Data_metier!$H:$H,MATCH(T$1,Data_metier!$B:$B,0))&lt;=1),
1,
IF(INDEX(Data_metier!$H:$H,MATCH($A10,Data_metier!$B:$B,0))-INDEX(Data_metier!$H:$H,MATCH(T$1,Data_metier!$B:$B,0))&gt; 1,
2,
0)))</f>
        <v>2</v>
      </c>
      <c r="U10">
        <f>IF(INDEX(Data_metier!$H:$H,MATCH($A10,Data_metier!$B:$B,0))-INDEX(Data_metier!$H:$H,MATCH(U$1,Data_metier!$B:$B,0))&lt; 0,-1,
IF(AND(INDEX(Data_metier!$H:$H,MATCH($A10,Data_metier!$B:$B,0))-INDEX(Data_metier!$H:$H,MATCH(U$1,Data_metier!$B:$B,0))&gt; 0,
INDEX(Data_metier!$H:$H,MATCH($A10,Data_metier!$B:$B,0))-INDEX(Data_metier!$H:$H,MATCH(U$1,Data_metier!$B:$B,0))&lt;=1),
1,
IF(INDEX(Data_metier!$H:$H,MATCH($A10,Data_metier!$B:$B,0))-INDEX(Data_metier!$H:$H,MATCH(U$1,Data_metier!$B:$B,0))&gt; 1,
2,
0)))</f>
        <v>2</v>
      </c>
      <c r="V10">
        <f>IF(INDEX(Data_metier!$H:$H,MATCH($A10,Data_metier!$B:$B,0))-INDEX(Data_metier!$H:$H,MATCH(V$1,Data_metier!$B:$B,0))&lt; 0,-1,
IF(AND(INDEX(Data_metier!$H:$H,MATCH($A10,Data_metier!$B:$B,0))-INDEX(Data_metier!$H:$H,MATCH(V$1,Data_metier!$B:$B,0))&gt; 0,
INDEX(Data_metier!$H:$H,MATCH($A10,Data_metier!$B:$B,0))-INDEX(Data_metier!$H:$H,MATCH(V$1,Data_metier!$B:$B,0))&lt;=1),
1,
IF(INDEX(Data_metier!$H:$H,MATCH($A10,Data_metier!$B:$B,0))-INDEX(Data_metier!$H:$H,MATCH(V$1,Data_metier!$B:$B,0))&gt; 1,
2,
0)))</f>
        <v>2</v>
      </c>
      <c r="W10">
        <f>IF(INDEX(Data_metier!$H:$H,MATCH($A10,Data_metier!$B:$B,0))-INDEX(Data_metier!$H:$H,MATCH(W$1,Data_metier!$B:$B,0))&lt; 0,-1,
IF(AND(INDEX(Data_metier!$H:$H,MATCH($A10,Data_metier!$B:$B,0))-INDEX(Data_metier!$H:$H,MATCH(W$1,Data_metier!$B:$B,0))&gt; 0,
INDEX(Data_metier!$H:$H,MATCH($A10,Data_metier!$B:$B,0))-INDEX(Data_metier!$H:$H,MATCH(W$1,Data_metier!$B:$B,0))&lt;=1),
1,
IF(INDEX(Data_metier!$H:$H,MATCH($A10,Data_metier!$B:$B,0))-INDEX(Data_metier!$H:$H,MATCH(W$1,Data_metier!$B:$B,0))&gt; 1,
2,
0)))</f>
        <v>2</v>
      </c>
      <c r="X10">
        <f>IF(INDEX(Data_metier!$H:$H,MATCH($A10,Data_metier!$B:$B,0))-INDEX(Data_metier!$H:$H,MATCH(X$1,Data_metier!$B:$B,0))&lt; 0,-1,
IF(AND(INDEX(Data_metier!$H:$H,MATCH($A10,Data_metier!$B:$B,0))-INDEX(Data_metier!$H:$H,MATCH(X$1,Data_metier!$B:$B,0))&gt; 0,
INDEX(Data_metier!$H:$H,MATCH($A10,Data_metier!$B:$B,0))-INDEX(Data_metier!$H:$H,MATCH(X$1,Data_metier!$B:$B,0))&lt;=1),
1,
IF(INDEX(Data_metier!$H:$H,MATCH($A10,Data_metier!$B:$B,0))-INDEX(Data_metier!$H:$H,MATCH(X$1,Data_metier!$B:$B,0))&gt; 1,
2,
0)))</f>
        <v>-1</v>
      </c>
      <c r="Y10">
        <f>IF(INDEX(Data_metier!$H:$H,MATCH($A10,Data_metier!$B:$B,0))-INDEX(Data_metier!$H:$H,MATCH(Y$1,Data_metier!$B:$B,0))&lt; 0,-1,
IF(AND(INDEX(Data_metier!$H:$H,MATCH($A10,Data_metier!$B:$B,0))-INDEX(Data_metier!$H:$H,MATCH(Y$1,Data_metier!$B:$B,0))&gt; 0,
INDEX(Data_metier!$H:$H,MATCH($A10,Data_metier!$B:$B,0))-INDEX(Data_metier!$H:$H,MATCH(Y$1,Data_metier!$B:$B,0))&lt;=1),
1,
IF(INDEX(Data_metier!$H:$H,MATCH($A10,Data_metier!$B:$B,0))-INDEX(Data_metier!$H:$H,MATCH(Y$1,Data_metier!$B:$B,0))&gt; 1,
2,
0)))</f>
        <v>2</v>
      </c>
      <c r="Z10">
        <f>IF(INDEX(Data_metier!$H:$H,MATCH($A10,Data_metier!$B:$B,0))-INDEX(Data_metier!$H:$H,MATCH(Z$1,Data_metier!$B:$B,0))&lt; 0,-1,
IF(AND(INDEX(Data_metier!$H:$H,MATCH($A10,Data_metier!$B:$B,0))-INDEX(Data_metier!$H:$H,MATCH(Z$1,Data_metier!$B:$B,0))&gt; 0,
INDEX(Data_metier!$H:$H,MATCH($A10,Data_metier!$B:$B,0))-INDEX(Data_metier!$H:$H,MATCH(Z$1,Data_metier!$B:$B,0))&lt;=1),
1,
IF(INDEX(Data_metier!$H:$H,MATCH($A10,Data_metier!$B:$B,0))-INDEX(Data_metier!$H:$H,MATCH(Z$1,Data_metier!$B:$B,0))&gt; 1,
2,
0)))</f>
        <v>2</v>
      </c>
      <c r="AA10">
        <f>IF(INDEX(Data_metier!$H:$H,MATCH($A10,Data_metier!$B:$B,0))-INDEX(Data_metier!$H:$H,MATCH(AA$1,Data_metier!$B:$B,0))&lt; 0,-1,
IF(AND(INDEX(Data_metier!$H:$H,MATCH($A10,Data_metier!$B:$B,0))-INDEX(Data_metier!$H:$H,MATCH(AA$1,Data_metier!$B:$B,0))&gt; 0,
INDEX(Data_metier!$H:$H,MATCH($A10,Data_metier!$B:$B,0))-INDEX(Data_metier!$H:$H,MATCH(AA$1,Data_metier!$B:$B,0))&lt;=1),
1,
IF(INDEX(Data_metier!$H:$H,MATCH($A10,Data_metier!$B:$B,0))-INDEX(Data_metier!$H:$H,MATCH(AA$1,Data_metier!$B:$B,0))&gt; 1,
2,
0)))</f>
        <v>2</v>
      </c>
      <c r="AB10">
        <f>IF(INDEX(Data_metier!$H:$H,MATCH($A10,Data_metier!$B:$B,0))-INDEX(Data_metier!$H:$H,MATCH(AB$1,Data_metier!$B:$B,0))&lt; 0,-1,
IF(AND(INDEX(Data_metier!$H:$H,MATCH($A10,Data_metier!$B:$B,0))-INDEX(Data_metier!$H:$H,MATCH(AB$1,Data_metier!$B:$B,0))&gt; 0,
INDEX(Data_metier!$H:$H,MATCH($A10,Data_metier!$B:$B,0))-INDEX(Data_metier!$H:$H,MATCH(AB$1,Data_metier!$B:$B,0))&lt;=1),
1,
IF(INDEX(Data_metier!$H:$H,MATCH($A10,Data_metier!$B:$B,0))-INDEX(Data_metier!$H:$H,MATCH(AB$1,Data_metier!$B:$B,0))&gt; 1,
2,
0)))</f>
        <v>2</v>
      </c>
      <c r="AC10">
        <f>IF(INDEX(Data_metier!$H:$H,MATCH($A10,Data_metier!$B:$B,0))-INDEX(Data_metier!$H:$H,MATCH(AC$1,Data_metier!$B:$B,0))&lt; 0,-1,
IF(AND(INDEX(Data_metier!$H:$H,MATCH($A10,Data_metier!$B:$B,0))-INDEX(Data_metier!$H:$H,MATCH(AC$1,Data_metier!$B:$B,0))&gt; 0,
INDEX(Data_metier!$H:$H,MATCH($A10,Data_metier!$B:$B,0))-INDEX(Data_metier!$H:$H,MATCH(AC$1,Data_metier!$B:$B,0))&lt;=1),
1,
IF(INDEX(Data_metier!$H:$H,MATCH($A10,Data_metier!$B:$B,0))-INDEX(Data_metier!$H:$H,MATCH(AC$1,Data_metier!$B:$B,0))&gt; 1,
2,
0)))</f>
        <v>2</v>
      </c>
      <c r="AD10">
        <f>IF(INDEX(Data_metier!$H:$H,MATCH($A10,Data_metier!$B:$B,0))-INDEX(Data_metier!$H:$H,MATCH(AD$1,Data_metier!$B:$B,0))&lt; 0,-1,
IF(AND(INDEX(Data_metier!$H:$H,MATCH($A10,Data_metier!$B:$B,0))-INDEX(Data_metier!$H:$H,MATCH(AD$1,Data_metier!$B:$B,0))&gt; 0,
INDEX(Data_metier!$H:$H,MATCH($A10,Data_metier!$B:$B,0))-INDEX(Data_metier!$H:$H,MATCH(AD$1,Data_metier!$B:$B,0))&lt;=1),
1,
IF(INDEX(Data_metier!$H:$H,MATCH($A10,Data_metier!$B:$B,0))-INDEX(Data_metier!$H:$H,MATCH(AD$1,Data_metier!$B:$B,0))&gt; 1,
2,
0)))</f>
        <v>1</v>
      </c>
    </row>
    <row r="11" spans="1:30">
      <c r="A11" t="str">
        <v>Responsable de production de produits alimentaires (fabrication / conditionnement)</v>
      </c>
      <c r="B11">
        <f>IF(INDEX(Data_metier!$H:$H,MATCH($A11,Data_metier!$B:$B,0))-INDEX(Data_metier!$H:$H,MATCH(B$1,Data_metier!$B:$B,0))&lt; 0,-1,
IF(AND(INDEX(Data_metier!$H:$H,MATCH($A11,Data_metier!$B:$B,0))-INDEX(Data_metier!$H:$H,MATCH(B$1,Data_metier!$B:$B,0))&gt; 0,
INDEX(Data_metier!$H:$H,MATCH($A11,Data_metier!$B:$B,0))-INDEX(Data_metier!$H:$H,MATCH(B$1,Data_metier!$B:$B,0))&lt;=1),
1,
IF(INDEX(Data_metier!$H:$H,MATCH($A11,Data_metier!$B:$B,0))-INDEX(Data_metier!$H:$H,MATCH(B$1,Data_metier!$B:$B,0))&gt; 1,
2,
0)))</f>
        <v>2</v>
      </c>
      <c r="C11">
        <f>IF(INDEX(Data_metier!$H:$H,MATCH($A11,Data_metier!$B:$B,0))-INDEX(Data_metier!$H:$H,MATCH(C$1,Data_metier!$B:$B,0))&lt; 0,-1,
IF(AND(INDEX(Data_metier!$H:$H,MATCH($A11,Data_metier!$B:$B,0))-INDEX(Data_metier!$H:$H,MATCH(C$1,Data_metier!$B:$B,0))&gt; 0,
INDEX(Data_metier!$H:$H,MATCH($A11,Data_metier!$B:$B,0))-INDEX(Data_metier!$H:$H,MATCH(C$1,Data_metier!$B:$B,0))&lt;=1),
1,
IF(INDEX(Data_metier!$H:$H,MATCH($A11,Data_metier!$B:$B,0))-INDEX(Data_metier!$H:$H,MATCH(C$1,Data_metier!$B:$B,0))&gt; 1,
2,
0)))</f>
        <v>2</v>
      </c>
      <c r="D11">
        <f>IF(INDEX(Data_metier!$H:$H,MATCH($A11,Data_metier!$B:$B,0))-INDEX(Data_metier!$H:$H,MATCH(D$1,Data_metier!$B:$B,0))&lt; 0,-1,
IF(AND(INDEX(Data_metier!$H:$H,MATCH($A11,Data_metier!$B:$B,0))-INDEX(Data_metier!$H:$H,MATCH(D$1,Data_metier!$B:$B,0))&gt; 0,
INDEX(Data_metier!$H:$H,MATCH($A11,Data_metier!$B:$B,0))-INDEX(Data_metier!$H:$H,MATCH(D$1,Data_metier!$B:$B,0))&lt;=1),
1,
IF(INDEX(Data_metier!$H:$H,MATCH($A11,Data_metier!$B:$B,0))-INDEX(Data_metier!$H:$H,MATCH(D$1,Data_metier!$B:$B,0))&gt; 1,
2,
0)))</f>
        <v>2</v>
      </c>
      <c r="E11">
        <f>IF(INDEX(Data_metier!$H:$H,MATCH($A11,Data_metier!$B:$B,0))-INDEX(Data_metier!$H:$H,MATCH(E$1,Data_metier!$B:$B,0))&lt; 0,-1,
IF(AND(INDEX(Data_metier!$H:$H,MATCH($A11,Data_metier!$B:$B,0))-INDEX(Data_metier!$H:$H,MATCH(E$1,Data_metier!$B:$B,0))&gt; 0,
INDEX(Data_metier!$H:$H,MATCH($A11,Data_metier!$B:$B,0))-INDEX(Data_metier!$H:$H,MATCH(E$1,Data_metier!$B:$B,0))&lt;=1),
1,
IF(INDEX(Data_metier!$H:$H,MATCH($A11,Data_metier!$B:$B,0))-INDEX(Data_metier!$H:$H,MATCH(E$1,Data_metier!$B:$B,0))&gt; 1,
2,
0)))</f>
        <v>2</v>
      </c>
      <c r="F11">
        <f>IF(INDEX(Data_metier!$H:$H,MATCH($A11,Data_metier!$B:$B,0))-INDEX(Data_metier!$H:$H,MATCH(F$1,Data_metier!$B:$B,0))&lt; 0,-1,
IF(AND(INDEX(Data_metier!$H:$H,MATCH($A11,Data_metier!$B:$B,0))-INDEX(Data_metier!$H:$H,MATCH(F$1,Data_metier!$B:$B,0))&gt; 0,
INDEX(Data_metier!$H:$H,MATCH($A11,Data_metier!$B:$B,0))-INDEX(Data_metier!$H:$H,MATCH(F$1,Data_metier!$B:$B,0))&lt;=1),
1,
IF(INDEX(Data_metier!$H:$H,MATCH($A11,Data_metier!$B:$B,0))-INDEX(Data_metier!$H:$H,MATCH(F$1,Data_metier!$B:$B,0))&gt; 1,
2,
0)))</f>
        <v>1</v>
      </c>
      <c r="G11">
        <f>IF(INDEX(Data_metier!$H:$H,MATCH($A11,Data_metier!$B:$B,0))-INDEX(Data_metier!$H:$H,MATCH(G$1,Data_metier!$B:$B,0))&lt; 0,-1,
IF(AND(INDEX(Data_metier!$H:$H,MATCH($A11,Data_metier!$B:$B,0))-INDEX(Data_metier!$H:$H,MATCH(G$1,Data_metier!$B:$B,0))&gt; 0,
INDEX(Data_metier!$H:$H,MATCH($A11,Data_metier!$B:$B,0))-INDEX(Data_metier!$H:$H,MATCH(G$1,Data_metier!$B:$B,0))&lt;=1),
1,
IF(INDEX(Data_metier!$H:$H,MATCH($A11,Data_metier!$B:$B,0))-INDEX(Data_metier!$H:$H,MATCH(G$1,Data_metier!$B:$B,0))&gt; 1,
2,
0)))</f>
        <v>1</v>
      </c>
      <c r="H11">
        <f>IF(INDEX(Data_metier!$H:$H,MATCH($A11,Data_metier!$B:$B,0))-INDEX(Data_metier!$H:$H,MATCH(H$1,Data_metier!$B:$B,0))&lt; 0,-1,
IF(AND(INDEX(Data_metier!$H:$H,MATCH($A11,Data_metier!$B:$B,0))-INDEX(Data_metier!$H:$H,MATCH(H$1,Data_metier!$B:$B,0))&gt; 0,
INDEX(Data_metier!$H:$H,MATCH($A11,Data_metier!$B:$B,0))-INDEX(Data_metier!$H:$H,MATCH(H$1,Data_metier!$B:$B,0))&lt;=1),
1,
IF(INDEX(Data_metier!$H:$H,MATCH($A11,Data_metier!$B:$B,0))-INDEX(Data_metier!$H:$H,MATCH(H$1,Data_metier!$B:$B,0))&gt; 1,
2,
0)))</f>
        <v>1</v>
      </c>
      <c r="I11">
        <f>IF(INDEX(Data_metier!$H:$H,MATCH($A11,Data_metier!$B:$B,0))-INDEX(Data_metier!$H:$H,MATCH(I$1,Data_metier!$B:$B,0))&lt; 0,-1,
IF(AND(INDEX(Data_metier!$H:$H,MATCH($A11,Data_metier!$B:$B,0))-INDEX(Data_metier!$H:$H,MATCH(I$1,Data_metier!$B:$B,0))&gt; 0,
INDEX(Data_metier!$H:$H,MATCH($A11,Data_metier!$B:$B,0))-INDEX(Data_metier!$H:$H,MATCH(I$1,Data_metier!$B:$B,0))&lt;=1),
1,
IF(INDEX(Data_metier!$H:$H,MATCH($A11,Data_metier!$B:$B,0))-INDEX(Data_metier!$H:$H,MATCH(I$1,Data_metier!$B:$B,0))&gt; 1,
2,
0)))</f>
        <v>2</v>
      </c>
      <c r="J11">
        <f>IF(INDEX(Data_metier!$H:$H,MATCH($A11,Data_metier!$B:$B,0))-INDEX(Data_metier!$H:$H,MATCH(J$1,Data_metier!$B:$B,0))&lt; 0,-1,
IF(AND(INDEX(Data_metier!$H:$H,MATCH($A11,Data_metier!$B:$B,0))-INDEX(Data_metier!$H:$H,MATCH(J$1,Data_metier!$B:$B,0))&gt; 0,
INDEX(Data_metier!$H:$H,MATCH($A11,Data_metier!$B:$B,0))-INDEX(Data_metier!$H:$H,MATCH(J$1,Data_metier!$B:$B,0))&lt;=1),
1,
IF(INDEX(Data_metier!$H:$H,MATCH($A11,Data_metier!$B:$B,0))-INDEX(Data_metier!$H:$H,MATCH(J$1,Data_metier!$B:$B,0))&gt; 1,
2,
0)))</f>
        <v>2</v>
      </c>
      <c r="K11">
        <f>IF(INDEX(Data_metier!$H:$H,MATCH($A11,Data_metier!$B:$B,0))-INDEX(Data_metier!$H:$H,MATCH(K$1,Data_metier!$B:$B,0))&lt; 0,-1,
IF(AND(INDEX(Data_metier!$H:$H,MATCH($A11,Data_metier!$B:$B,0))-INDEX(Data_metier!$H:$H,MATCH(K$1,Data_metier!$B:$B,0))&gt; 0,
INDEX(Data_metier!$H:$H,MATCH($A11,Data_metier!$B:$B,0))-INDEX(Data_metier!$H:$H,MATCH(K$1,Data_metier!$B:$B,0))&lt;=1),
1,
IF(INDEX(Data_metier!$H:$H,MATCH($A11,Data_metier!$B:$B,0))-INDEX(Data_metier!$H:$H,MATCH(K$1,Data_metier!$B:$B,0))&gt; 1,
2,
0)))</f>
        <v>0</v>
      </c>
      <c r="L11">
        <f>IF(INDEX(Data_metier!$H:$H,MATCH($A11,Data_metier!$B:$B,0))-INDEX(Data_metier!$H:$H,MATCH(L$1,Data_metier!$B:$B,0))&lt; 0,-1,
IF(AND(INDEX(Data_metier!$H:$H,MATCH($A11,Data_metier!$B:$B,0))-INDEX(Data_metier!$H:$H,MATCH(L$1,Data_metier!$B:$B,0))&gt; 0,
INDEX(Data_metier!$H:$H,MATCH($A11,Data_metier!$B:$B,0))-INDEX(Data_metier!$H:$H,MATCH(L$1,Data_metier!$B:$B,0))&lt;=1),
1,
IF(INDEX(Data_metier!$H:$H,MATCH($A11,Data_metier!$B:$B,0))-INDEX(Data_metier!$H:$H,MATCH(L$1,Data_metier!$B:$B,0))&gt; 1,
2,
0)))</f>
        <v>2</v>
      </c>
      <c r="M11">
        <f>IF(INDEX(Data_metier!$H:$H,MATCH($A11,Data_metier!$B:$B,0))-INDEX(Data_metier!$H:$H,MATCH(M$1,Data_metier!$B:$B,0))&lt; 0,-1,
IF(AND(INDEX(Data_metier!$H:$H,MATCH($A11,Data_metier!$B:$B,0))-INDEX(Data_metier!$H:$H,MATCH(M$1,Data_metier!$B:$B,0))&gt; 0,
INDEX(Data_metier!$H:$H,MATCH($A11,Data_metier!$B:$B,0))-INDEX(Data_metier!$H:$H,MATCH(M$1,Data_metier!$B:$B,0))&lt;=1),
1,
IF(INDEX(Data_metier!$H:$H,MATCH($A11,Data_metier!$B:$B,0))-INDEX(Data_metier!$H:$H,MATCH(M$1,Data_metier!$B:$B,0))&gt; 1,
2,
0)))</f>
        <v>2</v>
      </c>
      <c r="N11">
        <f>IF(INDEX(Data_metier!$H:$H,MATCH($A11,Data_metier!$B:$B,0))-INDEX(Data_metier!$H:$H,MATCH(N$1,Data_metier!$B:$B,0))&lt; 0,-1,
IF(AND(INDEX(Data_metier!$H:$H,MATCH($A11,Data_metier!$B:$B,0))-INDEX(Data_metier!$H:$H,MATCH(N$1,Data_metier!$B:$B,0))&gt; 0,
INDEX(Data_metier!$H:$H,MATCH($A11,Data_metier!$B:$B,0))-INDEX(Data_metier!$H:$H,MATCH(N$1,Data_metier!$B:$B,0))&lt;=1),
1,
IF(INDEX(Data_metier!$H:$H,MATCH($A11,Data_metier!$B:$B,0))-INDEX(Data_metier!$H:$H,MATCH(N$1,Data_metier!$B:$B,0))&gt; 1,
2,
0)))</f>
        <v>2</v>
      </c>
      <c r="O11">
        <f>IF(INDEX(Data_metier!$H:$H,MATCH($A11,Data_metier!$B:$B,0))-INDEX(Data_metier!$H:$H,MATCH(O$1,Data_metier!$B:$B,0))&lt; 0,-1,
IF(AND(INDEX(Data_metier!$H:$H,MATCH($A11,Data_metier!$B:$B,0))-INDEX(Data_metier!$H:$H,MATCH(O$1,Data_metier!$B:$B,0))&gt; 0,
INDEX(Data_metier!$H:$H,MATCH($A11,Data_metier!$B:$B,0))-INDEX(Data_metier!$H:$H,MATCH(O$1,Data_metier!$B:$B,0))&lt;=1),
1,
IF(INDEX(Data_metier!$H:$H,MATCH($A11,Data_metier!$B:$B,0))-INDEX(Data_metier!$H:$H,MATCH(O$1,Data_metier!$B:$B,0))&gt; 1,
2,
0)))</f>
        <v>2</v>
      </c>
      <c r="P11">
        <f>IF(INDEX(Data_metier!$H:$H,MATCH($A11,Data_metier!$B:$B,0))-INDEX(Data_metier!$H:$H,MATCH(P$1,Data_metier!$B:$B,0))&lt; 0,-1,
IF(AND(INDEX(Data_metier!$H:$H,MATCH($A11,Data_metier!$B:$B,0))-INDEX(Data_metier!$H:$H,MATCH(P$1,Data_metier!$B:$B,0))&gt; 0,
INDEX(Data_metier!$H:$H,MATCH($A11,Data_metier!$B:$B,0))-INDEX(Data_metier!$H:$H,MATCH(P$1,Data_metier!$B:$B,0))&lt;=1),
1,
IF(INDEX(Data_metier!$H:$H,MATCH($A11,Data_metier!$B:$B,0))-INDEX(Data_metier!$H:$H,MATCH(P$1,Data_metier!$B:$B,0))&gt; 1,
2,
0)))</f>
        <v>2</v>
      </c>
      <c r="Q11">
        <f>IF(INDEX(Data_metier!$H:$H,MATCH($A11,Data_metier!$B:$B,0))-INDEX(Data_metier!$H:$H,MATCH(Q$1,Data_metier!$B:$B,0))&lt; 0,-1,
IF(AND(INDEX(Data_metier!$H:$H,MATCH($A11,Data_metier!$B:$B,0))-INDEX(Data_metier!$H:$H,MATCH(Q$1,Data_metier!$B:$B,0))&gt; 0,
INDEX(Data_metier!$H:$H,MATCH($A11,Data_metier!$B:$B,0))-INDEX(Data_metier!$H:$H,MATCH(Q$1,Data_metier!$B:$B,0))&lt;=1),
1,
IF(INDEX(Data_metier!$H:$H,MATCH($A11,Data_metier!$B:$B,0))-INDEX(Data_metier!$H:$H,MATCH(Q$1,Data_metier!$B:$B,0))&gt; 1,
2,
0)))</f>
        <v>2</v>
      </c>
      <c r="R11">
        <f>IF(INDEX(Data_metier!$H:$H,MATCH($A11,Data_metier!$B:$B,0))-INDEX(Data_metier!$H:$H,MATCH(R$1,Data_metier!$B:$B,0))&lt; 0,-1,
IF(AND(INDEX(Data_metier!$H:$H,MATCH($A11,Data_metier!$B:$B,0))-INDEX(Data_metier!$H:$H,MATCH(R$1,Data_metier!$B:$B,0))&gt; 0,
INDEX(Data_metier!$H:$H,MATCH($A11,Data_metier!$B:$B,0))-INDEX(Data_metier!$H:$H,MATCH(R$1,Data_metier!$B:$B,0))&lt;=1),
1,
IF(INDEX(Data_metier!$H:$H,MATCH($A11,Data_metier!$B:$B,0))-INDEX(Data_metier!$H:$H,MATCH(R$1,Data_metier!$B:$B,0))&gt; 1,
2,
0)))</f>
        <v>1</v>
      </c>
      <c r="S11">
        <f>IF(INDEX(Data_metier!$H:$H,MATCH($A11,Data_metier!$B:$B,0))-INDEX(Data_metier!$H:$H,MATCH(S$1,Data_metier!$B:$B,0))&lt; 0,-1,
IF(AND(INDEX(Data_metier!$H:$H,MATCH($A11,Data_metier!$B:$B,0))-INDEX(Data_metier!$H:$H,MATCH(S$1,Data_metier!$B:$B,0))&gt; 0,
INDEX(Data_metier!$H:$H,MATCH($A11,Data_metier!$B:$B,0))-INDEX(Data_metier!$H:$H,MATCH(S$1,Data_metier!$B:$B,0))&lt;=1),
1,
IF(INDEX(Data_metier!$H:$H,MATCH($A11,Data_metier!$B:$B,0))-INDEX(Data_metier!$H:$H,MATCH(S$1,Data_metier!$B:$B,0))&gt; 1,
2,
0)))</f>
        <v>2</v>
      </c>
      <c r="T11">
        <f>IF(INDEX(Data_metier!$H:$H,MATCH($A11,Data_metier!$B:$B,0))-INDEX(Data_metier!$H:$H,MATCH(T$1,Data_metier!$B:$B,0))&lt; 0,-1,
IF(AND(INDEX(Data_metier!$H:$H,MATCH($A11,Data_metier!$B:$B,0))-INDEX(Data_metier!$H:$H,MATCH(T$1,Data_metier!$B:$B,0))&gt; 0,
INDEX(Data_metier!$H:$H,MATCH($A11,Data_metier!$B:$B,0))-INDEX(Data_metier!$H:$H,MATCH(T$1,Data_metier!$B:$B,0))&lt;=1),
1,
IF(INDEX(Data_metier!$H:$H,MATCH($A11,Data_metier!$B:$B,0))-INDEX(Data_metier!$H:$H,MATCH(T$1,Data_metier!$B:$B,0))&gt; 1,
2,
0)))</f>
        <v>2</v>
      </c>
      <c r="U11">
        <f>IF(INDEX(Data_metier!$H:$H,MATCH($A11,Data_metier!$B:$B,0))-INDEX(Data_metier!$H:$H,MATCH(U$1,Data_metier!$B:$B,0))&lt; 0,-1,
IF(AND(INDEX(Data_metier!$H:$H,MATCH($A11,Data_metier!$B:$B,0))-INDEX(Data_metier!$H:$H,MATCH(U$1,Data_metier!$B:$B,0))&gt; 0,
INDEX(Data_metier!$H:$H,MATCH($A11,Data_metier!$B:$B,0))-INDEX(Data_metier!$H:$H,MATCH(U$1,Data_metier!$B:$B,0))&lt;=1),
1,
IF(INDEX(Data_metier!$H:$H,MATCH($A11,Data_metier!$B:$B,0))-INDEX(Data_metier!$H:$H,MATCH(U$1,Data_metier!$B:$B,0))&gt; 1,
2,
0)))</f>
        <v>2</v>
      </c>
      <c r="V11">
        <f>IF(INDEX(Data_metier!$H:$H,MATCH($A11,Data_metier!$B:$B,0))-INDEX(Data_metier!$H:$H,MATCH(V$1,Data_metier!$B:$B,0))&lt; 0,-1,
IF(AND(INDEX(Data_metier!$H:$H,MATCH($A11,Data_metier!$B:$B,0))-INDEX(Data_metier!$H:$H,MATCH(V$1,Data_metier!$B:$B,0))&gt; 0,
INDEX(Data_metier!$H:$H,MATCH($A11,Data_metier!$B:$B,0))-INDEX(Data_metier!$H:$H,MATCH(V$1,Data_metier!$B:$B,0))&lt;=1),
1,
IF(INDEX(Data_metier!$H:$H,MATCH($A11,Data_metier!$B:$B,0))-INDEX(Data_metier!$H:$H,MATCH(V$1,Data_metier!$B:$B,0))&gt; 1,
2,
0)))</f>
        <v>2</v>
      </c>
      <c r="W11">
        <f>IF(INDEX(Data_metier!$H:$H,MATCH($A11,Data_metier!$B:$B,0))-INDEX(Data_metier!$H:$H,MATCH(W$1,Data_metier!$B:$B,0))&lt; 0,-1,
IF(AND(INDEX(Data_metier!$H:$H,MATCH($A11,Data_metier!$B:$B,0))-INDEX(Data_metier!$H:$H,MATCH(W$1,Data_metier!$B:$B,0))&gt; 0,
INDEX(Data_metier!$H:$H,MATCH($A11,Data_metier!$B:$B,0))-INDEX(Data_metier!$H:$H,MATCH(W$1,Data_metier!$B:$B,0))&lt;=1),
1,
IF(INDEX(Data_metier!$H:$H,MATCH($A11,Data_metier!$B:$B,0))-INDEX(Data_metier!$H:$H,MATCH(W$1,Data_metier!$B:$B,0))&gt; 1,
2,
0)))</f>
        <v>2</v>
      </c>
      <c r="X11">
        <f>IF(INDEX(Data_metier!$H:$H,MATCH($A11,Data_metier!$B:$B,0))-INDEX(Data_metier!$H:$H,MATCH(X$1,Data_metier!$B:$B,0))&lt; 0,-1,
IF(AND(INDEX(Data_metier!$H:$H,MATCH($A11,Data_metier!$B:$B,0))-INDEX(Data_metier!$H:$H,MATCH(X$1,Data_metier!$B:$B,0))&gt; 0,
INDEX(Data_metier!$H:$H,MATCH($A11,Data_metier!$B:$B,0))-INDEX(Data_metier!$H:$H,MATCH(X$1,Data_metier!$B:$B,0))&lt;=1),
1,
IF(INDEX(Data_metier!$H:$H,MATCH($A11,Data_metier!$B:$B,0))-INDEX(Data_metier!$H:$H,MATCH(X$1,Data_metier!$B:$B,0))&gt; 1,
2,
0)))</f>
        <v>1</v>
      </c>
      <c r="Y11">
        <f>IF(INDEX(Data_metier!$H:$H,MATCH($A11,Data_metier!$B:$B,0))-INDEX(Data_metier!$H:$H,MATCH(Y$1,Data_metier!$B:$B,0))&lt; 0,-1,
IF(AND(INDEX(Data_metier!$H:$H,MATCH($A11,Data_metier!$B:$B,0))-INDEX(Data_metier!$H:$H,MATCH(Y$1,Data_metier!$B:$B,0))&gt; 0,
INDEX(Data_metier!$H:$H,MATCH($A11,Data_metier!$B:$B,0))-INDEX(Data_metier!$H:$H,MATCH(Y$1,Data_metier!$B:$B,0))&lt;=1),
1,
IF(INDEX(Data_metier!$H:$H,MATCH($A11,Data_metier!$B:$B,0))-INDEX(Data_metier!$H:$H,MATCH(Y$1,Data_metier!$B:$B,0))&gt; 1,
2,
0)))</f>
        <v>2</v>
      </c>
      <c r="Z11">
        <f>IF(INDEX(Data_metier!$H:$H,MATCH($A11,Data_metier!$B:$B,0))-INDEX(Data_metier!$H:$H,MATCH(Z$1,Data_metier!$B:$B,0))&lt; 0,-1,
IF(AND(INDEX(Data_metier!$H:$H,MATCH($A11,Data_metier!$B:$B,0))-INDEX(Data_metier!$H:$H,MATCH(Z$1,Data_metier!$B:$B,0))&gt; 0,
INDEX(Data_metier!$H:$H,MATCH($A11,Data_metier!$B:$B,0))-INDEX(Data_metier!$H:$H,MATCH(Z$1,Data_metier!$B:$B,0))&lt;=1),
1,
IF(INDEX(Data_metier!$H:$H,MATCH($A11,Data_metier!$B:$B,0))-INDEX(Data_metier!$H:$H,MATCH(Z$1,Data_metier!$B:$B,0))&gt; 1,
2,
0)))</f>
        <v>2</v>
      </c>
      <c r="AA11">
        <f>IF(INDEX(Data_metier!$H:$H,MATCH($A11,Data_metier!$B:$B,0))-INDEX(Data_metier!$H:$H,MATCH(AA$1,Data_metier!$B:$B,0))&lt; 0,-1,
IF(AND(INDEX(Data_metier!$H:$H,MATCH($A11,Data_metier!$B:$B,0))-INDEX(Data_metier!$H:$H,MATCH(AA$1,Data_metier!$B:$B,0))&gt; 0,
INDEX(Data_metier!$H:$H,MATCH($A11,Data_metier!$B:$B,0))-INDEX(Data_metier!$H:$H,MATCH(AA$1,Data_metier!$B:$B,0))&lt;=1),
1,
IF(INDEX(Data_metier!$H:$H,MATCH($A11,Data_metier!$B:$B,0))-INDEX(Data_metier!$H:$H,MATCH(AA$1,Data_metier!$B:$B,0))&gt; 1,
2,
0)))</f>
        <v>2</v>
      </c>
      <c r="AB11">
        <f>IF(INDEX(Data_metier!$H:$H,MATCH($A11,Data_metier!$B:$B,0))-INDEX(Data_metier!$H:$H,MATCH(AB$1,Data_metier!$B:$B,0))&lt; 0,-1,
IF(AND(INDEX(Data_metier!$H:$H,MATCH($A11,Data_metier!$B:$B,0))-INDEX(Data_metier!$H:$H,MATCH(AB$1,Data_metier!$B:$B,0))&gt; 0,
INDEX(Data_metier!$H:$H,MATCH($A11,Data_metier!$B:$B,0))-INDEX(Data_metier!$H:$H,MATCH(AB$1,Data_metier!$B:$B,0))&lt;=1),
1,
IF(INDEX(Data_metier!$H:$H,MATCH($A11,Data_metier!$B:$B,0))-INDEX(Data_metier!$H:$H,MATCH(AB$1,Data_metier!$B:$B,0))&gt; 1,
2,
0)))</f>
        <v>2</v>
      </c>
      <c r="AC11">
        <f>IF(INDEX(Data_metier!$H:$H,MATCH($A11,Data_metier!$B:$B,0))-INDEX(Data_metier!$H:$H,MATCH(AC$1,Data_metier!$B:$B,0))&lt; 0,-1,
IF(AND(INDEX(Data_metier!$H:$H,MATCH($A11,Data_metier!$B:$B,0))-INDEX(Data_metier!$H:$H,MATCH(AC$1,Data_metier!$B:$B,0))&gt; 0,
INDEX(Data_metier!$H:$H,MATCH($A11,Data_metier!$B:$B,0))-INDEX(Data_metier!$H:$H,MATCH(AC$1,Data_metier!$B:$B,0))&lt;=1),
1,
IF(INDEX(Data_metier!$H:$H,MATCH($A11,Data_metier!$B:$B,0))-INDEX(Data_metier!$H:$H,MATCH(AC$1,Data_metier!$B:$B,0))&gt; 1,
2,
0)))</f>
        <v>2</v>
      </c>
      <c r="AD11">
        <f>IF(INDEX(Data_metier!$H:$H,MATCH($A11,Data_metier!$B:$B,0))-INDEX(Data_metier!$H:$H,MATCH(AD$1,Data_metier!$B:$B,0))&lt; 0,-1,
IF(AND(INDEX(Data_metier!$H:$H,MATCH($A11,Data_metier!$B:$B,0))-INDEX(Data_metier!$H:$H,MATCH(AD$1,Data_metier!$B:$B,0))&gt; 0,
INDEX(Data_metier!$H:$H,MATCH($A11,Data_metier!$B:$B,0))-INDEX(Data_metier!$H:$H,MATCH(AD$1,Data_metier!$B:$B,0))&lt;=1),
1,
IF(INDEX(Data_metier!$H:$H,MATCH($A11,Data_metier!$B:$B,0))-INDEX(Data_metier!$H:$H,MATCH(AD$1,Data_metier!$B:$B,0))&gt; 1,
2,
0)))</f>
        <v>2</v>
      </c>
    </row>
    <row r="12" spans="1:30">
      <c r="A12" t="str">
        <v>Chauffeur(se) livreur(se)</v>
      </c>
      <c r="B12">
        <f>IF(INDEX(Data_metier!$H:$H,MATCH($A12,Data_metier!$B:$B,0))-INDEX(Data_metier!$H:$H,MATCH(B$1,Data_metier!$B:$B,0))&lt; 0,-1,
IF(AND(INDEX(Data_metier!$H:$H,MATCH($A12,Data_metier!$B:$B,0))-INDEX(Data_metier!$H:$H,MATCH(B$1,Data_metier!$B:$B,0))&gt; 0,
INDEX(Data_metier!$H:$H,MATCH($A12,Data_metier!$B:$B,0))-INDEX(Data_metier!$H:$H,MATCH(B$1,Data_metier!$B:$B,0))&lt;=1),
1,
IF(INDEX(Data_metier!$H:$H,MATCH($A12,Data_metier!$B:$B,0))-INDEX(Data_metier!$H:$H,MATCH(B$1,Data_metier!$B:$B,0))&gt; 1,
2,
0)))</f>
        <v>-1</v>
      </c>
      <c r="C12">
        <f>IF(INDEX(Data_metier!$H:$H,MATCH($A12,Data_metier!$B:$B,0))-INDEX(Data_metier!$H:$H,MATCH(C$1,Data_metier!$B:$B,0))&lt; 0,-1,
IF(AND(INDEX(Data_metier!$H:$H,MATCH($A12,Data_metier!$B:$B,0))-INDEX(Data_metier!$H:$H,MATCH(C$1,Data_metier!$B:$B,0))&gt; 0,
INDEX(Data_metier!$H:$H,MATCH($A12,Data_metier!$B:$B,0))-INDEX(Data_metier!$H:$H,MATCH(C$1,Data_metier!$B:$B,0))&lt;=1),
1,
IF(INDEX(Data_metier!$H:$H,MATCH($A12,Data_metier!$B:$B,0))-INDEX(Data_metier!$H:$H,MATCH(C$1,Data_metier!$B:$B,0))&gt; 1,
2,
0)))</f>
        <v>-1</v>
      </c>
      <c r="D12">
        <f>IF(INDEX(Data_metier!$H:$H,MATCH($A12,Data_metier!$B:$B,0))-INDEX(Data_metier!$H:$H,MATCH(D$1,Data_metier!$B:$B,0))&lt; 0,-1,
IF(AND(INDEX(Data_metier!$H:$H,MATCH($A12,Data_metier!$B:$B,0))-INDEX(Data_metier!$H:$H,MATCH(D$1,Data_metier!$B:$B,0))&gt; 0,
INDEX(Data_metier!$H:$H,MATCH($A12,Data_metier!$B:$B,0))-INDEX(Data_metier!$H:$H,MATCH(D$1,Data_metier!$B:$B,0))&lt;=1),
1,
IF(INDEX(Data_metier!$H:$H,MATCH($A12,Data_metier!$B:$B,0))-INDEX(Data_metier!$H:$H,MATCH(D$1,Data_metier!$B:$B,0))&gt; 1,
2,
0)))</f>
        <v>0</v>
      </c>
      <c r="E12">
        <f>IF(INDEX(Data_metier!$H:$H,MATCH($A12,Data_metier!$B:$B,0))-INDEX(Data_metier!$H:$H,MATCH(E$1,Data_metier!$B:$B,0))&lt; 0,-1,
IF(AND(INDEX(Data_metier!$H:$H,MATCH($A12,Data_metier!$B:$B,0))-INDEX(Data_metier!$H:$H,MATCH(E$1,Data_metier!$B:$B,0))&gt; 0,
INDEX(Data_metier!$H:$H,MATCH($A12,Data_metier!$B:$B,0))-INDEX(Data_metier!$H:$H,MATCH(E$1,Data_metier!$B:$B,0))&lt;=1),
1,
IF(INDEX(Data_metier!$H:$H,MATCH($A12,Data_metier!$B:$B,0))-INDEX(Data_metier!$H:$H,MATCH(E$1,Data_metier!$B:$B,0))&gt; 1,
2,
0)))</f>
        <v>-1</v>
      </c>
      <c r="F12">
        <f>IF(INDEX(Data_metier!$H:$H,MATCH($A12,Data_metier!$B:$B,0))-INDEX(Data_metier!$H:$H,MATCH(F$1,Data_metier!$B:$B,0))&lt; 0,-1,
IF(AND(INDEX(Data_metier!$H:$H,MATCH($A12,Data_metier!$B:$B,0))-INDEX(Data_metier!$H:$H,MATCH(F$1,Data_metier!$B:$B,0))&gt; 0,
INDEX(Data_metier!$H:$H,MATCH($A12,Data_metier!$B:$B,0))-INDEX(Data_metier!$H:$H,MATCH(F$1,Data_metier!$B:$B,0))&lt;=1),
1,
IF(INDEX(Data_metier!$H:$H,MATCH($A12,Data_metier!$B:$B,0))-INDEX(Data_metier!$H:$H,MATCH(F$1,Data_metier!$B:$B,0))&gt; 1,
2,
0)))</f>
        <v>-1</v>
      </c>
      <c r="G12">
        <f>IF(INDEX(Data_metier!$H:$H,MATCH($A12,Data_metier!$B:$B,0))-INDEX(Data_metier!$H:$H,MATCH(G$1,Data_metier!$B:$B,0))&lt; 0,-1,
IF(AND(INDEX(Data_metier!$H:$H,MATCH($A12,Data_metier!$B:$B,0))-INDEX(Data_metier!$H:$H,MATCH(G$1,Data_metier!$B:$B,0))&gt; 0,
INDEX(Data_metier!$H:$H,MATCH($A12,Data_metier!$B:$B,0))-INDEX(Data_metier!$H:$H,MATCH(G$1,Data_metier!$B:$B,0))&lt;=1),
1,
IF(INDEX(Data_metier!$H:$H,MATCH($A12,Data_metier!$B:$B,0))-INDEX(Data_metier!$H:$H,MATCH(G$1,Data_metier!$B:$B,0))&gt; 1,
2,
0)))</f>
        <v>-1</v>
      </c>
      <c r="H12">
        <f>IF(INDEX(Data_metier!$H:$H,MATCH($A12,Data_metier!$B:$B,0))-INDEX(Data_metier!$H:$H,MATCH(H$1,Data_metier!$B:$B,0))&lt; 0,-1,
IF(AND(INDEX(Data_metier!$H:$H,MATCH($A12,Data_metier!$B:$B,0))-INDEX(Data_metier!$H:$H,MATCH(H$1,Data_metier!$B:$B,0))&gt; 0,
INDEX(Data_metier!$H:$H,MATCH($A12,Data_metier!$B:$B,0))-INDEX(Data_metier!$H:$H,MATCH(H$1,Data_metier!$B:$B,0))&lt;=1),
1,
IF(INDEX(Data_metier!$H:$H,MATCH($A12,Data_metier!$B:$B,0))-INDEX(Data_metier!$H:$H,MATCH(H$1,Data_metier!$B:$B,0))&gt; 1,
2,
0)))</f>
        <v>-1</v>
      </c>
      <c r="I12">
        <f>IF(INDEX(Data_metier!$H:$H,MATCH($A12,Data_metier!$B:$B,0))-INDEX(Data_metier!$H:$H,MATCH(I$1,Data_metier!$B:$B,0))&lt; 0,-1,
IF(AND(INDEX(Data_metier!$H:$H,MATCH($A12,Data_metier!$B:$B,0))-INDEX(Data_metier!$H:$H,MATCH(I$1,Data_metier!$B:$B,0))&gt; 0,
INDEX(Data_metier!$H:$H,MATCH($A12,Data_metier!$B:$B,0))-INDEX(Data_metier!$H:$H,MATCH(I$1,Data_metier!$B:$B,0))&lt;=1),
1,
IF(INDEX(Data_metier!$H:$H,MATCH($A12,Data_metier!$B:$B,0))-INDEX(Data_metier!$H:$H,MATCH(I$1,Data_metier!$B:$B,0))&gt; 1,
2,
0)))</f>
        <v>0</v>
      </c>
      <c r="J12">
        <f>IF(INDEX(Data_metier!$H:$H,MATCH($A12,Data_metier!$B:$B,0))-INDEX(Data_metier!$H:$H,MATCH(J$1,Data_metier!$B:$B,0))&lt; 0,-1,
IF(AND(INDEX(Data_metier!$H:$H,MATCH($A12,Data_metier!$B:$B,0))-INDEX(Data_metier!$H:$H,MATCH(J$1,Data_metier!$B:$B,0))&gt; 0,
INDEX(Data_metier!$H:$H,MATCH($A12,Data_metier!$B:$B,0))-INDEX(Data_metier!$H:$H,MATCH(J$1,Data_metier!$B:$B,0))&lt;=1),
1,
IF(INDEX(Data_metier!$H:$H,MATCH($A12,Data_metier!$B:$B,0))-INDEX(Data_metier!$H:$H,MATCH(J$1,Data_metier!$B:$B,0))&gt; 1,
2,
0)))</f>
        <v>-1</v>
      </c>
      <c r="K12">
        <f>IF(INDEX(Data_metier!$H:$H,MATCH($A12,Data_metier!$B:$B,0))-INDEX(Data_metier!$H:$H,MATCH(K$1,Data_metier!$B:$B,0))&lt; 0,-1,
IF(AND(INDEX(Data_metier!$H:$H,MATCH($A12,Data_metier!$B:$B,0))-INDEX(Data_metier!$H:$H,MATCH(K$1,Data_metier!$B:$B,0))&gt; 0,
INDEX(Data_metier!$H:$H,MATCH($A12,Data_metier!$B:$B,0))-INDEX(Data_metier!$H:$H,MATCH(K$1,Data_metier!$B:$B,0))&lt;=1),
1,
IF(INDEX(Data_metier!$H:$H,MATCH($A12,Data_metier!$B:$B,0))-INDEX(Data_metier!$H:$H,MATCH(K$1,Data_metier!$B:$B,0))&gt; 1,
2,
0)))</f>
        <v>-1</v>
      </c>
      <c r="L12">
        <f>IF(INDEX(Data_metier!$H:$H,MATCH($A12,Data_metier!$B:$B,0))-INDEX(Data_metier!$H:$H,MATCH(L$1,Data_metier!$B:$B,0))&lt; 0,-1,
IF(AND(INDEX(Data_metier!$H:$H,MATCH($A12,Data_metier!$B:$B,0))-INDEX(Data_metier!$H:$H,MATCH(L$1,Data_metier!$B:$B,0))&gt; 0,
INDEX(Data_metier!$H:$H,MATCH($A12,Data_metier!$B:$B,0))-INDEX(Data_metier!$H:$H,MATCH(L$1,Data_metier!$B:$B,0))&lt;=1),
1,
IF(INDEX(Data_metier!$H:$H,MATCH($A12,Data_metier!$B:$B,0))-INDEX(Data_metier!$H:$H,MATCH(L$1,Data_metier!$B:$B,0))&gt; 1,
2,
0)))</f>
        <v>0</v>
      </c>
      <c r="M12">
        <f>IF(INDEX(Data_metier!$H:$H,MATCH($A12,Data_metier!$B:$B,0))-INDEX(Data_metier!$H:$H,MATCH(M$1,Data_metier!$B:$B,0))&lt; 0,-1,
IF(AND(INDEX(Data_metier!$H:$H,MATCH($A12,Data_metier!$B:$B,0))-INDEX(Data_metier!$H:$H,MATCH(M$1,Data_metier!$B:$B,0))&gt; 0,
INDEX(Data_metier!$H:$H,MATCH($A12,Data_metier!$B:$B,0))-INDEX(Data_metier!$H:$H,MATCH(M$1,Data_metier!$B:$B,0))&lt;=1),
1,
IF(INDEX(Data_metier!$H:$H,MATCH($A12,Data_metier!$B:$B,0))-INDEX(Data_metier!$H:$H,MATCH(M$1,Data_metier!$B:$B,0))&gt; 1,
2,
0)))</f>
        <v>-1</v>
      </c>
      <c r="N12">
        <f>IF(INDEX(Data_metier!$H:$H,MATCH($A12,Data_metier!$B:$B,0))-INDEX(Data_metier!$H:$H,MATCH(N$1,Data_metier!$B:$B,0))&lt; 0,-1,
IF(AND(INDEX(Data_metier!$H:$H,MATCH($A12,Data_metier!$B:$B,0))-INDEX(Data_metier!$H:$H,MATCH(N$1,Data_metier!$B:$B,0))&gt; 0,
INDEX(Data_metier!$H:$H,MATCH($A12,Data_metier!$B:$B,0))-INDEX(Data_metier!$H:$H,MATCH(N$1,Data_metier!$B:$B,0))&lt;=1),
1,
IF(INDEX(Data_metier!$H:$H,MATCH($A12,Data_metier!$B:$B,0))-INDEX(Data_metier!$H:$H,MATCH(N$1,Data_metier!$B:$B,0))&gt; 1,
2,
0)))</f>
        <v>-1</v>
      </c>
      <c r="O12">
        <f>IF(INDEX(Data_metier!$H:$H,MATCH($A12,Data_metier!$B:$B,0))-INDEX(Data_metier!$H:$H,MATCH(O$1,Data_metier!$B:$B,0))&lt; 0,-1,
IF(AND(INDEX(Data_metier!$H:$H,MATCH($A12,Data_metier!$B:$B,0))-INDEX(Data_metier!$H:$H,MATCH(O$1,Data_metier!$B:$B,0))&gt; 0,
INDEX(Data_metier!$H:$H,MATCH($A12,Data_metier!$B:$B,0))-INDEX(Data_metier!$H:$H,MATCH(O$1,Data_metier!$B:$B,0))&lt;=1),
1,
IF(INDEX(Data_metier!$H:$H,MATCH($A12,Data_metier!$B:$B,0))-INDEX(Data_metier!$H:$H,MATCH(O$1,Data_metier!$B:$B,0))&gt; 1,
2,
0)))</f>
        <v>0</v>
      </c>
      <c r="P12">
        <f>IF(INDEX(Data_metier!$H:$H,MATCH($A12,Data_metier!$B:$B,0))-INDEX(Data_metier!$H:$H,MATCH(P$1,Data_metier!$B:$B,0))&lt; 0,-1,
IF(AND(INDEX(Data_metier!$H:$H,MATCH($A12,Data_metier!$B:$B,0))-INDEX(Data_metier!$H:$H,MATCH(P$1,Data_metier!$B:$B,0))&gt; 0,
INDEX(Data_metier!$H:$H,MATCH($A12,Data_metier!$B:$B,0))-INDEX(Data_metier!$H:$H,MATCH(P$1,Data_metier!$B:$B,0))&lt;=1),
1,
IF(INDEX(Data_metier!$H:$H,MATCH($A12,Data_metier!$B:$B,0))-INDEX(Data_metier!$H:$H,MATCH(P$1,Data_metier!$B:$B,0))&gt; 1,
2,
0)))</f>
        <v>0</v>
      </c>
      <c r="Q12">
        <f>IF(INDEX(Data_metier!$H:$H,MATCH($A12,Data_metier!$B:$B,0))-INDEX(Data_metier!$H:$H,MATCH(Q$1,Data_metier!$B:$B,0))&lt; 0,-1,
IF(AND(INDEX(Data_metier!$H:$H,MATCH($A12,Data_metier!$B:$B,0))-INDEX(Data_metier!$H:$H,MATCH(Q$1,Data_metier!$B:$B,0))&gt; 0,
INDEX(Data_metier!$H:$H,MATCH($A12,Data_metier!$B:$B,0))-INDEX(Data_metier!$H:$H,MATCH(Q$1,Data_metier!$B:$B,0))&lt;=1),
1,
IF(INDEX(Data_metier!$H:$H,MATCH($A12,Data_metier!$B:$B,0))-INDEX(Data_metier!$H:$H,MATCH(Q$1,Data_metier!$B:$B,0))&gt; 1,
2,
0)))</f>
        <v>-1</v>
      </c>
      <c r="R12">
        <f>IF(INDEX(Data_metier!$H:$H,MATCH($A12,Data_metier!$B:$B,0))-INDEX(Data_metier!$H:$H,MATCH(R$1,Data_metier!$B:$B,0))&lt; 0,-1,
IF(AND(INDEX(Data_metier!$H:$H,MATCH($A12,Data_metier!$B:$B,0))-INDEX(Data_metier!$H:$H,MATCH(R$1,Data_metier!$B:$B,0))&gt; 0,
INDEX(Data_metier!$H:$H,MATCH($A12,Data_metier!$B:$B,0))-INDEX(Data_metier!$H:$H,MATCH(R$1,Data_metier!$B:$B,0))&lt;=1),
1,
IF(INDEX(Data_metier!$H:$H,MATCH($A12,Data_metier!$B:$B,0))-INDEX(Data_metier!$H:$H,MATCH(R$1,Data_metier!$B:$B,0))&gt; 1,
2,
0)))</f>
        <v>-1</v>
      </c>
      <c r="S12">
        <f>IF(INDEX(Data_metier!$H:$H,MATCH($A12,Data_metier!$B:$B,0))-INDEX(Data_metier!$H:$H,MATCH(S$1,Data_metier!$B:$B,0))&lt; 0,-1,
IF(AND(INDEX(Data_metier!$H:$H,MATCH($A12,Data_metier!$B:$B,0))-INDEX(Data_metier!$H:$H,MATCH(S$1,Data_metier!$B:$B,0))&gt; 0,
INDEX(Data_metier!$H:$H,MATCH($A12,Data_metier!$B:$B,0))-INDEX(Data_metier!$H:$H,MATCH(S$1,Data_metier!$B:$B,0))&lt;=1),
1,
IF(INDEX(Data_metier!$H:$H,MATCH($A12,Data_metier!$B:$B,0))-INDEX(Data_metier!$H:$H,MATCH(S$1,Data_metier!$B:$B,0))&gt; 1,
2,
0)))</f>
        <v>0</v>
      </c>
      <c r="T12">
        <f>IF(INDEX(Data_metier!$H:$H,MATCH($A12,Data_metier!$B:$B,0))-INDEX(Data_metier!$H:$H,MATCH(T$1,Data_metier!$B:$B,0))&lt; 0,-1,
IF(AND(INDEX(Data_metier!$H:$H,MATCH($A12,Data_metier!$B:$B,0))-INDEX(Data_metier!$H:$H,MATCH(T$1,Data_metier!$B:$B,0))&gt; 0,
INDEX(Data_metier!$H:$H,MATCH($A12,Data_metier!$B:$B,0))-INDEX(Data_metier!$H:$H,MATCH(T$1,Data_metier!$B:$B,0))&lt;=1),
1,
IF(INDEX(Data_metier!$H:$H,MATCH($A12,Data_metier!$B:$B,0))-INDEX(Data_metier!$H:$H,MATCH(T$1,Data_metier!$B:$B,0))&gt; 1,
2,
0)))</f>
        <v>0</v>
      </c>
      <c r="U12">
        <f>IF(INDEX(Data_metier!$H:$H,MATCH($A12,Data_metier!$B:$B,0))-INDEX(Data_metier!$H:$H,MATCH(U$1,Data_metier!$B:$B,0))&lt; 0,-1,
IF(AND(INDEX(Data_metier!$H:$H,MATCH($A12,Data_metier!$B:$B,0))-INDEX(Data_metier!$H:$H,MATCH(U$1,Data_metier!$B:$B,0))&gt; 0,
INDEX(Data_metier!$H:$H,MATCH($A12,Data_metier!$B:$B,0))-INDEX(Data_metier!$H:$H,MATCH(U$1,Data_metier!$B:$B,0))&lt;=1),
1,
IF(INDEX(Data_metier!$H:$H,MATCH($A12,Data_metier!$B:$B,0))-INDEX(Data_metier!$H:$H,MATCH(U$1,Data_metier!$B:$B,0))&gt; 1,
2,
0)))</f>
        <v>0</v>
      </c>
      <c r="V12">
        <f>IF(INDEX(Data_metier!$H:$H,MATCH($A12,Data_metier!$B:$B,0))-INDEX(Data_metier!$H:$H,MATCH(V$1,Data_metier!$B:$B,0))&lt; 0,-1,
IF(AND(INDEX(Data_metier!$H:$H,MATCH($A12,Data_metier!$B:$B,0))-INDEX(Data_metier!$H:$H,MATCH(V$1,Data_metier!$B:$B,0))&gt; 0,
INDEX(Data_metier!$H:$H,MATCH($A12,Data_metier!$B:$B,0))-INDEX(Data_metier!$H:$H,MATCH(V$1,Data_metier!$B:$B,0))&lt;=1),
1,
IF(INDEX(Data_metier!$H:$H,MATCH($A12,Data_metier!$B:$B,0))-INDEX(Data_metier!$H:$H,MATCH(V$1,Data_metier!$B:$B,0))&gt; 1,
2,
0)))</f>
        <v>-1</v>
      </c>
      <c r="W12">
        <f>IF(INDEX(Data_metier!$H:$H,MATCH($A12,Data_metier!$B:$B,0))-INDEX(Data_metier!$H:$H,MATCH(W$1,Data_metier!$B:$B,0))&lt; 0,-1,
IF(AND(INDEX(Data_metier!$H:$H,MATCH($A12,Data_metier!$B:$B,0))-INDEX(Data_metier!$H:$H,MATCH(W$1,Data_metier!$B:$B,0))&gt; 0,
INDEX(Data_metier!$H:$H,MATCH($A12,Data_metier!$B:$B,0))-INDEX(Data_metier!$H:$H,MATCH(W$1,Data_metier!$B:$B,0))&lt;=1),
1,
IF(INDEX(Data_metier!$H:$H,MATCH($A12,Data_metier!$B:$B,0))-INDEX(Data_metier!$H:$H,MATCH(W$1,Data_metier!$B:$B,0))&gt; 1,
2,
0)))</f>
        <v>-1</v>
      </c>
      <c r="X12">
        <f>IF(INDEX(Data_metier!$H:$H,MATCH($A12,Data_metier!$B:$B,0))-INDEX(Data_metier!$H:$H,MATCH(X$1,Data_metier!$B:$B,0))&lt; 0,-1,
IF(AND(INDEX(Data_metier!$H:$H,MATCH($A12,Data_metier!$B:$B,0))-INDEX(Data_metier!$H:$H,MATCH(X$1,Data_metier!$B:$B,0))&gt; 0,
INDEX(Data_metier!$H:$H,MATCH($A12,Data_metier!$B:$B,0))-INDEX(Data_metier!$H:$H,MATCH(X$1,Data_metier!$B:$B,0))&lt;=1),
1,
IF(INDEX(Data_metier!$H:$H,MATCH($A12,Data_metier!$B:$B,0))-INDEX(Data_metier!$H:$H,MATCH(X$1,Data_metier!$B:$B,0))&gt; 1,
2,
0)))</f>
        <v>-1</v>
      </c>
      <c r="Y12">
        <f>IF(INDEX(Data_metier!$H:$H,MATCH($A12,Data_metier!$B:$B,0))-INDEX(Data_metier!$H:$H,MATCH(Y$1,Data_metier!$B:$B,0))&lt; 0,-1,
IF(AND(INDEX(Data_metier!$H:$H,MATCH($A12,Data_metier!$B:$B,0))-INDEX(Data_metier!$H:$H,MATCH(Y$1,Data_metier!$B:$B,0))&gt; 0,
INDEX(Data_metier!$H:$H,MATCH($A12,Data_metier!$B:$B,0))-INDEX(Data_metier!$H:$H,MATCH(Y$1,Data_metier!$B:$B,0))&lt;=1),
1,
IF(INDEX(Data_metier!$H:$H,MATCH($A12,Data_metier!$B:$B,0))-INDEX(Data_metier!$H:$H,MATCH(Y$1,Data_metier!$B:$B,0))&gt; 1,
2,
0)))</f>
        <v>0</v>
      </c>
      <c r="Z12">
        <f>IF(INDEX(Data_metier!$H:$H,MATCH($A12,Data_metier!$B:$B,0))-INDEX(Data_metier!$H:$H,MATCH(Z$1,Data_metier!$B:$B,0))&lt; 0,-1,
IF(AND(INDEX(Data_metier!$H:$H,MATCH($A12,Data_metier!$B:$B,0))-INDEX(Data_metier!$H:$H,MATCH(Z$1,Data_metier!$B:$B,0))&gt; 0,
INDEX(Data_metier!$H:$H,MATCH($A12,Data_metier!$B:$B,0))-INDEX(Data_metier!$H:$H,MATCH(Z$1,Data_metier!$B:$B,0))&lt;=1),
1,
IF(INDEX(Data_metier!$H:$H,MATCH($A12,Data_metier!$B:$B,0))-INDEX(Data_metier!$H:$H,MATCH(Z$1,Data_metier!$B:$B,0))&gt; 1,
2,
0)))</f>
        <v>0</v>
      </c>
      <c r="AA12">
        <f>IF(INDEX(Data_metier!$H:$H,MATCH($A12,Data_metier!$B:$B,0))-INDEX(Data_metier!$H:$H,MATCH(AA$1,Data_metier!$B:$B,0))&lt; 0,-1,
IF(AND(INDEX(Data_metier!$H:$H,MATCH($A12,Data_metier!$B:$B,0))-INDEX(Data_metier!$H:$H,MATCH(AA$1,Data_metier!$B:$B,0))&gt; 0,
INDEX(Data_metier!$H:$H,MATCH($A12,Data_metier!$B:$B,0))-INDEX(Data_metier!$H:$H,MATCH(AA$1,Data_metier!$B:$B,0))&lt;=1),
1,
IF(INDEX(Data_metier!$H:$H,MATCH($A12,Data_metier!$B:$B,0))-INDEX(Data_metier!$H:$H,MATCH(AA$1,Data_metier!$B:$B,0))&gt; 1,
2,
0)))</f>
        <v>0</v>
      </c>
      <c r="AB12">
        <f>IF(INDEX(Data_metier!$H:$H,MATCH($A12,Data_metier!$B:$B,0))-INDEX(Data_metier!$H:$H,MATCH(AB$1,Data_metier!$B:$B,0))&lt; 0,-1,
IF(AND(INDEX(Data_metier!$H:$H,MATCH($A12,Data_metier!$B:$B,0))-INDEX(Data_metier!$H:$H,MATCH(AB$1,Data_metier!$B:$B,0))&gt; 0,
INDEX(Data_metier!$H:$H,MATCH($A12,Data_metier!$B:$B,0))-INDEX(Data_metier!$H:$H,MATCH(AB$1,Data_metier!$B:$B,0))&lt;=1),
1,
IF(INDEX(Data_metier!$H:$H,MATCH($A12,Data_metier!$B:$B,0))-INDEX(Data_metier!$H:$H,MATCH(AB$1,Data_metier!$B:$B,0))&gt; 1,
2,
0)))</f>
        <v>-1</v>
      </c>
      <c r="AC12">
        <f>IF(INDEX(Data_metier!$H:$H,MATCH($A12,Data_metier!$B:$B,0))-INDEX(Data_metier!$H:$H,MATCH(AC$1,Data_metier!$B:$B,0))&lt; 0,-1,
IF(AND(INDEX(Data_metier!$H:$H,MATCH($A12,Data_metier!$B:$B,0))-INDEX(Data_metier!$H:$H,MATCH(AC$1,Data_metier!$B:$B,0))&gt; 0,
INDEX(Data_metier!$H:$H,MATCH($A12,Data_metier!$B:$B,0))-INDEX(Data_metier!$H:$H,MATCH(AC$1,Data_metier!$B:$B,0))&lt;=1),
1,
IF(INDEX(Data_metier!$H:$H,MATCH($A12,Data_metier!$B:$B,0))-INDEX(Data_metier!$H:$H,MATCH(AC$1,Data_metier!$B:$B,0))&gt; 1,
2,
0)))</f>
        <v>-1</v>
      </c>
      <c r="AD12">
        <f>IF(INDEX(Data_metier!$H:$H,MATCH($A12,Data_metier!$B:$B,0))-INDEX(Data_metier!$H:$H,MATCH(AD$1,Data_metier!$B:$B,0))&lt; 0,-1,
IF(AND(INDEX(Data_metier!$H:$H,MATCH($A12,Data_metier!$B:$B,0))-INDEX(Data_metier!$H:$H,MATCH(AD$1,Data_metier!$B:$B,0))&gt; 0,
INDEX(Data_metier!$H:$H,MATCH($A12,Data_metier!$B:$B,0))-INDEX(Data_metier!$H:$H,MATCH(AD$1,Data_metier!$B:$B,0))&lt;=1),
1,
IF(INDEX(Data_metier!$H:$H,MATCH($A12,Data_metier!$B:$B,0))-INDEX(Data_metier!$H:$H,MATCH(AD$1,Data_metier!$B:$B,0))&gt; 1,
2,
0)))</f>
        <v>-1</v>
      </c>
    </row>
    <row r="13" spans="1:30">
      <c r="A13" t="str">
        <v>Régleur(se)</v>
      </c>
      <c r="B13">
        <f>IF(INDEX(Data_metier!$H:$H,MATCH($A13,Data_metier!$B:$B,0))-INDEX(Data_metier!$H:$H,MATCH(B$1,Data_metier!$B:$B,0))&lt; 0,-1,
IF(AND(INDEX(Data_metier!$H:$H,MATCH($A13,Data_metier!$B:$B,0))-INDEX(Data_metier!$H:$H,MATCH(B$1,Data_metier!$B:$B,0))&gt; 0,
INDEX(Data_metier!$H:$H,MATCH($A13,Data_metier!$B:$B,0))-INDEX(Data_metier!$H:$H,MATCH(B$1,Data_metier!$B:$B,0))&lt;=1),
1,
IF(INDEX(Data_metier!$H:$H,MATCH($A13,Data_metier!$B:$B,0))-INDEX(Data_metier!$H:$H,MATCH(B$1,Data_metier!$B:$B,0))&gt; 1,
2,
0)))</f>
        <v>0</v>
      </c>
      <c r="C13">
        <f>IF(INDEX(Data_metier!$H:$H,MATCH($A13,Data_metier!$B:$B,0))-INDEX(Data_metier!$H:$H,MATCH(C$1,Data_metier!$B:$B,0))&lt; 0,-1,
IF(AND(INDEX(Data_metier!$H:$H,MATCH($A13,Data_metier!$B:$B,0))-INDEX(Data_metier!$H:$H,MATCH(C$1,Data_metier!$B:$B,0))&gt; 0,
INDEX(Data_metier!$H:$H,MATCH($A13,Data_metier!$B:$B,0))-INDEX(Data_metier!$H:$H,MATCH(C$1,Data_metier!$B:$B,0))&lt;=1),
1,
IF(INDEX(Data_metier!$H:$H,MATCH($A13,Data_metier!$B:$B,0))-INDEX(Data_metier!$H:$H,MATCH(C$1,Data_metier!$B:$B,0))&gt; 1,
2,
0)))</f>
        <v>0</v>
      </c>
      <c r="D13">
        <f>IF(INDEX(Data_metier!$H:$H,MATCH($A13,Data_metier!$B:$B,0))-INDEX(Data_metier!$H:$H,MATCH(D$1,Data_metier!$B:$B,0))&lt; 0,-1,
IF(AND(INDEX(Data_metier!$H:$H,MATCH($A13,Data_metier!$B:$B,0))-INDEX(Data_metier!$H:$H,MATCH(D$1,Data_metier!$B:$B,0))&gt; 0,
INDEX(Data_metier!$H:$H,MATCH($A13,Data_metier!$B:$B,0))-INDEX(Data_metier!$H:$H,MATCH(D$1,Data_metier!$B:$B,0))&lt;=1),
1,
IF(INDEX(Data_metier!$H:$H,MATCH($A13,Data_metier!$B:$B,0))-INDEX(Data_metier!$H:$H,MATCH(D$1,Data_metier!$B:$B,0))&gt; 1,
2,
0)))</f>
        <v>1</v>
      </c>
      <c r="E13">
        <f>IF(INDEX(Data_metier!$H:$H,MATCH($A13,Data_metier!$B:$B,0))-INDEX(Data_metier!$H:$H,MATCH(E$1,Data_metier!$B:$B,0))&lt; 0,-1,
IF(AND(INDEX(Data_metier!$H:$H,MATCH($A13,Data_metier!$B:$B,0))-INDEX(Data_metier!$H:$H,MATCH(E$1,Data_metier!$B:$B,0))&gt; 0,
INDEX(Data_metier!$H:$H,MATCH($A13,Data_metier!$B:$B,0))-INDEX(Data_metier!$H:$H,MATCH(E$1,Data_metier!$B:$B,0))&lt;=1),
1,
IF(INDEX(Data_metier!$H:$H,MATCH($A13,Data_metier!$B:$B,0))-INDEX(Data_metier!$H:$H,MATCH(E$1,Data_metier!$B:$B,0))&gt; 1,
2,
0)))</f>
        <v>-1</v>
      </c>
      <c r="F13">
        <f>IF(INDEX(Data_metier!$H:$H,MATCH($A13,Data_metier!$B:$B,0))-INDEX(Data_metier!$H:$H,MATCH(F$1,Data_metier!$B:$B,0))&lt; 0,-1,
IF(AND(INDEX(Data_metier!$H:$H,MATCH($A13,Data_metier!$B:$B,0))-INDEX(Data_metier!$H:$H,MATCH(F$1,Data_metier!$B:$B,0))&gt; 0,
INDEX(Data_metier!$H:$H,MATCH($A13,Data_metier!$B:$B,0))-INDEX(Data_metier!$H:$H,MATCH(F$1,Data_metier!$B:$B,0))&lt;=1),
1,
IF(INDEX(Data_metier!$H:$H,MATCH($A13,Data_metier!$B:$B,0))-INDEX(Data_metier!$H:$H,MATCH(F$1,Data_metier!$B:$B,0))&gt; 1,
2,
0)))</f>
        <v>-1</v>
      </c>
      <c r="G13">
        <f>IF(INDEX(Data_metier!$H:$H,MATCH($A13,Data_metier!$B:$B,0))-INDEX(Data_metier!$H:$H,MATCH(G$1,Data_metier!$B:$B,0))&lt; 0,-1,
IF(AND(INDEX(Data_metier!$H:$H,MATCH($A13,Data_metier!$B:$B,0))-INDEX(Data_metier!$H:$H,MATCH(G$1,Data_metier!$B:$B,0))&gt; 0,
INDEX(Data_metier!$H:$H,MATCH($A13,Data_metier!$B:$B,0))-INDEX(Data_metier!$H:$H,MATCH(G$1,Data_metier!$B:$B,0))&lt;=1),
1,
IF(INDEX(Data_metier!$H:$H,MATCH($A13,Data_metier!$B:$B,0))-INDEX(Data_metier!$H:$H,MATCH(G$1,Data_metier!$B:$B,0))&gt; 1,
2,
0)))</f>
        <v>-1</v>
      </c>
      <c r="H13">
        <f>IF(INDEX(Data_metier!$H:$H,MATCH($A13,Data_metier!$B:$B,0))-INDEX(Data_metier!$H:$H,MATCH(H$1,Data_metier!$B:$B,0))&lt; 0,-1,
IF(AND(INDEX(Data_metier!$H:$H,MATCH($A13,Data_metier!$B:$B,0))-INDEX(Data_metier!$H:$H,MATCH(H$1,Data_metier!$B:$B,0))&gt; 0,
INDEX(Data_metier!$H:$H,MATCH($A13,Data_metier!$B:$B,0))-INDEX(Data_metier!$H:$H,MATCH(H$1,Data_metier!$B:$B,0))&lt;=1),
1,
IF(INDEX(Data_metier!$H:$H,MATCH($A13,Data_metier!$B:$B,0))-INDEX(Data_metier!$H:$H,MATCH(H$1,Data_metier!$B:$B,0))&gt; 1,
2,
0)))</f>
        <v>-1</v>
      </c>
      <c r="I13">
        <f>IF(INDEX(Data_metier!$H:$H,MATCH($A13,Data_metier!$B:$B,0))-INDEX(Data_metier!$H:$H,MATCH(I$1,Data_metier!$B:$B,0))&lt; 0,-1,
IF(AND(INDEX(Data_metier!$H:$H,MATCH($A13,Data_metier!$B:$B,0))-INDEX(Data_metier!$H:$H,MATCH(I$1,Data_metier!$B:$B,0))&gt; 0,
INDEX(Data_metier!$H:$H,MATCH($A13,Data_metier!$B:$B,0))-INDEX(Data_metier!$H:$H,MATCH(I$1,Data_metier!$B:$B,0))&lt;=1),
1,
IF(INDEX(Data_metier!$H:$H,MATCH($A13,Data_metier!$B:$B,0))-INDEX(Data_metier!$H:$H,MATCH(I$1,Data_metier!$B:$B,0))&gt; 1,
2,
0)))</f>
        <v>1</v>
      </c>
      <c r="J13">
        <f>IF(INDEX(Data_metier!$H:$H,MATCH($A13,Data_metier!$B:$B,0))-INDEX(Data_metier!$H:$H,MATCH(J$1,Data_metier!$B:$B,0))&lt; 0,-1,
IF(AND(INDEX(Data_metier!$H:$H,MATCH($A13,Data_metier!$B:$B,0))-INDEX(Data_metier!$H:$H,MATCH(J$1,Data_metier!$B:$B,0))&gt; 0,
INDEX(Data_metier!$H:$H,MATCH($A13,Data_metier!$B:$B,0))-INDEX(Data_metier!$H:$H,MATCH(J$1,Data_metier!$B:$B,0))&lt;=1),
1,
IF(INDEX(Data_metier!$H:$H,MATCH($A13,Data_metier!$B:$B,0))-INDEX(Data_metier!$H:$H,MATCH(J$1,Data_metier!$B:$B,0))&gt; 1,
2,
0)))</f>
        <v>-1</v>
      </c>
      <c r="K13">
        <f>IF(INDEX(Data_metier!$H:$H,MATCH($A13,Data_metier!$B:$B,0))-INDEX(Data_metier!$H:$H,MATCH(K$1,Data_metier!$B:$B,0))&lt; 0,-1,
IF(AND(INDEX(Data_metier!$H:$H,MATCH($A13,Data_metier!$B:$B,0))-INDEX(Data_metier!$H:$H,MATCH(K$1,Data_metier!$B:$B,0))&gt; 0,
INDEX(Data_metier!$H:$H,MATCH($A13,Data_metier!$B:$B,0))-INDEX(Data_metier!$H:$H,MATCH(K$1,Data_metier!$B:$B,0))&lt;=1),
1,
IF(INDEX(Data_metier!$H:$H,MATCH($A13,Data_metier!$B:$B,0))-INDEX(Data_metier!$H:$H,MATCH(K$1,Data_metier!$B:$B,0))&gt; 1,
2,
0)))</f>
        <v>-1</v>
      </c>
      <c r="L13">
        <f>IF(INDEX(Data_metier!$H:$H,MATCH($A13,Data_metier!$B:$B,0))-INDEX(Data_metier!$H:$H,MATCH(L$1,Data_metier!$B:$B,0))&lt; 0,-1,
IF(AND(INDEX(Data_metier!$H:$H,MATCH($A13,Data_metier!$B:$B,0))-INDEX(Data_metier!$H:$H,MATCH(L$1,Data_metier!$B:$B,0))&gt; 0,
INDEX(Data_metier!$H:$H,MATCH($A13,Data_metier!$B:$B,0))-INDEX(Data_metier!$H:$H,MATCH(L$1,Data_metier!$B:$B,0))&lt;=1),
1,
IF(INDEX(Data_metier!$H:$H,MATCH($A13,Data_metier!$B:$B,0))-INDEX(Data_metier!$H:$H,MATCH(L$1,Data_metier!$B:$B,0))&gt; 1,
2,
0)))</f>
        <v>1</v>
      </c>
      <c r="M13">
        <f>IF(INDEX(Data_metier!$H:$H,MATCH($A13,Data_metier!$B:$B,0))-INDEX(Data_metier!$H:$H,MATCH(M$1,Data_metier!$B:$B,0))&lt; 0,-1,
IF(AND(INDEX(Data_metier!$H:$H,MATCH($A13,Data_metier!$B:$B,0))-INDEX(Data_metier!$H:$H,MATCH(M$1,Data_metier!$B:$B,0))&gt; 0,
INDEX(Data_metier!$H:$H,MATCH($A13,Data_metier!$B:$B,0))-INDEX(Data_metier!$H:$H,MATCH(M$1,Data_metier!$B:$B,0))&lt;=1),
1,
IF(INDEX(Data_metier!$H:$H,MATCH($A13,Data_metier!$B:$B,0))-INDEX(Data_metier!$H:$H,MATCH(M$1,Data_metier!$B:$B,0))&gt; 1,
2,
0)))</f>
        <v>0</v>
      </c>
      <c r="N13">
        <f>IF(INDEX(Data_metier!$H:$H,MATCH($A13,Data_metier!$B:$B,0))-INDEX(Data_metier!$H:$H,MATCH(N$1,Data_metier!$B:$B,0))&lt; 0,-1,
IF(AND(INDEX(Data_metier!$H:$H,MATCH($A13,Data_metier!$B:$B,0))-INDEX(Data_metier!$H:$H,MATCH(N$1,Data_metier!$B:$B,0))&gt; 0,
INDEX(Data_metier!$H:$H,MATCH($A13,Data_metier!$B:$B,0))-INDEX(Data_metier!$H:$H,MATCH(N$1,Data_metier!$B:$B,0))&lt;=1),
1,
IF(INDEX(Data_metier!$H:$H,MATCH($A13,Data_metier!$B:$B,0))-INDEX(Data_metier!$H:$H,MATCH(N$1,Data_metier!$B:$B,0))&gt; 1,
2,
0)))</f>
        <v>-1</v>
      </c>
      <c r="O13">
        <f>IF(INDEX(Data_metier!$H:$H,MATCH($A13,Data_metier!$B:$B,0))-INDEX(Data_metier!$H:$H,MATCH(O$1,Data_metier!$B:$B,0))&lt; 0,-1,
IF(AND(INDEX(Data_metier!$H:$H,MATCH($A13,Data_metier!$B:$B,0))-INDEX(Data_metier!$H:$H,MATCH(O$1,Data_metier!$B:$B,0))&gt; 0,
INDEX(Data_metier!$H:$H,MATCH($A13,Data_metier!$B:$B,0))-INDEX(Data_metier!$H:$H,MATCH(O$1,Data_metier!$B:$B,0))&lt;=1),
1,
IF(INDEX(Data_metier!$H:$H,MATCH($A13,Data_metier!$B:$B,0))-INDEX(Data_metier!$H:$H,MATCH(O$1,Data_metier!$B:$B,0))&gt; 1,
2,
0)))</f>
        <v>1</v>
      </c>
      <c r="P13">
        <f>IF(INDEX(Data_metier!$H:$H,MATCH($A13,Data_metier!$B:$B,0))-INDEX(Data_metier!$H:$H,MATCH(P$1,Data_metier!$B:$B,0))&lt; 0,-1,
IF(AND(INDEX(Data_metier!$H:$H,MATCH($A13,Data_metier!$B:$B,0))-INDEX(Data_metier!$H:$H,MATCH(P$1,Data_metier!$B:$B,0))&gt; 0,
INDEX(Data_metier!$H:$H,MATCH($A13,Data_metier!$B:$B,0))-INDEX(Data_metier!$H:$H,MATCH(P$1,Data_metier!$B:$B,0))&lt;=1),
1,
IF(INDEX(Data_metier!$H:$H,MATCH($A13,Data_metier!$B:$B,0))-INDEX(Data_metier!$H:$H,MATCH(P$1,Data_metier!$B:$B,0))&gt; 1,
2,
0)))</f>
        <v>1</v>
      </c>
      <c r="Q13">
        <f>IF(INDEX(Data_metier!$H:$H,MATCH($A13,Data_metier!$B:$B,0))-INDEX(Data_metier!$H:$H,MATCH(Q$1,Data_metier!$B:$B,0))&lt; 0,-1,
IF(AND(INDEX(Data_metier!$H:$H,MATCH($A13,Data_metier!$B:$B,0))-INDEX(Data_metier!$H:$H,MATCH(Q$1,Data_metier!$B:$B,0))&gt; 0,
INDEX(Data_metier!$H:$H,MATCH($A13,Data_metier!$B:$B,0))-INDEX(Data_metier!$H:$H,MATCH(Q$1,Data_metier!$B:$B,0))&lt;=1),
1,
IF(INDEX(Data_metier!$H:$H,MATCH($A13,Data_metier!$B:$B,0))-INDEX(Data_metier!$H:$H,MATCH(Q$1,Data_metier!$B:$B,0))&gt; 1,
2,
0)))</f>
        <v>-1</v>
      </c>
      <c r="R13">
        <f>IF(INDEX(Data_metier!$H:$H,MATCH($A13,Data_metier!$B:$B,0))-INDEX(Data_metier!$H:$H,MATCH(R$1,Data_metier!$B:$B,0))&lt; 0,-1,
IF(AND(INDEX(Data_metier!$H:$H,MATCH($A13,Data_metier!$B:$B,0))-INDEX(Data_metier!$H:$H,MATCH(R$1,Data_metier!$B:$B,0))&gt; 0,
INDEX(Data_metier!$H:$H,MATCH($A13,Data_metier!$B:$B,0))-INDEX(Data_metier!$H:$H,MATCH(R$1,Data_metier!$B:$B,0))&lt;=1),
1,
IF(INDEX(Data_metier!$H:$H,MATCH($A13,Data_metier!$B:$B,0))-INDEX(Data_metier!$H:$H,MATCH(R$1,Data_metier!$B:$B,0))&gt; 1,
2,
0)))</f>
        <v>-1</v>
      </c>
      <c r="S13">
        <f>IF(INDEX(Data_metier!$H:$H,MATCH($A13,Data_metier!$B:$B,0))-INDEX(Data_metier!$H:$H,MATCH(S$1,Data_metier!$B:$B,0))&lt; 0,-1,
IF(AND(INDEX(Data_metier!$H:$H,MATCH($A13,Data_metier!$B:$B,0))-INDEX(Data_metier!$H:$H,MATCH(S$1,Data_metier!$B:$B,0))&gt; 0,
INDEX(Data_metier!$H:$H,MATCH($A13,Data_metier!$B:$B,0))-INDEX(Data_metier!$H:$H,MATCH(S$1,Data_metier!$B:$B,0))&lt;=1),
1,
IF(INDEX(Data_metier!$H:$H,MATCH($A13,Data_metier!$B:$B,0))-INDEX(Data_metier!$H:$H,MATCH(S$1,Data_metier!$B:$B,0))&gt; 1,
2,
0)))</f>
        <v>1</v>
      </c>
      <c r="T13">
        <f>IF(INDEX(Data_metier!$H:$H,MATCH($A13,Data_metier!$B:$B,0))-INDEX(Data_metier!$H:$H,MATCH(T$1,Data_metier!$B:$B,0))&lt; 0,-1,
IF(AND(INDEX(Data_metier!$H:$H,MATCH($A13,Data_metier!$B:$B,0))-INDEX(Data_metier!$H:$H,MATCH(T$1,Data_metier!$B:$B,0))&gt; 0,
INDEX(Data_metier!$H:$H,MATCH($A13,Data_metier!$B:$B,0))-INDEX(Data_metier!$H:$H,MATCH(T$1,Data_metier!$B:$B,0))&lt;=1),
1,
IF(INDEX(Data_metier!$H:$H,MATCH($A13,Data_metier!$B:$B,0))-INDEX(Data_metier!$H:$H,MATCH(T$1,Data_metier!$B:$B,0))&gt; 1,
2,
0)))</f>
        <v>1</v>
      </c>
      <c r="U13">
        <f>IF(INDEX(Data_metier!$H:$H,MATCH($A13,Data_metier!$B:$B,0))-INDEX(Data_metier!$H:$H,MATCH(U$1,Data_metier!$B:$B,0))&lt; 0,-1,
IF(AND(INDEX(Data_metier!$H:$H,MATCH($A13,Data_metier!$B:$B,0))-INDEX(Data_metier!$H:$H,MATCH(U$1,Data_metier!$B:$B,0))&gt; 0,
INDEX(Data_metier!$H:$H,MATCH($A13,Data_metier!$B:$B,0))-INDEX(Data_metier!$H:$H,MATCH(U$1,Data_metier!$B:$B,0))&lt;=1),
1,
IF(INDEX(Data_metier!$H:$H,MATCH($A13,Data_metier!$B:$B,0))-INDEX(Data_metier!$H:$H,MATCH(U$1,Data_metier!$B:$B,0))&gt; 1,
2,
0)))</f>
        <v>1</v>
      </c>
      <c r="V13">
        <f>IF(INDEX(Data_metier!$H:$H,MATCH($A13,Data_metier!$B:$B,0))-INDEX(Data_metier!$H:$H,MATCH(V$1,Data_metier!$B:$B,0))&lt; 0,-1,
IF(AND(INDEX(Data_metier!$H:$H,MATCH($A13,Data_metier!$B:$B,0))-INDEX(Data_metier!$H:$H,MATCH(V$1,Data_metier!$B:$B,0))&gt; 0,
INDEX(Data_metier!$H:$H,MATCH($A13,Data_metier!$B:$B,0))-INDEX(Data_metier!$H:$H,MATCH(V$1,Data_metier!$B:$B,0))&lt;=1),
1,
IF(INDEX(Data_metier!$H:$H,MATCH($A13,Data_metier!$B:$B,0))-INDEX(Data_metier!$H:$H,MATCH(V$1,Data_metier!$B:$B,0))&gt; 1,
2,
0)))</f>
        <v>0</v>
      </c>
      <c r="W13">
        <f>IF(INDEX(Data_metier!$H:$H,MATCH($A13,Data_metier!$B:$B,0))-INDEX(Data_metier!$H:$H,MATCH(W$1,Data_metier!$B:$B,0))&lt; 0,-1,
IF(AND(INDEX(Data_metier!$H:$H,MATCH($A13,Data_metier!$B:$B,0))-INDEX(Data_metier!$H:$H,MATCH(W$1,Data_metier!$B:$B,0))&gt; 0,
INDEX(Data_metier!$H:$H,MATCH($A13,Data_metier!$B:$B,0))-INDEX(Data_metier!$H:$H,MATCH(W$1,Data_metier!$B:$B,0))&lt;=1),
1,
IF(INDEX(Data_metier!$H:$H,MATCH($A13,Data_metier!$B:$B,0))-INDEX(Data_metier!$H:$H,MATCH(W$1,Data_metier!$B:$B,0))&gt; 1,
2,
0)))</f>
        <v>0</v>
      </c>
      <c r="X13">
        <f>IF(INDEX(Data_metier!$H:$H,MATCH($A13,Data_metier!$B:$B,0))-INDEX(Data_metier!$H:$H,MATCH(X$1,Data_metier!$B:$B,0))&lt; 0,-1,
IF(AND(INDEX(Data_metier!$H:$H,MATCH($A13,Data_metier!$B:$B,0))-INDEX(Data_metier!$H:$H,MATCH(X$1,Data_metier!$B:$B,0))&gt; 0,
INDEX(Data_metier!$H:$H,MATCH($A13,Data_metier!$B:$B,0))-INDEX(Data_metier!$H:$H,MATCH(X$1,Data_metier!$B:$B,0))&lt;=1),
1,
IF(INDEX(Data_metier!$H:$H,MATCH($A13,Data_metier!$B:$B,0))-INDEX(Data_metier!$H:$H,MATCH(X$1,Data_metier!$B:$B,0))&gt; 1,
2,
0)))</f>
        <v>-1</v>
      </c>
      <c r="Y13">
        <f>IF(INDEX(Data_metier!$H:$H,MATCH($A13,Data_metier!$B:$B,0))-INDEX(Data_metier!$H:$H,MATCH(Y$1,Data_metier!$B:$B,0))&lt; 0,-1,
IF(AND(INDEX(Data_metier!$H:$H,MATCH($A13,Data_metier!$B:$B,0))-INDEX(Data_metier!$H:$H,MATCH(Y$1,Data_metier!$B:$B,0))&gt; 0,
INDEX(Data_metier!$H:$H,MATCH($A13,Data_metier!$B:$B,0))-INDEX(Data_metier!$H:$H,MATCH(Y$1,Data_metier!$B:$B,0))&lt;=1),
1,
IF(INDEX(Data_metier!$H:$H,MATCH($A13,Data_metier!$B:$B,0))-INDEX(Data_metier!$H:$H,MATCH(Y$1,Data_metier!$B:$B,0))&gt; 1,
2,
0)))</f>
        <v>1</v>
      </c>
      <c r="Z13">
        <f>IF(INDEX(Data_metier!$H:$H,MATCH($A13,Data_metier!$B:$B,0))-INDEX(Data_metier!$H:$H,MATCH(Z$1,Data_metier!$B:$B,0))&lt; 0,-1,
IF(AND(INDEX(Data_metier!$H:$H,MATCH($A13,Data_metier!$B:$B,0))-INDEX(Data_metier!$H:$H,MATCH(Z$1,Data_metier!$B:$B,0))&gt; 0,
INDEX(Data_metier!$H:$H,MATCH($A13,Data_metier!$B:$B,0))-INDEX(Data_metier!$H:$H,MATCH(Z$1,Data_metier!$B:$B,0))&lt;=1),
1,
IF(INDEX(Data_metier!$H:$H,MATCH($A13,Data_metier!$B:$B,0))-INDEX(Data_metier!$H:$H,MATCH(Z$1,Data_metier!$B:$B,0))&gt; 1,
2,
0)))</f>
        <v>1</v>
      </c>
      <c r="AA13">
        <f>IF(INDEX(Data_metier!$H:$H,MATCH($A13,Data_metier!$B:$B,0))-INDEX(Data_metier!$H:$H,MATCH(AA$1,Data_metier!$B:$B,0))&lt; 0,-1,
IF(AND(INDEX(Data_metier!$H:$H,MATCH($A13,Data_metier!$B:$B,0))-INDEX(Data_metier!$H:$H,MATCH(AA$1,Data_metier!$B:$B,0))&gt; 0,
INDEX(Data_metier!$H:$H,MATCH($A13,Data_metier!$B:$B,0))-INDEX(Data_metier!$H:$H,MATCH(AA$1,Data_metier!$B:$B,0))&lt;=1),
1,
IF(INDEX(Data_metier!$H:$H,MATCH($A13,Data_metier!$B:$B,0))-INDEX(Data_metier!$H:$H,MATCH(AA$1,Data_metier!$B:$B,0))&gt; 1,
2,
0)))</f>
        <v>1</v>
      </c>
      <c r="AB13">
        <f>IF(INDEX(Data_metier!$H:$H,MATCH($A13,Data_metier!$B:$B,0))-INDEX(Data_metier!$H:$H,MATCH(AB$1,Data_metier!$B:$B,0))&lt; 0,-1,
IF(AND(INDEX(Data_metier!$H:$H,MATCH($A13,Data_metier!$B:$B,0))-INDEX(Data_metier!$H:$H,MATCH(AB$1,Data_metier!$B:$B,0))&gt; 0,
INDEX(Data_metier!$H:$H,MATCH($A13,Data_metier!$B:$B,0))-INDEX(Data_metier!$H:$H,MATCH(AB$1,Data_metier!$B:$B,0))&lt;=1),
1,
IF(INDEX(Data_metier!$H:$H,MATCH($A13,Data_metier!$B:$B,0))-INDEX(Data_metier!$H:$H,MATCH(AB$1,Data_metier!$B:$B,0))&gt; 1,
2,
0)))</f>
        <v>0</v>
      </c>
      <c r="AC13">
        <f>IF(INDEX(Data_metier!$H:$H,MATCH($A13,Data_metier!$B:$B,0))-INDEX(Data_metier!$H:$H,MATCH(AC$1,Data_metier!$B:$B,0))&lt; 0,-1,
IF(AND(INDEX(Data_metier!$H:$H,MATCH($A13,Data_metier!$B:$B,0))-INDEX(Data_metier!$H:$H,MATCH(AC$1,Data_metier!$B:$B,0))&gt; 0,
INDEX(Data_metier!$H:$H,MATCH($A13,Data_metier!$B:$B,0))-INDEX(Data_metier!$H:$H,MATCH(AC$1,Data_metier!$B:$B,0))&lt;=1),
1,
IF(INDEX(Data_metier!$H:$H,MATCH($A13,Data_metier!$B:$B,0))-INDEX(Data_metier!$H:$H,MATCH(AC$1,Data_metier!$B:$B,0))&gt; 1,
2,
0)))</f>
        <v>0</v>
      </c>
      <c r="AD13">
        <f>IF(INDEX(Data_metier!$H:$H,MATCH($A13,Data_metier!$B:$B,0))-INDEX(Data_metier!$H:$H,MATCH(AD$1,Data_metier!$B:$B,0))&lt; 0,-1,
IF(AND(INDEX(Data_metier!$H:$H,MATCH($A13,Data_metier!$B:$B,0))-INDEX(Data_metier!$H:$H,MATCH(AD$1,Data_metier!$B:$B,0))&gt; 0,
INDEX(Data_metier!$H:$H,MATCH($A13,Data_metier!$B:$B,0))-INDEX(Data_metier!$H:$H,MATCH(AD$1,Data_metier!$B:$B,0))&lt;=1),
1,
IF(INDEX(Data_metier!$H:$H,MATCH($A13,Data_metier!$B:$B,0))-INDEX(Data_metier!$H:$H,MATCH(AD$1,Data_metier!$B:$B,0))&gt; 1,
2,
0)))</f>
        <v>-1</v>
      </c>
    </row>
    <row r="14" spans="1:30">
      <c r="A14" t="str">
        <v>Spécialiste procédés et installations de production alimentaire</v>
      </c>
      <c r="B14">
        <f>IF(INDEX(Data_metier!$H:$H,MATCH($A14,Data_metier!$B:$B,0))-INDEX(Data_metier!$H:$H,MATCH(B$1,Data_metier!$B:$B,0))&lt; 0,-1,
IF(AND(INDEX(Data_metier!$H:$H,MATCH($A14,Data_metier!$B:$B,0))-INDEX(Data_metier!$H:$H,MATCH(B$1,Data_metier!$B:$B,0))&gt; 0,
INDEX(Data_metier!$H:$H,MATCH($A14,Data_metier!$B:$B,0))-INDEX(Data_metier!$H:$H,MATCH(B$1,Data_metier!$B:$B,0))&lt;=1),
1,
IF(INDEX(Data_metier!$H:$H,MATCH($A14,Data_metier!$B:$B,0))-INDEX(Data_metier!$H:$H,MATCH(B$1,Data_metier!$B:$B,0))&gt; 1,
2,
0)))</f>
        <v>1</v>
      </c>
      <c r="C14">
        <f>IF(INDEX(Data_metier!$H:$H,MATCH($A14,Data_metier!$B:$B,0))-INDEX(Data_metier!$H:$H,MATCH(C$1,Data_metier!$B:$B,0))&lt; 0,-1,
IF(AND(INDEX(Data_metier!$H:$H,MATCH($A14,Data_metier!$B:$B,0))-INDEX(Data_metier!$H:$H,MATCH(C$1,Data_metier!$B:$B,0))&gt; 0,
INDEX(Data_metier!$H:$H,MATCH($A14,Data_metier!$B:$B,0))-INDEX(Data_metier!$H:$H,MATCH(C$1,Data_metier!$B:$B,0))&lt;=1),
1,
IF(INDEX(Data_metier!$H:$H,MATCH($A14,Data_metier!$B:$B,0))-INDEX(Data_metier!$H:$H,MATCH(C$1,Data_metier!$B:$B,0))&gt; 1,
2,
0)))</f>
        <v>1</v>
      </c>
      <c r="D14">
        <f>IF(INDEX(Data_metier!$H:$H,MATCH($A14,Data_metier!$B:$B,0))-INDEX(Data_metier!$H:$H,MATCH(D$1,Data_metier!$B:$B,0))&lt; 0,-1,
IF(AND(INDEX(Data_metier!$H:$H,MATCH($A14,Data_metier!$B:$B,0))-INDEX(Data_metier!$H:$H,MATCH(D$1,Data_metier!$B:$B,0))&gt; 0,
INDEX(Data_metier!$H:$H,MATCH($A14,Data_metier!$B:$B,0))-INDEX(Data_metier!$H:$H,MATCH(D$1,Data_metier!$B:$B,0))&lt;=1),
1,
IF(INDEX(Data_metier!$H:$H,MATCH($A14,Data_metier!$B:$B,0))-INDEX(Data_metier!$H:$H,MATCH(D$1,Data_metier!$B:$B,0))&gt; 1,
2,
0)))</f>
        <v>2</v>
      </c>
      <c r="E14">
        <f>IF(INDEX(Data_metier!$H:$H,MATCH($A14,Data_metier!$B:$B,0))-INDEX(Data_metier!$H:$H,MATCH(E$1,Data_metier!$B:$B,0))&lt; 0,-1,
IF(AND(INDEX(Data_metier!$H:$H,MATCH($A14,Data_metier!$B:$B,0))-INDEX(Data_metier!$H:$H,MATCH(E$1,Data_metier!$B:$B,0))&gt; 0,
INDEX(Data_metier!$H:$H,MATCH($A14,Data_metier!$B:$B,0))-INDEX(Data_metier!$H:$H,MATCH(E$1,Data_metier!$B:$B,0))&lt;=1),
1,
IF(INDEX(Data_metier!$H:$H,MATCH($A14,Data_metier!$B:$B,0))-INDEX(Data_metier!$H:$H,MATCH(E$1,Data_metier!$B:$B,0))&gt; 1,
2,
0)))</f>
        <v>-1</v>
      </c>
      <c r="F14">
        <f>IF(INDEX(Data_metier!$H:$H,MATCH($A14,Data_metier!$B:$B,0))-INDEX(Data_metier!$H:$H,MATCH(F$1,Data_metier!$B:$B,0))&lt; 0,-1,
IF(AND(INDEX(Data_metier!$H:$H,MATCH($A14,Data_metier!$B:$B,0))-INDEX(Data_metier!$H:$H,MATCH(F$1,Data_metier!$B:$B,0))&gt; 0,
INDEX(Data_metier!$H:$H,MATCH($A14,Data_metier!$B:$B,0))-INDEX(Data_metier!$H:$H,MATCH(F$1,Data_metier!$B:$B,0))&lt;=1),
1,
IF(INDEX(Data_metier!$H:$H,MATCH($A14,Data_metier!$B:$B,0))-INDEX(Data_metier!$H:$H,MATCH(F$1,Data_metier!$B:$B,0))&gt; 1,
2,
0)))</f>
        <v>-1</v>
      </c>
      <c r="G14">
        <f>IF(INDEX(Data_metier!$H:$H,MATCH($A14,Data_metier!$B:$B,0))-INDEX(Data_metier!$H:$H,MATCH(G$1,Data_metier!$B:$B,0))&lt; 0,-1,
IF(AND(INDEX(Data_metier!$H:$H,MATCH($A14,Data_metier!$B:$B,0))-INDEX(Data_metier!$H:$H,MATCH(G$1,Data_metier!$B:$B,0))&gt; 0,
INDEX(Data_metier!$H:$H,MATCH($A14,Data_metier!$B:$B,0))-INDEX(Data_metier!$H:$H,MATCH(G$1,Data_metier!$B:$B,0))&lt;=1),
1,
IF(INDEX(Data_metier!$H:$H,MATCH($A14,Data_metier!$B:$B,0))-INDEX(Data_metier!$H:$H,MATCH(G$1,Data_metier!$B:$B,0))&gt; 1,
2,
0)))</f>
        <v>-1</v>
      </c>
      <c r="H14">
        <f>IF(INDEX(Data_metier!$H:$H,MATCH($A14,Data_metier!$B:$B,0))-INDEX(Data_metier!$H:$H,MATCH(H$1,Data_metier!$B:$B,0))&lt; 0,-1,
IF(AND(INDEX(Data_metier!$H:$H,MATCH($A14,Data_metier!$B:$B,0))-INDEX(Data_metier!$H:$H,MATCH(H$1,Data_metier!$B:$B,0))&gt; 0,
INDEX(Data_metier!$H:$H,MATCH($A14,Data_metier!$B:$B,0))-INDEX(Data_metier!$H:$H,MATCH(H$1,Data_metier!$B:$B,0))&lt;=1),
1,
IF(INDEX(Data_metier!$H:$H,MATCH($A14,Data_metier!$B:$B,0))-INDEX(Data_metier!$H:$H,MATCH(H$1,Data_metier!$B:$B,0))&gt; 1,
2,
0)))</f>
        <v>-1</v>
      </c>
      <c r="I14">
        <f>IF(INDEX(Data_metier!$H:$H,MATCH($A14,Data_metier!$B:$B,0))-INDEX(Data_metier!$H:$H,MATCH(I$1,Data_metier!$B:$B,0))&lt; 0,-1,
IF(AND(INDEX(Data_metier!$H:$H,MATCH($A14,Data_metier!$B:$B,0))-INDEX(Data_metier!$H:$H,MATCH(I$1,Data_metier!$B:$B,0))&gt; 0,
INDEX(Data_metier!$H:$H,MATCH($A14,Data_metier!$B:$B,0))-INDEX(Data_metier!$H:$H,MATCH(I$1,Data_metier!$B:$B,0))&lt;=1),
1,
IF(INDEX(Data_metier!$H:$H,MATCH($A14,Data_metier!$B:$B,0))-INDEX(Data_metier!$H:$H,MATCH(I$1,Data_metier!$B:$B,0))&gt; 1,
2,
0)))</f>
        <v>2</v>
      </c>
      <c r="J14">
        <f>IF(INDEX(Data_metier!$H:$H,MATCH($A14,Data_metier!$B:$B,0))-INDEX(Data_metier!$H:$H,MATCH(J$1,Data_metier!$B:$B,0))&lt; 0,-1,
IF(AND(INDEX(Data_metier!$H:$H,MATCH($A14,Data_metier!$B:$B,0))-INDEX(Data_metier!$H:$H,MATCH(J$1,Data_metier!$B:$B,0))&gt; 0,
INDEX(Data_metier!$H:$H,MATCH($A14,Data_metier!$B:$B,0))-INDEX(Data_metier!$H:$H,MATCH(J$1,Data_metier!$B:$B,0))&lt;=1),
1,
IF(INDEX(Data_metier!$H:$H,MATCH($A14,Data_metier!$B:$B,0))-INDEX(Data_metier!$H:$H,MATCH(J$1,Data_metier!$B:$B,0))&gt; 1,
2,
0)))</f>
        <v>-1</v>
      </c>
      <c r="K14">
        <f>IF(INDEX(Data_metier!$H:$H,MATCH($A14,Data_metier!$B:$B,0))-INDEX(Data_metier!$H:$H,MATCH(K$1,Data_metier!$B:$B,0))&lt; 0,-1,
IF(AND(INDEX(Data_metier!$H:$H,MATCH($A14,Data_metier!$B:$B,0))-INDEX(Data_metier!$H:$H,MATCH(K$1,Data_metier!$B:$B,0))&gt; 0,
INDEX(Data_metier!$H:$H,MATCH($A14,Data_metier!$B:$B,0))-INDEX(Data_metier!$H:$H,MATCH(K$1,Data_metier!$B:$B,0))&lt;=1),
1,
IF(INDEX(Data_metier!$H:$H,MATCH($A14,Data_metier!$B:$B,0))-INDEX(Data_metier!$H:$H,MATCH(K$1,Data_metier!$B:$B,0))&gt; 1,
2,
0)))</f>
        <v>-1</v>
      </c>
      <c r="L14">
        <f>IF(INDEX(Data_metier!$H:$H,MATCH($A14,Data_metier!$B:$B,0))-INDEX(Data_metier!$H:$H,MATCH(L$1,Data_metier!$B:$B,0))&lt; 0,-1,
IF(AND(INDEX(Data_metier!$H:$H,MATCH($A14,Data_metier!$B:$B,0))-INDEX(Data_metier!$H:$H,MATCH(L$1,Data_metier!$B:$B,0))&gt; 0,
INDEX(Data_metier!$H:$H,MATCH($A14,Data_metier!$B:$B,0))-INDEX(Data_metier!$H:$H,MATCH(L$1,Data_metier!$B:$B,0))&lt;=1),
1,
IF(INDEX(Data_metier!$H:$H,MATCH($A14,Data_metier!$B:$B,0))-INDEX(Data_metier!$H:$H,MATCH(L$1,Data_metier!$B:$B,0))&gt; 1,
2,
0)))</f>
        <v>2</v>
      </c>
      <c r="M14">
        <f>IF(INDEX(Data_metier!$H:$H,MATCH($A14,Data_metier!$B:$B,0))-INDEX(Data_metier!$H:$H,MATCH(M$1,Data_metier!$B:$B,0))&lt; 0,-1,
IF(AND(INDEX(Data_metier!$H:$H,MATCH($A14,Data_metier!$B:$B,0))-INDEX(Data_metier!$H:$H,MATCH(M$1,Data_metier!$B:$B,0))&gt; 0,
INDEX(Data_metier!$H:$H,MATCH($A14,Data_metier!$B:$B,0))-INDEX(Data_metier!$H:$H,MATCH(M$1,Data_metier!$B:$B,0))&lt;=1),
1,
IF(INDEX(Data_metier!$H:$H,MATCH($A14,Data_metier!$B:$B,0))-INDEX(Data_metier!$H:$H,MATCH(M$1,Data_metier!$B:$B,0))&gt; 1,
2,
0)))</f>
        <v>1</v>
      </c>
      <c r="N14">
        <f>IF(INDEX(Data_metier!$H:$H,MATCH($A14,Data_metier!$B:$B,0))-INDEX(Data_metier!$H:$H,MATCH(N$1,Data_metier!$B:$B,0))&lt; 0,-1,
IF(AND(INDEX(Data_metier!$H:$H,MATCH($A14,Data_metier!$B:$B,0))-INDEX(Data_metier!$H:$H,MATCH(N$1,Data_metier!$B:$B,0))&gt; 0,
INDEX(Data_metier!$H:$H,MATCH($A14,Data_metier!$B:$B,0))-INDEX(Data_metier!$H:$H,MATCH(N$1,Data_metier!$B:$B,0))&lt;=1),
1,
IF(INDEX(Data_metier!$H:$H,MATCH($A14,Data_metier!$B:$B,0))-INDEX(Data_metier!$H:$H,MATCH(N$1,Data_metier!$B:$B,0))&gt; 1,
2,
0)))</f>
        <v>0</v>
      </c>
      <c r="O14">
        <f>IF(INDEX(Data_metier!$H:$H,MATCH($A14,Data_metier!$B:$B,0))-INDEX(Data_metier!$H:$H,MATCH(O$1,Data_metier!$B:$B,0))&lt; 0,-1,
IF(AND(INDEX(Data_metier!$H:$H,MATCH($A14,Data_metier!$B:$B,0))-INDEX(Data_metier!$H:$H,MATCH(O$1,Data_metier!$B:$B,0))&gt; 0,
INDEX(Data_metier!$H:$H,MATCH($A14,Data_metier!$B:$B,0))-INDEX(Data_metier!$H:$H,MATCH(O$1,Data_metier!$B:$B,0))&lt;=1),
1,
IF(INDEX(Data_metier!$H:$H,MATCH($A14,Data_metier!$B:$B,0))-INDEX(Data_metier!$H:$H,MATCH(O$1,Data_metier!$B:$B,0))&gt; 1,
2,
0)))</f>
        <v>2</v>
      </c>
      <c r="P14">
        <f>IF(INDEX(Data_metier!$H:$H,MATCH($A14,Data_metier!$B:$B,0))-INDEX(Data_metier!$H:$H,MATCH(P$1,Data_metier!$B:$B,0))&lt; 0,-1,
IF(AND(INDEX(Data_metier!$H:$H,MATCH($A14,Data_metier!$B:$B,0))-INDEX(Data_metier!$H:$H,MATCH(P$1,Data_metier!$B:$B,0))&gt; 0,
INDEX(Data_metier!$H:$H,MATCH($A14,Data_metier!$B:$B,0))-INDEX(Data_metier!$H:$H,MATCH(P$1,Data_metier!$B:$B,0))&lt;=1),
1,
IF(INDEX(Data_metier!$H:$H,MATCH($A14,Data_metier!$B:$B,0))-INDEX(Data_metier!$H:$H,MATCH(P$1,Data_metier!$B:$B,0))&gt; 1,
2,
0)))</f>
        <v>2</v>
      </c>
      <c r="Q14">
        <f>IF(INDEX(Data_metier!$H:$H,MATCH($A14,Data_metier!$B:$B,0))-INDEX(Data_metier!$H:$H,MATCH(Q$1,Data_metier!$B:$B,0))&lt; 0,-1,
IF(AND(INDEX(Data_metier!$H:$H,MATCH($A14,Data_metier!$B:$B,0))-INDEX(Data_metier!$H:$H,MATCH(Q$1,Data_metier!$B:$B,0))&gt; 0,
INDEX(Data_metier!$H:$H,MATCH($A14,Data_metier!$B:$B,0))-INDEX(Data_metier!$H:$H,MATCH(Q$1,Data_metier!$B:$B,0))&lt;=1),
1,
IF(INDEX(Data_metier!$H:$H,MATCH($A14,Data_metier!$B:$B,0))-INDEX(Data_metier!$H:$H,MATCH(Q$1,Data_metier!$B:$B,0))&gt; 1,
2,
0)))</f>
        <v>-1</v>
      </c>
      <c r="R14">
        <f>IF(INDEX(Data_metier!$H:$H,MATCH($A14,Data_metier!$B:$B,0))-INDEX(Data_metier!$H:$H,MATCH(R$1,Data_metier!$B:$B,0))&lt; 0,-1,
IF(AND(INDEX(Data_metier!$H:$H,MATCH($A14,Data_metier!$B:$B,0))-INDEX(Data_metier!$H:$H,MATCH(R$1,Data_metier!$B:$B,0))&gt; 0,
INDEX(Data_metier!$H:$H,MATCH($A14,Data_metier!$B:$B,0))-INDEX(Data_metier!$H:$H,MATCH(R$1,Data_metier!$B:$B,0))&lt;=1),
1,
IF(INDEX(Data_metier!$H:$H,MATCH($A14,Data_metier!$B:$B,0))-INDEX(Data_metier!$H:$H,MATCH(R$1,Data_metier!$B:$B,0))&gt; 1,
2,
0)))</f>
        <v>-1</v>
      </c>
      <c r="S14">
        <f>IF(INDEX(Data_metier!$H:$H,MATCH($A14,Data_metier!$B:$B,0))-INDEX(Data_metier!$H:$H,MATCH(S$1,Data_metier!$B:$B,0))&lt; 0,-1,
IF(AND(INDEX(Data_metier!$H:$H,MATCH($A14,Data_metier!$B:$B,0))-INDEX(Data_metier!$H:$H,MATCH(S$1,Data_metier!$B:$B,0))&gt; 0,
INDEX(Data_metier!$H:$H,MATCH($A14,Data_metier!$B:$B,0))-INDEX(Data_metier!$H:$H,MATCH(S$1,Data_metier!$B:$B,0))&lt;=1),
1,
IF(INDEX(Data_metier!$H:$H,MATCH($A14,Data_metier!$B:$B,0))-INDEX(Data_metier!$H:$H,MATCH(S$1,Data_metier!$B:$B,0))&gt; 1,
2,
0)))</f>
        <v>2</v>
      </c>
      <c r="T14">
        <f>IF(INDEX(Data_metier!$H:$H,MATCH($A14,Data_metier!$B:$B,0))-INDEX(Data_metier!$H:$H,MATCH(T$1,Data_metier!$B:$B,0))&lt; 0,-1,
IF(AND(INDEX(Data_metier!$H:$H,MATCH($A14,Data_metier!$B:$B,0))-INDEX(Data_metier!$H:$H,MATCH(T$1,Data_metier!$B:$B,0))&gt; 0,
INDEX(Data_metier!$H:$H,MATCH($A14,Data_metier!$B:$B,0))-INDEX(Data_metier!$H:$H,MATCH(T$1,Data_metier!$B:$B,0))&lt;=1),
1,
IF(INDEX(Data_metier!$H:$H,MATCH($A14,Data_metier!$B:$B,0))-INDEX(Data_metier!$H:$H,MATCH(T$1,Data_metier!$B:$B,0))&gt; 1,
2,
0)))</f>
        <v>2</v>
      </c>
      <c r="U14">
        <f>IF(INDEX(Data_metier!$H:$H,MATCH($A14,Data_metier!$B:$B,0))-INDEX(Data_metier!$H:$H,MATCH(U$1,Data_metier!$B:$B,0))&lt; 0,-1,
IF(AND(INDEX(Data_metier!$H:$H,MATCH($A14,Data_metier!$B:$B,0))-INDEX(Data_metier!$H:$H,MATCH(U$1,Data_metier!$B:$B,0))&gt; 0,
INDEX(Data_metier!$H:$H,MATCH($A14,Data_metier!$B:$B,0))-INDEX(Data_metier!$H:$H,MATCH(U$1,Data_metier!$B:$B,0))&lt;=1),
1,
IF(INDEX(Data_metier!$H:$H,MATCH($A14,Data_metier!$B:$B,0))-INDEX(Data_metier!$H:$H,MATCH(U$1,Data_metier!$B:$B,0))&gt; 1,
2,
0)))</f>
        <v>2</v>
      </c>
      <c r="V14">
        <f>IF(INDEX(Data_metier!$H:$H,MATCH($A14,Data_metier!$B:$B,0))-INDEX(Data_metier!$H:$H,MATCH(V$1,Data_metier!$B:$B,0))&lt; 0,-1,
IF(AND(INDEX(Data_metier!$H:$H,MATCH($A14,Data_metier!$B:$B,0))-INDEX(Data_metier!$H:$H,MATCH(V$1,Data_metier!$B:$B,0))&gt; 0,
INDEX(Data_metier!$H:$H,MATCH($A14,Data_metier!$B:$B,0))-INDEX(Data_metier!$H:$H,MATCH(V$1,Data_metier!$B:$B,0))&lt;=1),
1,
IF(INDEX(Data_metier!$H:$H,MATCH($A14,Data_metier!$B:$B,0))-INDEX(Data_metier!$H:$H,MATCH(V$1,Data_metier!$B:$B,0))&gt; 1,
2,
0)))</f>
        <v>1</v>
      </c>
      <c r="W14">
        <f>IF(INDEX(Data_metier!$H:$H,MATCH($A14,Data_metier!$B:$B,0))-INDEX(Data_metier!$H:$H,MATCH(W$1,Data_metier!$B:$B,0))&lt; 0,-1,
IF(AND(INDEX(Data_metier!$H:$H,MATCH($A14,Data_metier!$B:$B,0))-INDEX(Data_metier!$H:$H,MATCH(W$1,Data_metier!$B:$B,0))&gt; 0,
INDEX(Data_metier!$H:$H,MATCH($A14,Data_metier!$B:$B,0))-INDEX(Data_metier!$H:$H,MATCH(W$1,Data_metier!$B:$B,0))&lt;=1),
1,
IF(INDEX(Data_metier!$H:$H,MATCH($A14,Data_metier!$B:$B,0))-INDEX(Data_metier!$H:$H,MATCH(W$1,Data_metier!$B:$B,0))&gt; 1,
2,
0)))</f>
        <v>1</v>
      </c>
      <c r="X14">
        <f>IF(INDEX(Data_metier!$H:$H,MATCH($A14,Data_metier!$B:$B,0))-INDEX(Data_metier!$H:$H,MATCH(X$1,Data_metier!$B:$B,0))&lt; 0,-1,
IF(AND(INDEX(Data_metier!$H:$H,MATCH($A14,Data_metier!$B:$B,0))-INDEX(Data_metier!$H:$H,MATCH(X$1,Data_metier!$B:$B,0))&gt; 0,
INDEX(Data_metier!$H:$H,MATCH($A14,Data_metier!$B:$B,0))-INDEX(Data_metier!$H:$H,MATCH(X$1,Data_metier!$B:$B,0))&lt;=1),
1,
IF(INDEX(Data_metier!$H:$H,MATCH($A14,Data_metier!$B:$B,0))-INDEX(Data_metier!$H:$H,MATCH(X$1,Data_metier!$B:$B,0))&gt; 1,
2,
0)))</f>
        <v>-1</v>
      </c>
      <c r="Y14">
        <f>IF(INDEX(Data_metier!$H:$H,MATCH($A14,Data_metier!$B:$B,0))-INDEX(Data_metier!$H:$H,MATCH(Y$1,Data_metier!$B:$B,0))&lt; 0,-1,
IF(AND(INDEX(Data_metier!$H:$H,MATCH($A14,Data_metier!$B:$B,0))-INDEX(Data_metier!$H:$H,MATCH(Y$1,Data_metier!$B:$B,0))&gt; 0,
INDEX(Data_metier!$H:$H,MATCH($A14,Data_metier!$B:$B,0))-INDEX(Data_metier!$H:$H,MATCH(Y$1,Data_metier!$B:$B,0))&lt;=1),
1,
IF(INDEX(Data_metier!$H:$H,MATCH($A14,Data_metier!$B:$B,0))-INDEX(Data_metier!$H:$H,MATCH(Y$1,Data_metier!$B:$B,0))&gt; 1,
2,
0)))</f>
        <v>2</v>
      </c>
      <c r="Z14">
        <f>IF(INDEX(Data_metier!$H:$H,MATCH($A14,Data_metier!$B:$B,0))-INDEX(Data_metier!$H:$H,MATCH(Z$1,Data_metier!$B:$B,0))&lt; 0,-1,
IF(AND(INDEX(Data_metier!$H:$H,MATCH($A14,Data_metier!$B:$B,0))-INDEX(Data_metier!$H:$H,MATCH(Z$1,Data_metier!$B:$B,0))&gt; 0,
INDEX(Data_metier!$H:$H,MATCH($A14,Data_metier!$B:$B,0))-INDEX(Data_metier!$H:$H,MATCH(Z$1,Data_metier!$B:$B,0))&lt;=1),
1,
IF(INDEX(Data_metier!$H:$H,MATCH($A14,Data_metier!$B:$B,0))-INDEX(Data_metier!$H:$H,MATCH(Z$1,Data_metier!$B:$B,0))&gt; 1,
2,
0)))</f>
        <v>2</v>
      </c>
      <c r="AA14">
        <f>IF(INDEX(Data_metier!$H:$H,MATCH($A14,Data_metier!$B:$B,0))-INDEX(Data_metier!$H:$H,MATCH(AA$1,Data_metier!$B:$B,0))&lt; 0,-1,
IF(AND(INDEX(Data_metier!$H:$H,MATCH($A14,Data_metier!$B:$B,0))-INDEX(Data_metier!$H:$H,MATCH(AA$1,Data_metier!$B:$B,0))&gt; 0,
INDEX(Data_metier!$H:$H,MATCH($A14,Data_metier!$B:$B,0))-INDEX(Data_metier!$H:$H,MATCH(AA$1,Data_metier!$B:$B,0))&lt;=1),
1,
IF(INDEX(Data_metier!$H:$H,MATCH($A14,Data_metier!$B:$B,0))-INDEX(Data_metier!$H:$H,MATCH(AA$1,Data_metier!$B:$B,0))&gt; 1,
2,
0)))</f>
        <v>2</v>
      </c>
      <c r="AB14">
        <f>IF(INDEX(Data_metier!$H:$H,MATCH($A14,Data_metier!$B:$B,0))-INDEX(Data_metier!$H:$H,MATCH(AB$1,Data_metier!$B:$B,0))&lt; 0,-1,
IF(AND(INDEX(Data_metier!$H:$H,MATCH($A14,Data_metier!$B:$B,0))-INDEX(Data_metier!$H:$H,MATCH(AB$1,Data_metier!$B:$B,0))&gt; 0,
INDEX(Data_metier!$H:$H,MATCH($A14,Data_metier!$B:$B,0))-INDEX(Data_metier!$H:$H,MATCH(AB$1,Data_metier!$B:$B,0))&lt;=1),
1,
IF(INDEX(Data_metier!$H:$H,MATCH($A14,Data_metier!$B:$B,0))-INDEX(Data_metier!$H:$H,MATCH(AB$1,Data_metier!$B:$B,0))&gt; 1,
2,
0)))</f>
        <v>1</v>
      </c>
      <c r="AC14">
        <f>IF(INDEX(Data_metier!$H:$H,MATCH($A14,Data_metier!$B:$B,0))-INDEX(Data_metier!$H:$H,MATCH(AC$1,Data_metier!$B:$B,0))&lt; 0,-1,
IF(AND(INDEX(Data_metier!$H:$H,MATCH($A14,Data_metier!$B:$B,0))-INDEX(Data_metier!$H:$H,MATCH(AC$1,Data_metier!$B:$B,0))&gt; 0,
INDEX(Data_metier!$H:$H,MATCH($A14,Data_metier!$B:$B,0))-INDEX(Data_metier!$H:$H,MATCH(AC$1,Data_metier!$B:$B,0))&lt;=1),
1,
IF(INDEX(Data_metier!$H:$H,MATCH($A14,Data_metier!$B:$B,0))-INDEX(Data_metier!$H:$H,MATCH(AC$1,Data_metier!$B:$B,0))&gt; 1,
2,
0)))</f>
        <v>1</v>
      </c>
      <c r="AD14">
        <f>IF(INDEX(Data_metier!$H:$H,MATCH($A14,Data_metier!$B:$B,0))-INDEX(Data_metier!$H:$H,MATCH(AD$1,Data_metier!$B:$B,0))&lt; 0,-1,
IF(AND(INDEX(Data_metier!$H:$H,MATCH($A14,Data_metier!$B:$B,0))-INDEX(Data_metier!$H:$H,MATCH(AD$1,Data_metier!$B:$B,0))&gt; 0,
INDEX(Data_metier!$H:$H,MATCH($A14,Data_metier!$B:$B,0))-INDEX(Data_metier!$H:$H,MATCH(AD$1,Data_metier!$B:$B,0))&lt;=1),
1,
IF(INDEX(Data_metier!$H:$H,MATCH($A14,Data_metier!$B:$B,0))-INDEX(Data_metier!$H:$H,MATCH(AD$1,Data_metier!$B:$B,0))&gt; 1,
2,
0)))</f>
        <v>1</v>
      </c>
    </row>
    <row r="15" spans="1:30">
      <c r="A15" t="str">
        <v>Conducteur(trice) de livraison et de collecte</v>
      </c>
      <c r="B15">
        <f>IF(INDEX(Data_metier!$H:$H,MATCH($A15,Data_metier!$B:$B,0))-INDEX(Data_metier!$H:$H,MATCH(B$1,Data_metier!$B:$B,0))&lt; 0,-1,
IF(AND(INDEX(Data_metier!$H:$H,MATCH($A15,Data_metier!$B:$B,0))-INDEX(Data_metier!$H:$H,MATCH(B$1,Data_metier!$B:$B,0))&gt; 0,
INDEX(Data_metier!$H:$H,MATCH($A15,Data_metier!$B:$B,0))-INDEX(Data_metier!$H:$H,MATCH(B$1,Data_metier!$B:$B,0))&lt;=1),
1,
IF(INDEX(Data_metier!$H:$H,MATCH($A15,Data_metier!$B:$B,0))-INDEX(Data_metier!$H:$H,MATCH(B$1,Data_metier!$B:$B,0))&gt; 1,
2,
0)))</f>
        <v>-1</v>
      </c>
      <c r="C15">
        <f>IF(INDEX(Data_metier!$H:$H,MATCH($A15,Data_metier!$B:$B,0))-INDEX(Data_metier!$H:$H,MATCH(C$1,Data_metier!$B:$B,0))&lt; 0,-1,
IF(AND(INDEX(Data_metier!$H:$H,MATCH($A15,Data_metier!$B:$B,0))-INDEX(Data_metier!$H:$H,MATCH(C$1,Data_metier!$B:$B,0))&gt; 0,
INDEX(Data_metier!$H:$H,MATCH($A15,Data_metier!$B:$B,0))-INDEX(Data_metier!$H:$H,MATCH(C$1,Data_metier!$B:$B,0))&lt;=1),
1,
IF(INDEX(Data_metier!$H:$H,MATCH($A15,Data_metier!$B:$B,0))-INDEX(Data_metier!$H:$H,MATCH(C$1,Data_metier!$B:$B,0))&gt; 1,
2,
0)))</f>
        <v>-1</v>
      </c>
      <c r="D15">
        <f>IF(INDEX(Data_metier!$H:$H,MATCH($A15,Data_metier!$B:$B,0))-INDEX(Data_metier!$H:$H,MATCH(D$1,Data_metier!$B:$B,0))&lt; 0,-1,
IF(AND(INDEX(Data_metier!$H:$H,MATCH($A15,Data_metier!$B:$B,0))-INDEX(Data_metier!$H:$H,MATCH(D$1,Data_metier!$B:$B,0))&gt; 0,
INDEX(Data_metier!$H:$H,MATCH($A15,Data_metier!$B:$B,0))-INDEX(Data_metier!$H:$H,MATCH(D$1,Data_metier!$B:$B,0))&lt;=1),
1,
IF(INDEX(Data_metier!$H:$H,MATCH($A15,Data_metier!$B:$B,0))-INDEX(Data_metier!$H:$H,MATCH(D$1,Data_metier!$B:$B,0))&gt; 1,
2,
0)))</f>
        <v>0</v>
      </c>
      <c r="E15">
        <f>IF(INDEX(Data_metier!$H:$H,MATCH($A15,Data_metier!$B:$B,0))-INDEX(Data_metier!$H:$H,MATCH(E$1,Data_metier!$B:$B,0))&lt; 0,-1,
IF(AND(INDEX(Data_metier!$H:$H,MATCH($A15,Data_metier!$B:$B,0))-INDEX(Data_metier!$H:$H,MATCH(E$1,Data_metier!$B:$B,0))&gt; 0,
INDEX(Data_metier!$H:$H,MATCH($A15,Data_metier!$B:$B,0))-INDEX(Data_metier!$H:$H,MATCH(E$1,Data_metier!$B:$B,0))&lt;=1),
1,
IF(INDEX(Data_metier!$H:$H,MATCH($A15,Data_metier!$B:$B,0))-INDEX(Data_metier!$H:$H,MATCH(E$1,Data_metier!$B:$B,0))&gt; 1,
2,
0)))</f>
        <v>-1</v>
      </c>
      <c r="F15">
        <f>IF(INDEX(Data_metier!$H:$H,MATCH($A15,Data_metier!$B:$B,0))-INDEX(Data_metier!$H:$H,MATCH(F$1,Data_metier!$B:$B,0))&lt; 0,-1,
IF(AND(INDEX(Data_metier!$H:$H,MATCH($A15,Data_metier!$B:$B,0))-INDEX(Data_metier!$H:$H,MATCH(F$1,Data_metier!$B:$B,0))&gt; 0,
INDEX(Data_metier!$H:$H,MATCH($A15,Data_metier!$B:$B,0))-INDEX(Data_metier!$H:$H,MATCH(F$1,Data_metier!$B:$B,0))&lt;=1),
1,
IF(INDEX(Data_metier!$H:$H,MATCH($A15,Data_metier!$B:$B,0))-INDEX(Data_metier!$H:$H,MATCH(F$1,Data_metier!$B:$B,0))&gt; 1,
2,
0)))</f>
        <v>-1</v>
      </c>
      <c r="G15">
        <f>IF(INDEX(Data_metier!$H:$H,MATCH($A15,Data_metier!$B:$B,0))-INDEX(Data_metier!$H:$H,MATCH(G$1,Data_metier!$B:$B,0))&lt; 0,-1,
IF(AND(INDEX(Data_metier!$H:$H,MATCH($A15,Data_metier!$B:$B,0))-INDEX(Data_metier!$H:$H,MATCH(G$1,Data_metier!$B:$B,0))&gt; 0,
INDEX(Data_metier!$H:$H,MATCH($A15,Data_metier!$B:$B,0))-INDEX(Data_metier!$H:$H,MATCH(G$1,Data_metier!$B:$B,0))&lt;=1),
1,
IF(INDEX(Data_metier!$H:$H,MATCH($A15,Data_metier!$B:$B,0))-INDEX(Data_metier!$H:$H,MATCH(G$1,Data_metier!$B:$B,0))&gt; 1,
2,
0)))</f>
        <v>-1</v>
      </c>
      <c r="H15">
        <f>IF(INDEX(Data_metier!$H:$H,MATCH($A15,Data_metier!$B:$B,0))-INDEX(Data_metier!$H:$H,MATCH(H$1,Data_metier!$B:$B,0))&lt; 0,-1,
IF(AND(INDEX(Data_metier!$H:$H,MATCH($A15,Data_metier!$B:$B,0))-INDEX(Data_metier!$H:$H,MATCH(H$1,Data_metier!$B:$B,0))&gt; 0,
INDEX(Data_metier!$H:$H,MATCH($A15,Data_metier!$B:$B,0))-INDEX(Data_metier!$H:$H,MATCH(H$1,Data_metier!$B:$B,0))&lt;=1),
1,
IF(INDEX(Data_metier!$H:$H,MATCH($A15,Data_metier!$B:$B,0))-INDEX(Data_metier!$H:$H,MATCH(H$1,Data_metier!$B:$B,0))&gt; 1,
2,
0)))</f>
        <v>-1</v>
      </c>
      <c r="I15">
        <f>IF(INDEX(Data_metier!$H:$H,MATCH($A15,Data_metier!$B:$B,0))-INDEX(Data_metier!$H:$H,MATCH(I$1,Data_metier!$B:$B,0))&lt; 0,-1,
IF(AND(INDEX(Data_metier!$H:$H,MATCH($A15,Data_metier!$B:$B,0))-INDEX(Data_metier!$H:$H,MATCH(I$1,Data_metier!$B:$B,0))&gt; 0,
INDEX(Data_metier!$H:$H,MATCH($A15,Data_metier!$B:$B,0))-INDEX(Data_metier!$H:$H,MATCH(I$1,Data_metier!$B:$B,0))&lt;=1),
1,
IF(INDEX(Data_metier!$H:$H,MATCH($A15,Data_metier!$B:$B,0))-INDEX(Data_metier!$H:$H,MATCH(I$1,Data_metier!$B:$B,0))&gt; 1,
2,
0)))</f>
        <v>0</v>
      </c>
      <c r="J15">
        <f>IF(INDEX(Data_metier!$H:$H,MATCH($A15,Data_metier!$B:$B,0))-INDEX(Data_metier!$H:$H,MATCH(J$1,Data_metier!$B:$B,0))&lt; 0,-1,
IF(AND(INDEX(Data_metier!$H:$H,MATCH($A15,Data_metier!$B:$B,0))-INDEX(Data_metier!$H:$H,MATCH(J$1,Data_metier!$B:$B,0))&gt; 0,
INDEX(Data_metier!$H:$H,MATCH($A15,Data_metier!$B:$B,0))-INDEX(Data_metier!$H:$H,MATCH(J$1,Data_metier!$B:$B,0))&lt;=1),
1,
IF(INDEX(Data_metier!$H:$H,MATCH($A15,Data_metier!$B:$B,0))-INDEX(Data_metier!$H:$H,MATCH(J$1,Data_metier!$B:$B,0))&gt; 1,
2,
0)))</f>
        <v>-1</v>
      </c>
      <c r="K15">
        <f>IF(INDEX(Data_metier!$H:$H,MATCH($A15,Data_metier!$B:$B,0))-INDEX(Data_metier!$H:$H,MATCH(K$1,Data_metier!$B:$B,0))&lt; 0,-1,
IF(AND(INDEX(Data_metier!$H:$H,MATCH($A15,Data_metier!$B:$B,0))-INDEX(Data_metier!$H:$H,MATCH(K$1,Data_metier!$B:$B,0))&gt; 0,
INDEX(Data_metier!$H:$H,MATCH($A15,Data_metier!$B:$B,0))-INDEX(Data_metier!$H:$H,MATCH(K$1,Data_metier!$B:$B,0))&lt;=1),
1,
IF(INDEX(Data_metier!$H:$H,MATCH($A15,Data_metier!$B:$B,0))-INDEX(Data_metier!$H:$H,MATCH(K$1,Data_metier!$B:$B,0))&gt; 1,
2,
0)))</f>
        <v>-1</v>
      </c>
      <c r="L15">
        <f>IF(INDEX(Data_metier!$H:$H,MATCH($A15,Data_metier!$B:$B,0))-INDEX(Data_metier!$H:$H,MATCH(L$1,Data_metier!$B:$B,0))&lt; 0,-1,
IF(AND(INDEX(Data_metier!$H:$H,MATCH($A15,Data_metier!$B:$B,0))-INDEX(Data_metier!$H:$H,MATCH(L$1,Data_metier!$B:$B,0))&gt; 0,
INDEX(Data_metier!$H:$H,MATCH($A15,Data_metier!$B:$B,0))-INDEX(Data_metier!$H:$H,MATCH(L$1,Data_metier!$B:$B,0))&lt;=1),
1,
IF(INDEX(Data_metier!$H:$H,MATCH($A15,Data_metier!$B:$B,0))-INDEX(Data_metier!$H:$H,MATCH(L$1,Data_metier!$B:$B,0))&gt; 1,
2,
0)))</f>
        <v>0</v>
      </c>
      <c r="M15">
        <f>IF(INDEX(Data_metier!$H:$H,MATCH($A15,Data_metier!$B:$B,0))-INDEX(Data_metier!$H:$H,MATCH(M$1,Data_metier!$B:$B,0))&lt; 0,-1,
IF(AND(INDEX(Data_metier!$H:$H,MATCH($A15,Data_metier!$B:$B,0))-INDEX(Data_metier!$H:$H,MATCH(M$1,Data_metier!$B:$B,0))&gt; 0,
INDEX(Data_metier!$H:$H,MATCH($A15,Data_metier!$B:$B,0))-INDEX(Data_metier!$H:$H,MATCH(M$1,Data_metier!$B:$B,0))&lt;=1),
1,
IF(INDEX(Data_metier!$H:$H,MATCH($A15,Data_metier!$B:$B,0))-INDEX(Data_metier!$H:$H,MATCH(M$1,Data_metier!$B:$B,0))&gt; 1,
2,
0)))</f>
        <v>-1</v>
      </c>
      <c r="N15">
        <f>IF(INDEX(Data_metier!$H:$H,MATCH($A15,Data_metier!$B:$B,0))-INDEX(Data_metier!$H:$H,MATCH(N$1,Data_metier!$B:$B,0))&lt; 0,-1,
IF(AND(INDEX(Data_metier!$H:$H,MATCH($A15,Data_metier!$B:$B,0))-INDEX(Data_metier!$H:$H,MATCH(N$1,Data_metier!$B:$B,0))&gt; 0,
INDEX(Data_metier!$H:$H,MATCH($A15,Data_metier!$B:$B,0))-INDEX(Data_metier!$H:$H,MATCH(N$1,Data_metier!$B:$B,0))&lt;=1),
1,
IF(INDEX(Data_metier!$H:$H,MATCH($A15,Data_metier!$B:$B,0))-INDEX(Data_metier!$H:$H,MATCH(N$1,Data_metier!$B:$B,0))&gt; 1,
2,
0)))</f>
        <v>-1</v>
      </c>
      <c r="O15">
        <f>IF(INDEX(Data_metier!$H:$H,MATCH($A15,Data_metier!$B:$B,0))-INDEX(Data_metier!$H:$H,MATCH(O$1,Data_metier!$B:$B,0))&lt; 0,-1,
IF(AND(INDEX(Data_metier!$H:$H,MATCH($A15,Data_metier!$B:$B,0))-INDEX(Data_metier!$H:$H,MATCH(O$1,Data_metier!$B:$B,0))&gt; 0,
INDEX(Data_metier!$H:$H,MATCH($A15,Data_metier!$B:$B,0))-INDEX(Data_metier!$H:$H,MATCH(O$1,Data_metier!$B:$B,0))&lt;=1),
1,
IF(INDEX(Data_metier!$H:$H,MATCH($A15,Data_metier!$B:$B,0))-INDEX(Data_metier!$H:$H,MATCH(O$1,Data_metier!$B:$B,0))&gt; 1,
2,
0)))</f>
        <v>0</v>
      </c>
      <c r="P15">
        <f>IF(INDEX(Data_metier!$H:$H,MATCH($A15,Data_metier!$B:$B,0))-INDEX(Data_metier!$H:$H,MATCH(P$1,Data_metier!$B:$B,0))&lt; 0,-1,
IF(AND(INDEX(Data_metier!$H:$H,MATCH($A15,Data_metier!$B:$B,0))-INDEX(Data_metier!$H:$H,MATCH(P$1,Data_metier!$B:$B,0))&gt; 0,
INDEX(Data_metier!$H:$H,MATCH($A15,Data_metier!$B:$B,0))-INDEX(Data_metier!$H:$H,MATCH(P$1,Data_metier!$B:$B,0))&lt;=1),
1,
IF(INDEX(Data_metier!$H:$H,MATCH($A15,Data_metier!$B:$B,0))-INDEX(Data_metier!$H:$H,MATCH(P$1,Data_metier!$B:$B,0))&gt; 1,
2,
0)))</f>
        <v>0</v>
      </c>
      <c r="Q15">
        <f>IF(INDEX(Data_metier!$H:$H,MATCH($A15,Data_metier!$B:$B,0))-INDEX(Data_metier!$H:$H,MATCH(Q$1,Data_metier!$B:$B,0))&lt; 0,-1,
IF(AND(INDEX(Data_metier!$H:$H,MATCH($A15,Data_metier!$B:$B,0))-INDEX(Data_metier!$H:$H,MATCH(Q$1,Data_metier!$B:$B,0))&gt; 0,
INDEX(Data_metier!$H:$H,MATCH($A15,Data_metier!$B:$B,0))-INDEX(Data_metier!$H:$H,MATCH(Q$1,Data_metier!$B:$B,0))&lt;=1),
1,
IF(INDEX(Data_metier!$H:$H,MATCH($A15,Data_metier!$B:$B,0))-INDEX(Data_metier!$H:$H,MATCH(Q$1,Data_metier!$B:$B,0))&gt; 1,
2,
0)))</f>
        <v>-1</v>
      </c>
      <c r="R15">
        <f>IF(INDEX(Data_metier!$H:$H,MATCH($A15,Data_metier!$B:$B,0))-INDEX(Data_metier!$H:$H,MATCH(R$1,Data_metier!$B:$B,0))&lt; 0,-1,
IF(AND(INDEX(Data_metier!$H:$H,MATCH($A15,Data_metier!$B:$B,0))-INDEX(Data_metier!$H:$H,MATCH(R$1,Data_metier!$B:$B,0))&gt; 0,
INDEX(Data_metier!$H:$H,MATCH($A15,Data_metier!$B:$B,0))-INDEX(Data_metier!$H:$H,MATCH(R$1,Data_metier!$B:$B,0))&lt;=1),
1,
IF(INDEX(Data_metier!$H:$H,MATCH($A15,Data_metier!$B:$B,0))-INDEX(Data_metier!$H:$H,MATCH(R$1,Data_metier!$B:$B,0))&gt; 1,
2,
0)))</f>
        <v>-1</v>
      </c>
      <c r="S15">
        <f>IF(INDEX(Data_metier!$H:$H,MATCH($A15,Data_metier!$B:$B,0))-INDEX(Data_metier!$H:$H,MATCH(S$1,Data_metier!$B:$B,0))&lt; 0,-1,
IF(AND(INDEX(Data_metier!$H:$H,MATCH($A15,Data_metier!$B:$B,0))-INDEX(Data_metier!$H:$H,MATCH(S$1,Data_metier!$B:$B,0))&gt; 0,
INDEX(Data_metier!$H:$H,MATCH($A15,Data_metier!$B:$B,0))-INDEX(Data_metier!$H:$H,MATCH(S$1,Data_metier!$B:$B,0))&lt;=1),
1,
IF(INDEX(Data_metier!$H:$H,MATCH($A15,Data_metier!$B:$B,0))-INDEX(Data_metier!$H:$H,MATCH(S$1,Data_metier!$B:$B,0))&gt; 1,
2,
0)))</f>
        <v>0</v>
      </c>
      <c r="T15">
        <f>IF(INDEX(Data_metier!$H:$H,MATCH($A15,Data_metier!$B:$B,0))-INDEX(Data_metier!$H:$H,MATCH(T$1,Data_metier!$B:$B,0))&lt; 0,-1,
IF(AND(INDEX(Data_metier!$H:$H,MATCH($A15,Data_metier!$B:$B,0))-INDEX(Data_metier!$H:$H,MATCH(T$1,Data_metier!$B:$B,0))&gt; 0,
INDEX(Data_metier!$H:$H,MATCH($A15,Data_metier!$B:$B,0))-INDEX(Data_metier!$H:$H,MATCH(T$1,Data_metier!$B:$B,0))&lt;=1),
1,
IF(INDEX(Data_metier!$H:$H,MATCH($A15,Data_metier!$B:$B,0))-INDEX(Data_metier!$H:$H,MATCH(T$1,Data_metier!$B:$B,0))&gt; 1,
2,
0)))</f>
        <v>0</v>
      </c>
      <c r="U15">
        <f>IF(INDEX(Data_metier!$H:$H,MATCH($A15,Data_metier!$B:$B,0))-INDEX(Data_metier!$H:$H,MATCH(U$1,Data_metier!$B:$B,0))&lt; 0,-1,
IF(AND(INDEX(Data_metier!$H:$H,MATCH($A15,Data_metier!$B:$B,0))-INDEX(Data_metier!$H:$H,MATCH(U$1,Data_metier!$B:$B,0))&gt; 0,
INDEX(Data_metier!$H:$H,MATCH($A15,Data_metier!$B:$B,0))-INDEX(Data_metier!$H:$H,MATCH(U$1,Data_metier!$B:$B,0))&lt;=1),
1,
IF(INDEX(Data_metier!$H:$H,MATCH($A15,Data_metier!$B:$B,0))-INDEX(Data_metier!$H:$H,MATCH(U$1,Data_metier!$B:$B,0))&gt; 1,
2,
0)))</f>
        <v>0</v>
      </c>
      <c r="V15">
        <f>IF(INDEX(Data_metier!$H:$H,MATCH($A15,Data_metier!$B:$B,0))-INDEX(Data_metier!$H:$H,MATCH(V$1,Data_metier!$B:$B,0))&lt; 0,-1,
IF(AND(INDEX(Data_metier!$H:$H,MATCH($A15,Data_metier!$B:$B,0))-INDEX(Data_metier!$H:$H,MATCH(V$1,Data_metier!$B:$B,0))&gt; 0,
INDEX(Data_metier!$H:$H,MATCH($A15,Data_metier!$B:$B,0))-INDEX(Data_metier!$H:$H,MATCH(V$1,Data_metier!$B:$B,0))&lt;=1),
1,
IF(INDEX(Data_metier!$H:$H,MATCH($A15,Data_metier!$B:$B,0))-INDEX(Data_metier!$H:$H,MATCH(V$1,Data_metier!$B:$B,0))&gt; 1,
2,
0)))</f>
        <v>-1</v>
      </c>
      <c r="W15">
        <f>IF(INDEX(Data_metier!$H:$H,MATCH($A15,Data_metier!$B:$B,0))-INDEX(Data_metier!$H:$H,MATCH(W$1,Data_metier!$B:$B,0))&lt; 0,-1,
IF(AND(INDEX(Data_metier!$H:$H,MATCH($A15,Data_metier!$B:$B,0))-INDEX(Data_metier!$H:$H,MATCH(W$1,Data_metier!$B:$B,0))&gt; 0,
INDEX(Data_metier!$H:$H,MATCH($A15,Data_metier!$B:$B,0))-INDEX(Data_metier!$H:$H,MATCH(W$1,Data_metier!$B:$B,0))&lt;=1),
1,
IF(INDEX(Data_metier!$H:$H,MATCH($A15,Data_metier!$B:$B,0))-INDEX(Data_metier!$H:$H,MATCH(W$1,Data_metier!$B:$B,0))&gt; 1,
2,
0)))</f>
        <v>-1</v>
      </c>
      <c r="X15">
        <f>IF(INDEX(Data_metier!$H:$H,MATCH($A15,Data_metier!$B:$B,0))-INDEX(Data_metier!$H:$H,MATCH(X$1,Data_metier!$B:$B,0))&lt; 0,-1,
IF(AND(INDEX(Data_metier!$H:$H,MATCH($A15,Data_metier!$B:$B,0))-INDEX(Data_metier!$H:$H,MATCH(X$1,Data_metier!$B:$B,0))&gt; 0,
INDEX(Data_metier!$H:$H,MATCH($A15,Data_metier!$B:$B,0))-INDEX(Data_metier!$H:$H,MATCH(X$1,Data_metier!$B:$B,0))&lt;=1),
1,
IF(INDEX(Data_metier!$H:$H,MATCH($A15,Data_metier!$B:$B,0))-INDEX(Data_metier!$H:$H,MATCH(X$1,Data_metier!$B:$B,0))&gt; 1,
2,
0)))</f>
        <v>-1</v>
      </c>
      <c r="Y15">
        <f>IF(INDEX(Data_metier!$H:$H,MATCH($A15,Data_metier!$B:$B,0))-INDEX(Data_metier!$H:$H,MATCH(Y$1,Data_metier!$B:$B,0))&lt; 0,-1,
IF(AND(INDEX(Data_metier!$H:$H,MATCH($A15,Data_metier!$B:$B,0))-INDEX(Data_metier!$H:$H,MATCH(Y$1,Data_metier!$B:$B,0))&gt; 0,
INDEX(Data_metier!$H:$H,MATCH($A15,Data_metier!$B:$B,0))-INDEX(Data_metier!$H:$H,MATCH(Y$1,Data_metier!$B:$B,0))&lt;=1),
1,
IF(INDEX(Data_metier!$H:$H,MATCH($A15,Data_metier!$B:$B,0))-INDEX(Data_metier!$H:$H,MATCH(Y$1,Data_metier!$B:$B,0))&gt; 1,
2,
0)))</f>
        <v>0</v>
      </c>
      <c r="Z15">
        <f>IF(INDEX(Data_metier!$H:$H,MATCH($A15,Data_metier!$B:$B,0))-INDEX(Data_metier!$H:$H,MATCH(Z$1,Data_metier!$B:$B,0))&lt; 0,-1,
IF(AND(INDEX(Data_metier!$H:$H,MATCH($A15,Data_metier!$B:$B,0))-INDEX(Data_metier!$H:$H,MATCH(Z$1,Data_metier!$B:$B,0))&gt; 0,
INDEX(Data_metier!$H:$H,MATCH($A15,Data_metier!$B:$B,0))-INDEX(Data_metier!$H:$H,MATCH(Z$1,Data_metier!$B:$B,0))&lt;=1),
1,
IF(INDEX(Data_metier!$H:$H,MATCH($A15,Data_metier!$B:$B,0))-INDEX(Data_metier!$H:$H,MATCH(Z$1,Data_metier!$B:$B,0))&gt; 1,
2,
0)))</f>
        <v>0</v>
      </c>
      <c r="AA15">
        <f>IF(INDEX(Data_metier!$H:$H,MATCH($A15,Data_metier!$B:$B,0))-INDEX(Data_metier!$H:$H,MATCH(AA$1,Data_metier!$B:$B,0))&lt; 0,-1,
IF(AND(INDEX(Data_metier!$H:$H,MATCH($A15,Data_metier!$B:$B,0))-INDEX(Data_metier!$H:$H,MATCH(AA$1,Data_metier!$B:$B,0))&gt; 0,
INDEX(Data_metier!$H:$H,MATCH($A15,Data_metier!$B:$B,0))-INDEX(Data_metier!$H:$H,MATCH(AA$1,Data_metier!$B:$B,0))&lt;=1),
1,
IF(INDEX(Data_metier!$H:$H,MATCH($A15,Data_metier!$B:$B,0))-INDEX(Data_metier!$H:$H,MATCH(AA$1,Data_metier!$B:$B,0))&gt; 1,
2,
0)))</f>
        <v>0</v>
      </c>
      <c r="AB15">
        <f>IF(INDEX(Data_metier!$H:$H,MATCH($A15,Data_metier!$B:$B,0))-INDEX(Data_metier!$H:$H,MATCH(AB$1,Data_metier!$B:$B,0))&lt; 0,-1,
IF(AND(INDEX(Data_metier!$H:$H,MATCH($A15,Data_metier!$B:$B,0))-INDEX(Data_metier!$H:$H,MATCH(AB$1,Data_metier!$B:$B,0))&gt; 0,
INDEX(Data_metier!$H:$H,MATCH($A15,Data_metier!$B:$B,0))-INDEX(Data_metier!$H:$H,MATCH(AB$1,Data_metier!$B:$B,0))&lt;=1),
1,
IF(INDEX(Data_metier!$H:$H,MATCH($A15,Data_metier!$B:$B,0))-INDEX(Data_metier!$H:$H,MATCH(AB$1,Data_metier!$B:$B,0))&gt; 1,
2,
0)))</f>
        <v>-1</v>
      </c>
      <c r="AC15">
        <f>IF(INDEX(Data_metier!$H:$H,MATCH($A15,Data_metier!$B:$B,0))-INDEX(Data_metier!$H:$H,MATCH(AC$1,Data_metier!$B:$B,0))&lt; 0,-1,
IF(AND(INDEX(Data_metier!$H:$H,MATCH($A15,Data_metier!$B:$B,0))-INDEX(Data_metier!$H:$H,MATCH(AC$1,Data_metier!$B:$B,0))&gt; 0,
INDEX(Data_metier!$H:$H,MATCH($A15,Data_metier!$B:$B,0))-INDEX(Data_metier!$H:$H,MATCH(AC$1,Data_metier!$B:$B,0))&lt;=1),
1,
IF(INDEX(Data_metier!$H:$H,MATCH($A15,Data_metier!$B:$B,0))-INDEX(Data_metier!$H:$H,MATCH(AC$1,Data_metier!$B:$B,0))&gt; 1,
2,
0)))</f>
        <v>-1</v>
      </c>
      <c r="AD15">
        <f>IF(INDEX(Data_metier!$H:$H,MATCH($A15,Data_metier!$B:$B,0))-INDEX(Data_metier!$H:$H,MATCH(AD$1,Data_metier!$B:$B,0))&lt; 0,-1,
IF(AND(INDEX(Data_metier!$H:$H,MATCH($A15,Data_metier!$B:$B,0))-INDEX(Data_metier!$H:$H,MATCH(AD$1,Data_metier!$B:$B,0))&gt; 0,
INDEX(Data_metier!$H:$H,MATCH($A15,Data_metier!$B:$B,0))-INDEX(Data_metier!$H:$H,MATCH(AD$1,Data_metier!$B:$B,0))&lt;=1),
1,
IF(INDEX(Data_metier!$H:$H,MATCH($A15,Data_metier!$B:$B,0))-INDEX(Data_metier!$H:$H,MATCH(AD$1,Data_metier!$B:$B,0))&gt; 1,
2,
0)))</f>
        <v>-1</v>
      </c>
    </row>
    <row r="16" spans="1:30">
      <c r="A16" t="str">
        <v>Opérateur(trice) hygiène / sanitation</v>
      </c>
      <c r="B16">
        <f>IF(INDEX(Data_metier!$H:$H,MATCH($A16,Data_metier!$B:$B,0))-INDEX(Data_metier!$H:$H,MATCH(B$1,Data_metier!$B:$B,0))&lt; 0,-1,
IF(AND(INDEX(Data_metier!$H:$H,MATCH($A16,Data_metier!$B:$B,0))-INDEX(Data_metier!$H:$H,MATCH(B$1,Data_metier!$B:$B,0))&gt; 0,
INDEX(Data_metier!$H:$H,MATCH($A16,Data_metier!$B:$B,0))-INDEX(Data_metier!$H:$H,MATCH(B$1,Data_metier!$B:$B,0))&lt;=1),
1,
IF(INDEX(Data_metier!$H:$H,MATCH($A16,Data_metier!$B:$B,0))-INDEX(Data_metier!$H:$H,MATCH(B$1,Data_metier!$B:$B,0))&gt; 1,
2,
0)))</f>
        <v>-1</v>
      </c>
      <c r="C16">
        <f>IF(INDEX(Data_metier!$H:$H,MATCH($A16,Data_metier!$B:$B,0))-INDEX(Data_metier!$H:$H,MATCH(C$1,Data_metier!$B:$B,0))&lt; 0,-1,
IF(AND(INDEX(Data_metier!$H:$H,MATCH($A16,Data_metier!$B:$B,0))-INDEX(Data_metier!$H:$H,MATCH(C$1,Data_metier!$B:$B,0))&gt; 0,
INDEX(Data_metier!$H:$H,MATCH($A16,Data_metier!$B:$B,0))-INDEX(Data_metier!$H:$H,MATCH(C$1,Data_metier!$B:$B,0))&lt;=1),
1,
IF(INDEX(Data_metier!$H:$H,MATCH($A16,Data_metier!$B:$B,0))-INDEX(Data_metier!$H:$H,MATCH(C$1,Data_metier!$B:$B,0))&gt; 1,
2,
0)))</f>
        <v>-1</v>
      </c>
      <c r="D16">
        <f>IF(INDEX(Data_metier!$H:$H,MATCH($A16,Data_metier!$B:$B,0))-INDEX(Data_metier!$H:$H,MATCH(D$1,Data_metier!$B:$B,0))&lt; 0,-1,
IF(AND(INDEX(Data_metier!$H:$H,MATCH($A16,Data_metier!$B:$B,0))-INDEX(Data_metier!$H:$H,MATCH(D$1,Data_metier!$B:$B,0))&gt; 0,
INDEX(Data_metier!$H:$H,MATCH($A16,Data_metier!$B:$B,0))-INDEX(Data_metier!$H:$H,MATCH(D$1,Data_metier!$B:$B,0))&lt;=1),
1,
IF(INDEX(Data_metier!$H:$H,MATCH($A16,Data_metier!$B:$B,0))-INDEX(Data_metier!$H:$H,MATCH(D$1,Data_metier!$B:$B,0))&gt; 1,
2,
0)))</f>
        <v>0</v>
      </c>
      <c r="E16">
        <f>IF(INDEX(Data_metier!$H:$H,MATCH($A16,Data_metier!$B:$B,0))-INDEX(Data_metier!$H:$H,MATCH(E$1,Data_metier!$B:$B,0))&lt; 0,-1,
IF(AND(INDEX(Data_metier!$H:$H,MATCH($A16,Data_metier!$B:$B,0))-INDEX(Data_metier!$H:$H,MATCH(E$1,Data_metier!$B:$B,0))&gt; 0,
INDEX(Data_metier!$H:$H,MATCH($A16,Data_metier!$B:$B,0))-INDEX(Data_metier!$H:$H,MATCH(E$1,Data_metier!$B:$B,0))&lt;=1),
1,
IF(INDEX(Data_metier!$H:$H,MATCH($A16,Data_metier!$B:$B,0))-INDEX(Data_metier!$H:$H,MATCH(E$1,Data_metier!$B:$B,0))&gt; 1,
2,
0)))</f>
        <v>-1</v>
      </c>
      <c r="F16">
        <f>IF(INDEX(Data_metier!$H:$H,MATCH($A16,Data_metier!$B:$B,0))-INDEX(Data_metier!$H:$H,MATCH(F$1,Data_metier!$B:$B,0))&lt; 0,-1,
IF(AND(INDEX(Data_metier!$H:$H,MATCH($A16,Data_metier!$B:$B,0))-INDEX(Data_metier!$H:$H,MATCH(F$1,Data_metier!$B:$B,0))&gt; 0,
INDEX(Data_metier!$H:$H,MATCH($A16,Data_metier!$B:$B,0))-INDEX(Data_metier!$H:$H,MATCH(F$1,Data_metier!$B:$B,0))&lt;=1),
1,
IF(INDEX(Data_metier!$H:$H,MATCH($A16,Data_metier!$B:$B,0))-INDEX(Data_metier!$H:$H,MATCH(F$1,Data_metier!$B:$B,0))&gt; 1,
2,
0)))</f>
        <v>-1</v>
      </c>
      <c r="G16">
        <f>IF(INDEX(Data_metier!$H:$H,MATCH($A16,Data_metier!$B:$B,0))-INDEX(Data_metier!$H:$H,MATCH(G$1,Data_metier!$B:$B,0))&lt; 0,-1,
IF(AND(INDEX(Data_metier!$H:$H,MATCH($A16,Data_metier!$B:$B,0))-INDEX(Data_metier!$H:$H,MATCH(G$1,Data_metier!$B:$B,0))&gt; 0,
INDEX(Data_metier!$H:$H,MATCH($A16,Data_metier!$B:$B,0))-INDEX(Data_metier!$H:$H,MATCH(G$1,Data_metier!$B:$B,0))&lt;=1),
1,
IF(INDEX(Data_metier!$H:$H,MATCH($A16,Data_metier!$B:$B,0))-INDEX(Data_metier!$H:$H,MATCH(G$1,Data_metier!$B:$B,0))&gt; 1,
2,
0)))</f>
        <v>-1</v>
      </c>
      <c r="H16">
        <f>IF(INDEX(Data_metier!$H:$H,MATCH($A16,Data_metier!$B:$B,0))-INDEX(Data_metier!$H:$H,MATCH(H$1,Data_metier!$B:$B,0))&lt; 0,-1,
IF(AND(INDEX(Data_metier!$H:$H,MATCH($A16,Data_metier!$B:$B,0))-INDEX(Data_metier!$H:$H,MATCH(H$1,Data_metier!$B:$B,0))&gt; 0,
INDEX(Data_metier!$H:$H,MATCH($A16,Data_metier!$B:$B,0))-INDEX(Data_metier!$H:$H,MATCH(H$1,Data_metier!$B:$B,0))&lt;=1),
1,
IF(INDEX(Data_metier!$H:$H,MATCH($A16,Data_metier!$B:$B,0))-INDEX(Data_metier!$H:$H,MATCH(H$1,Data_metier!$B:$B,0))&gt; 1,
2,
0)))</f>
        <v>-1</v>
      </c>
      <c r="I16">
        <f>IF(INDEX(Data_metier!$H:$H,MATCH($A16,Data_metier!$B:$B,0))-INDEX(Data_metier!$H:$H,MATCH(I$1,Data_metier!$B:$B,0))&lt; 0,-1,
IF(AND(INDEX(Data_metier!$H:$H,MATCH($A16,Data_metier!$B:$B,0))-INDEX(Data_metier!$H:$H,MATCH(I$1,Data_metier!$B:$B,0))&gt; 0,
INDEX(Data_metier!$H:$H,MATCH($A16,Data_metier!$B:$B,0))-INDEX(Data_metier!$H:$H,MATCH(I$1,Data_metier!$B:$B,0))&lt;=1),
1,
IF(INDEX(Data_metier!$H:$H,MATCH($A16,Data_metier!$B:$B,0))-INDEX(Data_metier!$H:$H,MATCH(I$1,Data_metier!$B:$B,0))&gt; 1,
2,
0)))</f>
        <v>0</v>
      </c>
      <c r="J16">
        <f>IF(INDEX(Data_metier!$H:$H,MATCH($A16,Data_metier!$B:$B,0))-INDEX(Data_metier!$H:$H,MATCH(J$1,Data_metier!$B:$B,0))&lt; 0,-1,
IF(AND(INDEX(Data_metier!$H:$H,MATCH($A16,Data_metier!$B:$B,0))-INDEX(Data_metier!$H:$H,MATCH(J$1,Data_metier!$B:$B,0))&gt; 0,
INDEX(Data_metier!$H:$H,MATCH($A16,Data_metier!$B:$B,0))-INDEX(Data_metier!$H:$H,MATCH(J$1,Data_metier!$B:$B,0))&lt;=1),
1,
IF(INDEX(Data_metier!$H:$H,MATCH($A16,Data_metier!$B:$B,0))-INDEX(Data_metier!$H:$H,MATCH(J$1,Data_metier!$B:$B,0))&gt; 1,
2,
0)))</f>
        <v>-1</v>
      </c>
      <c r="K16">
        <f>IF(INDEX(Data_metier!$H:$H,MATCH($A16,Data_metier!$B:$B,0))-INDEX(Data_metier!$H:$H,MATCH(K$1,Data_metier!$B:$B,0))&lt; 0,-1,
IF(AND(INDEX(Data_metier!$H:$H,MATCH($A16,Data_metier!$B:$B,0))-INDEX(Data_metier!$H:$H,MATCH(K$1,Data_metier!$B:$B,0))&gt; 0,
INDEX(Data_metier!$H:$H,MATCH($A16,Data_metier!$B:$B,0))-INDEX(Data_metier!$H:$H,MATCH(K$1,Data_metier!$B:$B,0))&lt;=1),
1,
IF(INDEX(Data_metier!$H:$H,MATCH($A16,Data_metier!$B:$B,0))-INDEX(Data_metier!$H:$H,MATCH(K$1,Data_metier!$B:$B,0))&gt; 1,
2,
0)))</f>
        <v>-1</v>
      </c>
      <c r="L16">
        <f>IF(INDEX(Data_metier!$H:$H,MATCH($A16,Data_metier!$B:$B,0))-INDEX(Data_metier!$H:$H,MATCH(L$1,Data_metier!$B:$B,0))&lt; 0,-1,
IF(AND(INDEX(Data_metier!$H:$H,MATCH($A16,Data_metier!$B:$B,0))-INDEX(Data_metier!$H:$H,MATCH(L$1,Data_metier!$B:$B,0))&gt; 0,
INDEX(Data_metier!$H:$H,MATCH($A16,Data_metier!$B:$B,0))-INDEX(Data_metier!$H:$H,MATCH(L$1,Data_metier!$B:$B,0))&lt;=1),
1,
IF(INDEX(Data_metier!$H:$H,MATCH($A16,Data_metier!$B:$B,0))-INDEX(Data_metier!$H:$H,MATCH(L$1,Data_metier!$B:$B,0))&gt; 1,
2,
0)))</f>
        <v>0</v>
      </c>
      <c r="M16">
        <f>IF(INDEX(Data_metier!$H:$H,MATCH($A16,Data_metier!$B:$B,0))-INDEX(Data_metier!$H:$H,MATCH(M$1,Data_metier!$B:$B,0))&lt; 0,-1,
IF(AND(INDEX(Data_metier!$H:$H,MATCH($A16,Data_metier!$B:$B,0))-INDEX(Data_metier!$H:$H,MATCH(M$1,Data_metier!$B:$B,0))&gt; 0,
INDEX(Data_metier!$H:$H,MATCH($A16,Data_metier!$B:$B,0))-INDEX(Data_metier!$H:$H,MATCH(M$1,Data_metier!$B:$B,0))&lt;=1),
1,
IF(INDEX(Data_metier!$H:$H,MATCH($A16,Data_metier!$B:$B,0))-INDEX(Data_metier!$H:$H,MATCH(M$1,Data_metier!$B:$B,0))&gt; 1,
2,
0)))</f>
        <v>-1</v>
      </c>
      <c r="N16">
        <f>IF(INDEX(Data_metier!$H:$H,MATCH($A16,Data_metier!$B:$B,0))-INDEX(Data_metier!$H:$H,MATCH(N$1,Data_metier!$B:$B,0))&lt; 0,-1,
IF(AND(INDEX(Data_metier!$H:$H,MATCH($A16,Data_metier!$B:$B,0))-INDEX(Data_metier!$H:$H,MATCH(N$1,Data_metier!$B:$B,0))&gt; 0,
INDEX(Data_metier!$H:$H,MATCH($A16,Data_metier!$B:$B,0))-INDEX(Data_metier!$H:$H,MATCH(N$1,Data_metier!$B:$B,0))&lt;=1),
1,
IF(INDEX(Data_metier!$H:$H,MATCH($A16,Data_metier!$B:$B,0))-INDEX(Data_metier!$H:$H,MATCH(N$1,Data_metier!$B:$B,0))&gt; 1,
2,
0)))</f>
        <v>-1</v>
      </c>
      <c r="O16">
        <f>IF(INDEX(Data_metier!$H:$H,MATCH($A16,Data_metier!$B:$B,0))-INDEX(Data_metier!$H:$H,MATCH(O$1,Data_metier!$B:$B,0))&lt; 0,-1,
IF(AND(INDEX(Data_metier!$H:$H,MATCH($A16,Data_metier!$B:$B,0))-INDEX(Data_metier!$H:$H,MATCH(O$1,Data_metier!$B:$B,0))&gt; 0,
INDEX(Data_metier!$H:$H,MATCH($A16,Data_metier!$B:$B,0))-INDEX(Data_metier!$H:$H,MATCH(O$1,Data_metier!$B:$B,0))&lt;=1),
1,
IF(INDEX(Data_metier!$H:$H,MATCH($A16,Data_metier!$B:$B,0))-INDEX(Data_metier!$H:$H,MATCH(O$1,Data_metier!$B:$B,0))&gt; 1,
2,
0)))</f>
        <v>0</v>
      </c>
      <c r="P16">
        <f>IF(INDEX(Data_metier!$H:$H,MATCH($A16,Data_metier!$B:$B,0))-INDEX(Data_metier!$H:$H,MATCH(P$1,Data_metier!$B:$B,0))&lt; 0,-1,
IF(AND(INDEX(Data_metier!$H:$H,MATCH($A16,Data_metier!$B:$B,0))-INDEX(Data_metier!$H:$H,MATCH(P$1,Data_metier!$B:$B,0))&gt; 0,
INDEX(Data_metier!$H:$H,MATCH($A16,Data_metier!$B:$B,0))-INDEX(Data_metier!$H:$H,MATCH(P$1,Data_metier!$B:$B,0))&lt;=1),
1,
IF(INDEX(Data_metier!$H:$H,MATCH($A16,Data_metier!$B:$B,0))-INDEX(Data_metier!$H:$H,MATCH(P$1,Data_metier!$B:$B,0))&gt; 1,
2,
0)))</f>
        <v>0</v>
      </c>
      <c r="Q16">
        <f>IF(INDEX(Data_metier!$H:$H,MATCH($A16,Data_metier!$B:$B,0))-INDEX(Data_metier!$H:$H,MATCH(Q$1,Data_metier!$B:$B,0))&lt; 0,-1,
IF(AND(INDEX(Data_metier!$H:$H,MATCH($A16,Data_metier!$B:$B,0))-INDEX(Data_metier!$H:$H,MATCH(Q$1,Data_metier!$B:$B,0))&gt; 0,
INDEX(Data_metier!$H:$H,MATCH($A16,Data_metier!$B:$B,0))-INDEX(Data_metier!$H:$H,MATCH(Q$1,Data_metier!$B:$B,0))&lt;=1),
1,
IF(INDEX(Data_metier!$H:$H,MATCH($A16,Data_metier!$B:$B,0))-INDEX(Data_metier!$H:$H,MATCH(Q$1,Data_metier!$B:$B,0))&gt; 1,
2,
0)))</f>
        <v>-1</v>
      </c>
      <c r="R16">
        <f>IF(INDEX(Data_metier!$H:$H,MATCH($A16,Data_metier!$B:$B,0))-INDEX(Data_metier!$H:$H,MATCH(R$1,Data_metier!$B:$B,0))&lt; 0,-1,
IF(AND(INDEX(Data_metier!$H:$H,MATCH($A16,Data_metier!$B:$B,0))-INDEX(Data_metier!$H:$H,MATCH(R$1,Data_metier!$B:$B,0))&gt; 0,
INDEX(Data_metier!$H:$H,MATCH($A16,Data_metier!$B:$B,0))-INDEX(Data_metier!$H:$H,MATCH(R$1,Data_metier!$B:$B,0))&lt;=1),
1,
IF(INDEX(Data_metier!$H:$H,MATCH($A16,Data_metier!$B:$B,0))-INDEX(Data_metier!$H:$H,MATCH(R$1,Data_metier!$B:$B,0))&gt; 1,
2,
0)))</f>
        <v>-1</v>
      </c>
      <c r="S16">
        <f>IF(INDEX(Data_metier!$H:$H,MATCH($A16,Data_metier!$B:$B,0))-INDEX(Data_metier!$H:$H,MATCH(S$1,Data_metier!$B:$B,0))&lt; 0,-1,
IF(AND(INDEX(Data_metier!$H:$H,MATCH($A16,Data_metier!$B:$B,0))-INDEX(Data_metier!$H:$H,MATCH(S$1,Data_metier!$B:$B,0))&gt; 0,
INDEX(Data_metier!$H:$H,MATCH($A16,Data_metier!$B:$B,0))-INDEX(Data_metier!$H:$H,MATCH(S$1,Data_metier!$B:$B,0))&lt;=1),
1,
IF(INDEX(Data_metier!$H:$H,MATCH($A16,Data_metier!$B:$B,0))-INDEX(Data_metier!$H:$H,MATCH(S$1,Data_metier!$B:$B,0))&gt; 1,
2,
0)))</f>
        <v>0</v>
      </c>
      <c r="T16">
        <f>IF(INDEX(Data_metier!$H:$H,MATCH($A16,Data_metier!$B:$B,0))-INDEX(Data_metier!$H:$H,MATCH(T$1,Data_metier!$B:$B,0))&lt; 0,-1,
IF(AND(INDEX(Data_metier!$H:$H,MATCH($A16,Data_metier!$B:$B,0))-INDEX(Data_metier!$H:$H,MATCH(T$1,Data_metier!$B:$B,0))&gt; 0,
INDEX(Data_metier!$H:$H,MATCH($A16,Data_metier!$B:$B,0))-INDEX(Data_metier!$H:$H,MATCH(T$1,Data_metier!$B:$B,0))&lt;=1),
1,
IF(INDEX(Data_metier!$H:$H,MATCH($A16,Data_metier!$B:$B,0))-INDEX(Data_metier!$H:$H,MATCH(T$1,Data_metier!$B:$B,0))&gt; 1,
2,
0)))</f>
        <v>0</v>
      </c>
      <c r="U16">
        <f>IF(INDEX(Data_metier!$H:$H,MATCH($A16,Data_metier!$B:$B,0))-INDEX(Data_metier!$H:$H,MATCH(U$1,Data_metier!$B:$B,0))&lt; 0,-1,
IF(AND(INDEX(Data_metier!$H:$H,MATCH($A16,Data_metier!$B:$B,0))-INDEX(Data_metier!$H:$H,MATCH(U$1,Data_metier!$B:$B,0))&gt; 0,
INDEX(Data_metier!$H:$H,MATCH($A16,Data_metier!$B:$B,0))-INDEX(Data_metier!$H:$H,MATCH(U$1,Data_metier!$B:$B,0))&lt;=1),
1,
IF(INDEX(Data_metier!$H:$H,MATCH($A16,Data_metier!$B:$B,0))-INDEX(Data_metier!$H:$H,MATCH(U$1,Data_metier!$B:$B,0))&gt; 1,
2,
0)))</f>
        <v>0</v>
      </c>
      <c r="V16">
        <f>IF(INDEX(Data_metier!$H:$H,MATCH($A16,Data_metier!$B:$B,0))-INDEX(Data_metier!$H:$H,MATCH(V$1,Data_metier!$B:$B,0))&lt; 0,-1,
IF(AND(INDEX(Data_metier!$H:$H,MATCH($A16,Data_metier!$B:$B,0))-INDEX(Data_metier!$H:$H,MATCH(V$1,Data_metier!$B:$B,0))&gt; 0,
INDEX(Data_metier!$H:$H,MATCH($A16,Data_metier!$B:$B,0))-INDEX(Data_metier!$H:$H,MATCH(V$1,Data_metier!$B:$B,0))&lt;=1),
1,
IF(INDEX(Data_metier!$H:$H,MATCH($A16,Data_metier!$B:$B,0))-INDEX(Data_metier!$H:$H,MATCH(V$1,Data_metier!$B:$B,0))&gt; 1,
2,
0)))</f>
        <v>-1</v>
      </c>
      <c r="W16">
        <f>IF(INDEX(Data_metier!$H:$H,MATCH($A16,Data_metier!$B:$B,0))-INDEX(Data_metier!$H:$H,MATCH(W$1,Data_metier!$B:$B,0))&lt; 0,-1,
IF(AND(INDEX(Data_metier!$H:$H,MATCH($A16,Data_metier!$B:$B,0))-INDEX(Data_metier!$H:$H,MATCH(W$1,Data_metier!$B:$B,0))&gt; 0,
INDEX(Data_metier!$H:$H,MATCH($A16,Data_metier!$B:$B,0))-INDEX(Data_metier!$H:$H,MATCH(W$1,Data_metier!$B:$B,0))&lt;=1),
1,
IF(INDEX(Data_metier!$H:$H,MATCH($A16,Data_metier!$B:$B,0))-INDEX(Data_metier!$H:$H,MATCH(W$1,Data_metier!$B:$B,0))&gt; 1,
2,
0)))</f>
        <v>-1</v>
      </c>
      <c r="X16">
        <f>IF(INDEX(Data_metier!$H:$H,MATCH($A16,Data_metier!$B:$B,0))-INDEX(Data_metier!$H:$H,MATCH(X$1,Data_metier!$B:$B,0))&lt; 0,-1,
IF(AND(INDEX(Data_metier!$H:$H,MATCH($A16,Data_metier!$B:$B,0))-INDEX(Data_metier!$H:$H,MATCH(X$1,Data_metier!$B:$B,0))&gt; 0,
INDEX(Data_metier!$H:$H,MATCH($A16,Data_metier!$B:$B,0))-INDEX(Data_metier!$H:$H,MATCH(X$1,Data_metier!$B:$B,0))&lt;=1),
1,
IF(INDEX(Data_metier!$H:$H,MATCH($A16,Data_metier!$B:$B,0))-INDEX(Data_metier!$H:$H,MATCH(X$1,Data_metier!$B:$B,0))&gt; 1,
2,
0)))</f>
        <v>-1</v>
      </c>
      <c r="Y16">
        <f>IF(INDEX(Data_metier!$H:$H,MATCH($A16,Data_metier!$B:$B,0))-INDEX(Data_metier!$H:$H,MATCH(Y$1,Data_metier!$B:$B,0))&lt; 0,-1,
IF(AND(INDEX(Data_metier!$H:$H,MATCH($A16,Data_metier!$B:$B,0))-INDEX(Data_metier!$H:$H,MATCH(Y$1,Data_metier!$B:$B,0))&gt; 0,
INDEX(Data_metier!$H:$H,MATCH($A16,Data_metier!$B:$B,0))-INDEX(Data_metier!$H:$H,MATCH(Y$1,Data_metier!$B:$B,0))&lt;=1),
1,
IF(INDEX(Data_metier!$H:$H,MATCH($A16,Data_metier!$B:$B,0))-INDEX(Data_metier!$H:$H,MATCH(Y$1,Data_metier!$B:$B,0))&gt; 1,
2,
0)))</f>
        <v>0</v>
      </c>
      <c r="Z16">
        <f>IF(INDEX(Data_metier!$H:$H,MATCH($A16,Data_metier!$B:$B,0))-INDEX(Data_metier!$H:$H,MATCH(Z$1,Data_metier!$B:$B,0))&lt; 0,-1,
IF(AND(INDEX(Data_metier!$H:$H,MATCH($A16,Data_metier!$B:$B,0))-INDEX(Data_metier!$H:$H,MATCH(Z$1,Data_metier!$B:$B,0))&gt; 0,
INDEX(Data_metier!$H:$H,MATCH($A16,Data_metier!$B:$B,0))-INDEX(Data_metier!$H:$H,MATCH(Z$1,Data_metier!$B:$B,0))&lt;=1),
1,
IF(INDEX(Data_metier!$H:$H,MATCH($A16,Data_metier!$B:$B,0))-INDEX(Data_metier!$H:$H,MATCH(Z$1,Data_metier!$B:$B,0))&gt; 1,
2,
0)))</f>
        <v>0</v>
      </c>
      <c r="AA16">
        <f>IF(INDEX(Data_metier!$H:$H,MATCH($A16,Data_metier!$B:$B,0))-INDEX(Data_metier!$H:$H,MATCH(AA$1,Data_metier!$B:$B,0))&lt; 0,-1,
IF(AND(INDEX(Data_metier!$H:$H,MATCH($A16,Data_metier!$B:$B,0))-INDEX(Data_metier!$H:$H,MATCH(AA$1,Data_metier!$B:$B,0))&gt; 0,
INDEX(Data_metier!$H:$H,MATCH($A16,Data_metier!$B:$B,0))-INDEX(Data_metier!$H:$H,MATCH(AA$1,Data_metier!$B:$B,0))&lt;=1),
1,
IF(INDEX(Data_metier!$H:$H,MATCH($A16,Data_metier!$B:$B,0))-INDEX(Data_metier!$H:$H,MATCH(AA$1,Data_metier!$B:$B,0))&gt; 1,
2,
0)))</f>
        <v>0</v>
      </c>
      <c r="AB16">
        <f>IF(INDEX(Data_metier!$H:$H,MATCH($A16,Data_metier!$B:$B,0))-INDEX(Data_metier!$H:$H,MATCH(AB$1,Data_metier!$B:$B,0))&lt; 0,-1,
IF(AND(INDEX(Data_metier!$H:$H,MATCH($A16,Data_metier!$B:$B,0))-INDEX(Data_metier!$H:$H,MATCH(AB$1,Data_metier!$B:$B,0))&gt; 0,
INDEX(Data_metier!$H:$H,MATCH($A16,Data_metier!$B:$B,0))-INDEX(Data_metier!$H:$H,MATCH(AB$1,Data_metier!$B:$B,0))&lt;=1),
1,
IF(INDEX(Data_metier!$H:$H,MATCH($A16,Data_metier!$B:$B,0))-INDEX(Data_metier!$H:$H,MATCH(AB$1,Data_metier!$B:$B,0))&gt; 1,
2,
0)))</f>
        <v>-1</v>
      </c>
      <c r="AC16">
        <f>IF(INDEX(Data_metier!$H:$H,MATCH($A16,Data_metier!$B:$B,0))-INDEX(Data_metier!$H:$H,MATCH(AC$1,Data_metier!$B:$B,0))&lt; 0,-1,
IF(AND(INDEX(Data_metier!$H:$H,MATCH($A16,Data_metier!$B:$B,0))-INDEX(Data_metier!$H:$H,MATCH(AC$1,Data_metier!$B:$B,0))&gt; 0,
INDEX(Data_metier!$H:$H,MATCH($A16,Data_metier!$B:$B,0))-INDEX(Data_metier!$H:$H,MATCH(AC$1,Data_metier!$B:$B,0))&lt;=1),
1,
IF(INDEX(Data_metier!$H:$H,MATCH($A16,Data_metier!$B:$B,0))-INDEX(Data_metier!$H:$H,MATCH(AC$1,Data_metier!$B:$B,0))&gt; 1,
2,
0)))</f>
        <v>-1</v>
      </c>
      <c r="AD16">
        <f>IF(INDEX(Data_metier!$H:$H,MATCH($A16,Data_metier!$B:$B,0))-INDEX(Data_metier!$H:$H,MATCH(AD$1,Data_metier!$B:$B,0))&lt; 0,-1,
IF(AND(INDEX(Data_metier!$H:$H,MATCH($A16,Data_metier!$B:$B,0))-INDEX(Data_metier!$H:$H,MATCH(AD$1,Data_metier!$B:$B,0))&gt; 0,
INDEX(Data_metier!$H:$H,MATCH($A16,Data_metier!$B:$B,0))-INDEX(Data_metier!$H:$H,MATCH(AD$1,Data_metier!$B:$B,0))&lt;=1),
1,
IF(INDEX(Data_metier!$H:$H,MATCH($A16,Data_metier!$B:$B,0))-INDEX(Data_metier!$H:$H,MATCH(AD$1,Data_metier!$B:$B,0))&gt; 1,
2,
0)))</f>
        <v>-1</v>
      </c>
    </row>
    <row r="17" spans="1:30">
      <c r="A17" t="str">
        <v>Chef(fe) de silo</v>
      </c>
      <c r="B17">
        <f>IF(INDEX(Data_metier!$H:$H,MATCH($A17,Data_metier!$B:$B,0))-INDEX(Data_metier!$H:$H,MATCH(B$1,Data_metier!$B:$B,0))&lt; 0,-1,
IF(AND(INDEX(Data_metier!$H:$H,MATCH($A17,Data_metier!$B:$B,0))-INDEX(Data_metier!$H:$H,MATCH(B$1,Data_metier!$B:$B,0))&gt; 0,
INDEX(Data_metier!$H:$H,MATCH($A17,Data_metier!$B:$B,0))-INDEX(Data_metier!$H:$H,MATCH(B$1,Data_metier!$B:$B,0))&lt;=1),
1,
IF(INDEX(Data_metier!$H:$H,MATCH($A17,Data_metier!$B:$B,0))-INDEX(Data_metier!$H:$H,MATCH(B$1,Data_metier!$B:$B,0))&gt; 1,
2,
0)))</f>
        <v>2</v>
      </c>
      <c r="C17">
        <f>IF(INDEX(Data_metier!$H:$H,MATCH($A17,Data_metier!$B:$B,0))-INDEX(Data_metier!$H:$H,MATCH(C$1,Data_metier!$B:$B,0))&lt; 0,-1,
IF(AND(INDEX(Data_metier!$H:$H,MATCH($A17,Data_metier!$B:$B,0))-INDEX(Data_metier!$H:$H,MATCH(C$1,Data_metier!$B:$B,0))&gt; 0,
INDEX(Data_metier!$H:$H,MATCH($A17,Data_metier!$B:$B,0))-INDEX(Data_metier!$H:$H,MATCH(C$1,Data_metier!$B:$B,0))&lt;=1),
1,
IF(INDEX(Data_metier!$H:$H,MATCH($A17,Data_metier!$B:$B,0))-INDEX(Data_metier!$H:$H,MATCH(C$1,Data_metier!$B:$B,0))&gt; 1,
2,
0)))</f>
        <v>2</v>
      </c>
      <c r="D17">
        <f>IF(INDEX(Data_metier!$H:$H,MATCH($A17,Data_metier!$B:$B,0))-INDEX(Data_metier!$H:$H,MATCH(D$1,Data_metier!$B:$B,0))&lt; 0,-1,
IF(AND(INDEX(Data_metier!$H:$H,MATCH($A17,Data_metier!$B:$B,0))-INDEX(Data_metier!$H:$H,MATCH(D$1,Data_metier!$B:$B,0))&gt; 0,
INDEX(Data_metier!$H:$H,MATCH($A17,Data_metier!$B:$B,0))-INDEX(Data_metier!$H:$H,MATCH(D$1,Data_metier!$B:$B,0))&lt;=1),
1,
IF(INDEX(Data_metier!$H:$H,MATCH($A17,Data_metier!$B:$B,0))-INDEX(Data_metier!$H:$H,MATCH(D$1,Data_metier!$B:$B,0))&gt; 1,
2,
0)))</f>
        <v>2</v>
      </c>
      <c r="E17">
        <f>IF(INDEX(Data_metier!$H:$H,MATCH($A17,Data_metier!$B:$B,0))-INDEX(Data_metier!$H:$H,MATCH(E$1,Data_metier!$B:$B,0))&lt; 0,-1,
IF(AND(INDEX(Data_metier!$H:$H,MATCH($A17,Data_metier!$B:$B,0))-INDEX(Data_metier!$H:$H,MATCH(E$1,Data_metier!$B:$B,0))&gt; 0,
INDEX(Data_metier!$H:$H,MATCH($A17,Data_metier!$B:$B,0))-INDEX(Data_metier!$H:$H,MATCH(E$1,Data_metier!$B:$B,0))&lt;=1),
1,
IF(INDEX(Data_metier!$H:$H,MATCH($A17,Data_metier!$B:$B,0))-INDEX(Data_metier!$H:$H,MATCH(E$1,Data_metier!$B:$B,0))&gt; 1,
2,
0)))</f>
        <v>0</v>
      </c>
      <c r="F17">
        <f>IF(INDEX(Data_metier!$H:$H,MATCH($A17,Data_metier!$B:$B,0))-INDEX(Data_metier!$H:$H,MATCH(F$1,Data_metier!$B:$B,0))&lt; 0,-1,
IF(AND(INDEX(Data_metier!$H:$H,MATCH($A17,Data_metier!$B:$B,0))-INDEX(Data_metier!$H:$H,MATCH(F$1,Data_metier!$B:$B,0))&gt; 0,
INDEX(Data_metier!$H:$H,MATCH($A17,Data_metier!$B:$B,0))-INDEX(Data_metier!$H:$H,MATCH(F$1,Data_metier!$B:$B,0))&lt;=1),
1,
IF(INDEX(Data_metier!$H:$H,MATCH($A17,Data_metier!$B:$B,0))-INDEX(Data_metier!$H:$H,MATCH(F$1,Data_metier!$B:$B,0))&gt; 1,
2,
0)))</f>
        <v>-1</v>
      </c>
      <c r="G17">
        <f>IF(INDEX(Data_metier!$H:$H,MATCH($A17,Data_metier!$B:$B,0))-INDEX(Data_metier!$H:$H,MATCH(G$1,Data_metier!$B:$B,0))&lt; 0,-1,
IF(AND(INDEX(Data_metier!$H:$H,MATCH($A17,Data_metier!$B:$B,0))-INDEX(Data_metier!$H:$H,MATCH(G$1,Data_metier!$B:$B,0))&gt; 0,
INDEX(Data_metier!$H:$H,MATCH($A17,Data_metier!$B:$B,0))-INDEX(Data_metier!$H:$H,MATCH(G$1,Data_metier!$B:$B,0))&lt;=1),
1,
IF(INDEX(Data_metier!$H:$H,MATCH($A17,Data_metier!$B:$B,0))-INDEX(Data_metier!$H:$H,MATCH(G$1,Data_metier!$B:$B,0))&gt; 1,
2,
0)))</f>
        <v>-1</v>
      </c>
      <c r="H17">
        <f>IF(INDEX(Data_metier!$H:$H,MATCH($A17,Data_metier!$B:$B,0))-INDEX(Data_metier!$H:$H,MATCH(H$1,Data_metier!$B:$B,0))&lt; 0,-1,
IF(AND(INDEX(Data_metier!$H:$H,MATCH($A17,Data_metier!$B:$B,0))-INDEX(Data_metier!$H:$H,MATCH(H$1,Data_metier!$B:$B,0))&gt; 0,
INDEX(Data_metier!$H:$H,MATCH($A17,Data_metier!$B:$B,0))-INDEX(Data_metier!$H:$H,MATCH(H$1,Data_metier!$B:$B,0))&lt;=1),
1,
IF(INDEX(Data_metier!$H:$H,MATCH($A17,Data_metier!$B:$B,0))-INDEX(Data_metier!$H:$H,MATCH(H$1,Data_metier!$B:$B,0))&gt; 1,
2,
0)))</f>
        <v>-1</v>
      </c>
      <c r="I17">
        <f>IF(INDEX(Data_metier!$H:$H,MATCH($A17,Data_metier!$B:$B,0))-INDEX(Data_metier!$H:$H,MATCH(I$1,Data_metier!$B:$B,0))&lt; 0,-1,
IF(AND(INDEX(Data_metier!$H:$H,MATCH($A17,Data_metier!$B:$B,0))-INDEX(Data_metier!$H:$H,MATCH(I$1,Data_metier!$B:$B,0))&gt; 0,
INDEX(Data_metier!$H:$H,MATCH($A17,Data_metier!$B:$B,0))-INDEX(Data_metier!$H:$H,MATCH(I$1,Data_metier!$B:$B,0))&lt;=1),
1,
IF(INDEX(Data_metier!$H:$H,MATCH($A17,Data_metier!$B:$B,0))-INDEX(Data_metier!$H:$H,MATCH(I$1,Data_metier!$B:$B,0))&gt; 1,
2,
0)))</f>
        <v>2</v>
      </c>
      <c r="J17">
        <f>IF(INDEX(Data_metier!$H:$H,MATCH($A17,Data_metier!$B:$B,0))-INDEX(Data_metier!$H:$H,MATCH(J$1,Data_metier!$B:$B,0))&lt; 0,-1,
IF(AND(INDEX(Data_metier!$H:$H,MATCH($A17,Data_metier!$B:$B,0))-INDEX(Data_metier!$H:$H,MATCH(J$1,Data_metier!$B:$B,0))&gt; 0,
INDEX(Data_metier!$H:$H,MATCH($A17,Data_metier!$B:$B,0))-INDEX(Data_metier!$H:$H,MATCH(J$1,Data_metier!$B:$B,0))&lt;=1),
1,
IF(INDEX(Data_metier!$H:$H,MATCH($A17,Data_metier!$B:$B,0))-INDEX(Data_metier!$H:$H,MATCH(J$1,Data_metier!$B:$B,0))&gt; 1,
2,
0)))</f>
        <v>0</v>
      </c>
      <c r="K17">
        <f>IF(INDEX(Data_metier!$H:$H,MATCH($A17,Data_metier!$B:$B,0))-INDEX(Data_metier!$H:$H,MATCH(K$1,Data_metier!$B:$B,0))&lt; 0,-1,
IF(AND(INDEX(Data_metier!$H:$H,MATCH($A17,Data_metier!$B:$B,0))-INDEX(Data_metier!$H:$H,MATCH(K$1,Data_metier!$B:$B,0))&gt; 0,
INDEX(Data_metier!$H:$H,MATCH($A17,Data_metier!$B:$B,0))-INDEX(Data_metier!$H:$H,MATCH(K$1,Data_metier!$B:$B,0))&lt;=1),
1,
IF(INDEX(Data_metier!$H:$H,MATCH($A17,Data_metier!$B:$B,0))-INDEX(Data_metier!$H:$H,MATCH(K$1,Data_metier!$B:$B,0))&gt; 1,
2,
0)))</f>
        <v>-1</v>
      </c>
      <c r="L17">
        <f>IF(INDEX(Data_metier!$H:$H,MATCH($A17,Data_metier!$B:$B,0))-INDEX(Data_metier!$H:$H,MATCH(L$1,Data_metier!$B:$B,0))&lt; 0,-1,
IF(AND(INDEX(Data_metier!$H:$H,MATCH($A17,Data_metier!$B:$B,0))-INDEX(Data_metier!$H:$H,MATCH(L$1,Data_metier!$B:$B,0))&gt; 0,
INDEX(Data_metier!$H:$H,MATCH($A17,Data_metier!$B:$B,0))-INDEX(Data_metier!$H:$H,MATCH(L$1,Data_metier!$B:$B,0))&lt;=1),
1,
IF(INDEX(Data_metier!$H:$H,MATCH($A17,Data_metier!$B:$B,0))-INDEX(Data_metier!$H:$H,MATCH(L$1,Data_metier!$B:$B,0))&gt; 1,
2,
0)))</f>
        <v>2</v>
      </c>
      <c r="M17">
        <f>IF(INDEX(Data_metier!$H:$H,MATCH($A17,Data_metier!$B:$B,0))-INDEX(Data_metier!$H:$H,MATCH(M$1,Data_metier!$B:$B,0))&lt; 0,-1,
IF(AND(INDEX(Data_metier!$H:$H,MATCH($A17,Data_metier!$B:$B,0))-INDEX(Data_metier!$H:$H,MATCH(M$1,Data_metier!$B:$B,0))&gt; 0,
INDEX(Data_metier!$H:$H,MATCH($A17,Data_metier!$B:$B,0))-INDEX(Data_metier!$H:$H,MATCH(M$1,Data_metier!$B:$B,0))&lt;=1),
1,
IF(INDEX(Data_metier!$H:$H,MATCH($A17,Data_metier!$B:$B,0))-INDEX(Data_metier!$H:$H,MATCH(M$1,Data_metier!$B:$B,0))&gt; 1,
2,
0)))</f>
        <v>2</v>
      </c>
      <c r="N17">
        <f>IF(INDEX(Data_metier!$H:$H,MATCH($A17,Data_metier!$B:$B,0))-INDEX(Data_metier!$H:$H,MATCH(N$1,Data_metier!$B:$B,0))&lt; 0,-1,
IF(AND(INDEX(Data_metier!$H:$H,MATCH($A17,Data_metier!$B:$B,0))-INDEX(Data_metier!$H:$H,MATCH(N$1,Data_metier!$B:$B,0))&gt; 0,
INDEX(Data_metier!$H:$H,MATCH($A17,Data_metier!$B:$B,0))-INDEX(Data_metier!$H:$H,MATCH(N$1,Data_metier!$B:$B,0))&lt;=1),
1,
IF(INDEX(Data_metier!$H:$H,MATCH($A17,Data_metier!$B:$B,0))-INDEX(Data_metier!$H:$H,MATCH(N$1,Data_metier!$B:$B,0))&gt; 1,
2,
0)))</f>
        <v>1</v>
      </c>
      <c r="O17">
        <f>IF(INDEX(Data_metier!$H:$H,MATCH($A17,Data_metier!$B:$B,0))-INDEX(Data_metier!$H:$H,MATCH(O$1,Data_metier!$B:$B,0))&lt; 0,-1,
IF(AND(INDEX(Data_metier!$H:$H,MATCH($A17,Data_metier!$B:$B,0))-INDEX(Data_metier!$H:$H,MATCH(O$1,Data_metier!$B:$B,0))&gt; 0,
INDEX(Data_metier!$H:$H,MATCH($A17,Data_metier!$B:$B,0))-INDEX(Data_metier!$H:$H,MATCH(O$1,Data_metier!$B:$B,0))&lt;=1),
1,
IF(INDEX(Data_metier!$H:$H,MATCH($A17,Data_metier!$B:$B,0))-INDEX(Data_metier!$H:$H,MATCH(O$1,Data_metier!$B:$B,0))&gt; 1,
2,
0)))</f>
        <v>2</v>
      </c>
      <c r="P17">
        <f>IF(INDEX(Data_metier!$H:$H,MATCH($A17,Data_metier!$B:$B,0))-INDEX(Data_metier!$H:$H,MATCH(P$1,Data_metier!$B:$B,0))&lt; 0,-1,
IF(AND(INDEX(Data_metier!$H:$H,MATCH($A17,Data_metier!$B:$B,0))-INDEX(Data_metier!$H:$H,MATCH(P$1,Data_metier!$B:$B,0))&gt; 0,
INDEX(Data_metier!$H:$H,MATCH($A17,Data_metier!$B:$B,0))-INDEX(Data_metier!$H:$H,MATCH(P$1,Data_metier!$B:$B,0))&lt;=1),
1,
IF(INDEX(Data_metier!$H:$H,MATCH($A17,Data_metier!$B:$B,0))-INDEX(Data_metier!$H:$H,MATCH(P$1,Data_metier!$B:$B,0))&gt; 1,
2,
0)))</f>
        <v>2</v>
      </c>
      <c r="Q17">
        <f>IF(INDEX(Data_metier!$H:$H,MATCH($A17,Data_metier!$B:$B,0))-INDEX(Data_metier!$H:$H,MATCH(Q$1,Data_metier!$B:$B,0))&lt; 0,-1,
IF(AND(INDEX(Data_metier!$H:$H,MATCH($A17,Data_metier!$B:$B,0))-INDEX(Data_metier!$H:$H,MATCH(Q$1,Data_metier!$B:$B,0))&gt; 0,
INDEX(Data_metier!$H:$H,MATCH($A17,Data_metier!$B:$B,0))-INDEX(Data_metier!$H:$H,MATCH(Q$1,Data_metier!$B:$B,0))&lt;=1),
1,
IF(INDEX(Data_metier!$H:$H,MATCH($A17,Data_metier!$B:$B,0))-INDEX(Data_metier!$H:$H,MATCH(Q$1,Data_metier!$B:$B,0))&gt; 1,
2,
0)))</f>
        <v>0</v>
      </c>
      <c r="R17">
        <f>IF(INDEX(Data_metier!$H:$H,MATCH($A17,Data_metier!$B:$B,0))-INDEX(Data_metier!$H:$H,MATCH(R$1,Data_metier!$B:$B,0))&lt; 0,-1,
IF(AND(INDEX(Data_metier!$H:$H,MATCH($A17,Data_metier!$B:$B,0))-INDEX(Data_metier!$H:$H,MATCH(R$1,Data_metier!$B:$B,0))&gt; 0,
INDEX(Data_metier!$H:$H,MATCH($A17,Data_metier!$B:$B,0))-INDEX(Data_metier!$H:$H,MATCH(R$1,Data_metier!$B:$B,0))&lt;=1),
1,
IF(INDEX(Data_metier!$H:$H,MATCH($A17,Data_metier!$B:$B,0))-INDEX(Data_metier!$H:$H,MATCH(R$1,Data_metier!$B:$B,0))&gt; 1,
2,
0)))</f>
        <v>-1</v>
      </c>
      <c r="S17">
        <f>IF(INDEX(Data_metier!$H:$H,MATCH($A17,Data_metier!$B:$B,0))-INDEX(Data_metier!$H:$H,MATCH(S$1,Data_metier!$B:$B,0))&lt; 0,-1,
IF(AND(INDEX(Data_metier!$H:$H,MATCH($A17,Data_metier!$B:$B,0))-INDEX(Data_metier!$H:$H,MATCH(S$1,Data_metier!$B:$B,0))&gt; 0,
INDEX(Data_metier!$H:$H,MATCH($A17,Data_metier!$B:$B,0))-INDEX(Data_metier!$H:$H,MATCH(S$1,Data_metier!$B:$B,0))&lt;=1),
1,
IF(INDEX(Data_metier!$H:$H,MATCH($A17,Data_metier!$B:$B,0))-INDEX(Data_metier!$H:$H,MATCH(S$1,Data_metier!$B:$B,0))&gt; 1,
2,
0)))</f>
        <v>2</v>
      </c>
      <c r="T17">
        <f>IF(INDEX(Data_metier!$H:$H,MATCH($A17,Data_metier!$B:$B,0))-INDEX(Data_metier!$H:$H,MATCH(T$1,Data_metier!$B:$B,0))&lt; 0,-1,
IF(AND(INDEX(Data_metier!$H:$H,MATCH($A17,Data_metier!$B:$B,0))-INDEX(Data_metier!$H:$H,MATCH(T$1,Data_metier!$B:$B,0))&gt; 0,
INDEX(Data_metier!$H:$H,MATCH($A17,Data_metier!$B:$B,0))-INDEX(Data_metier!$H:$H,MATCH(T$1,Data_metier!$B:$B,0))&lt;=1),
1,
IF(INDEX(Data_metier!$H:$H,MATCH($A17,Data_metier!$B:$B,0))-INDEX(Data_metier!$H:$H,MATCH(T$1,Data_metier!$B:$B,0))&gt; 1,
2,
0)))</f>
        <v>2</v>
      </c>
      <c r="U17">
        <f>IF(INDEX(Data_metier!$H:$H,MATCH($A17,Data_metier!$B:$B,0))-INDEX(Data_metier!$H:$H,MATCH(U$1,Data_metier!$B:$B,0))&lt; 0,-1,
IF(AND(INDEX(Data_metier!$H:$H,MATCH($A17,Data_metier!$B:$B,0))-INDEX(Data_metier!$H:$H,MATCH(U$1,Data_metier!$B:$B,0))&gt; 0,
INDEX(Data_metier!$H:$H,MATCH($A17,Data_metier!$B:$B,0))-INDEX(Data_metier!$H:$H,MATCH(U$1,Data_metier!$B:$B,0))&lt;=1),
1,
IF(INDEX(Data_metier!$H:$H,MATCH($A17,Data_metier!$B:$B,0))-INDEX(Data_metier!$H:$H,MATCH(U$1,Data_metier!$B:$B,0))&gt; 1,
2,
0)))</f>
        <v>2</v>
      </c>
      <c r="V17">
        <f>IF(INDEX(Data_metier!$H:$H,MATCH($A17,Data_metier!$B:$B,0))-INDEX(Data_metier!$H:$H,MATCH(V$1,Data_metier!$B:$B,0))&lt; 0,-1,
IF(AND(INDEX(Data_metier!$H:$H,MATCH($A17,Data_metier!$B:$B,0))-INDEX(Data_metier!$H:$H,MATCH(V$1,Data_metier!$B:$B,0))&gt; 0,
INDEX(Data_metier!$H:$H,MATCH($A17,Data_metier!$B:$B,0))-INDEX(Data_metier!$H:$H,MATCH(V$1,Data_metier!$B:$B,0))&lt;=1),
1,
IF(INDEX(Data_metier!$H:$H,MATCH($A17,Data_metier!$B:$B,0))-INDEX(Data_metier!$H:$H,MATCH(V$1,Data_metier!$B:$B,0))&gt; 1,
2,
0)))</f>
        <v>2</v>
      </c>
      <c r="W17">
        <f>IF(INDEX(Data_metier!$H:$H,MATCH($A17,Data_metier!$B:$B,0))-INDEX(Data_metier!$H:$H,MATCH(W$1,Data_metier!$B:$B,0))&lt; 0,-1,
IF(AND(INDEX(Data_metier!$H:$H,MATCH($A17,Data_metier!$B:$B,0))-INDEX(Data_metier!$H:$H,MATCH(W$1,Data_metier!$B:$B,0))&gt; 0,
INDEX(Data_metier!$H:$H,MATCH($A17,Data_metier!$B:$B,0))-INDEX(Data_metier!$H:$H,MATCH(W$1,Data_metier!$B:$B,0))&lt;=1),
1,
IF(INDEX(Data_metier!$H:$H,MATCH($A17,Data_metier!$B:$B,0))-INDEX(Data_metier!$H:$H,MATCH(W$1,Data_metier!$B:$B,0))&gt; 1,
2,
0)))</f>
        <v>2</v>
      </c>
      <c r="X17">
        <f>IF(INDEX(Data_metier!$H:$H,MATCH($A17,Data_metier!$B:$B,0))-INDEX(Data_metier!$H:$H,MATCH(X$1,Data_metier!$B:$B,0))&lt; 0,-1,
IF(AND(INDEX(Data_metier!$H:$H,MATCH($A17,Data_metier!$B:$B,0))-INDEX(Data_metier!$H:$H,MATCH(X$1,Data_metier!$B:$B,0))&gt; 0,
INDEX(Data_metier!$H:$H,MATCH($A17,Data_metier!$B:$B,0))-INDEX(Data_metier!$H:$H,MATCH(X$1,Data_metier!$B:$B,0))&lt;=1),
1,
IF(INDEX(Data_metier!$H:$H,MATCH($A17,Data_metier!$B:$B,0))-INDEX(Data_metier!$H:$H,MATCH(X$1,Data_metier!$B:$B,0))&gt; 1,
2,
0)))</f>
        <v>-1</v>
      </c>
      <c r="Y17">
        <f>IF(INDEX(Data_metier!$H:$H,MATCH($A17,Data_metier!$B:$B,0))-INDEX(Data_metier!$H:$H,MATCH(Y$1,Data_metier!$B:$B,0))&lt; 0,-1,
IF(AND(INDEX(Data_metier!$H:$H,MATCH($A17,Data_metier!$B:$B,0))-INDEX(Data_metier!$H:$H,MATCH(Y$1,Data_metier!$B:$B,0))&gt; 0,
INDEX(Data_metier!$H:$H,MATCH($A17,Data_metier!$B:$B,0))-INDEX(Data_metier!$H:$H,MATCH(Y$1,Data_metier!$B:$B,0))&lt;=1),
1,
IF(INDEX(Data_metier!$H:$H,MATCH($A17,Data_metier!$B:$B,0))-INDEX(Data_metier!$H:$H,MATCH(Y$1,Data_metier!$B:$B,0))&gt; 1,
2,
0)))</f>
        <v>2</v>
      </c>
      <c r="Z17">
        <f>IF(INDEX(Data_metier!$H:$H,MATCH($A17,Data_metier!$B:$B,0))-INDEX(Data_metier!$H:$H,MATCH(Z$1,Data_metier!$B:$B,0))&lt; 0,-1,
IF(AND(INDEX(Data_metier!$H:$H,MATCH($A17,Data_metier!$B:$B,0))-INDEX(Data_metier!$H:$H,MATCH(Z$1,Data_metier!$B:$B,0))&gt; 0,
INDEX(Data_metier!$H:$H,MATCH($A17,Data_metier!$B:$B,0))-INDEX(Data_metier!$H:$H,MATCH(Z$1,Data_metier!$B:$B,0))&lt;=1),
1,
IF(INDEX(Data_metier!$H:$H,MATCH($A17,Data_metier!$B:$B,0))-INDEX(Data_metier!$H:$H,MATCH(Z$1,Data_metier!$B:$B,0))&gt; 1,
2,
0)))</f>
        <v>2</v>
      </c>
      <c r="AA17">
        <f>IF(INDEX(Data_metier!$H:$H,MATCH($A17,Data_metier!$B:$B,0))-INDEX(Data_metier!$H:$H,MATCH(AA$1,Data_metier!$B:$B,0))&lt; 0,-1,
IF(AND(INDEX(Data_metier!$H:$H,MATCH($A17,Data_metier!$B:$B,0))-INDEX(Data_metier!$H:$H,MATCH(AA$1,Data_metier!$B:$B,0))&gt; 0,
INDEX(Data_metier!$H:$H,MATCH($A17,Data_metier!$B:$B,0))-INDEX(Data_metier!$H:$H,MATCH(AA$1,Data_metier!$B:$B,0))&lt;=1),
1,
IF(INDEX(Data_metier!$H:$H,MATCH($A17,Data_metier!$B:$B,0))-INDEX(Data_metier!$H:$H,MATCH(AA$1,Data_metier!$B:$B,0))&gt; 1,
2,
0)))</f>
        <v>2</v>
      </c>
      <c r="AB17">
        <f>IF(INDEX(Data_metier!$H:$H,MATCH($A17,Data_metier!$B:$B,0))-INDEX(Data_metier!$H:$H,MATCH(AB$1,Data_metier!$B:$B,0))&lt; 0,-1,
IF(AND(INDEX(Data_metier!$H:$H,MATCH($A17,Data_metier!$B:$B,0))-INDEX(Data_metier!$H:$H,MATCH(AB$1,Data_metier!$B:$B,0))&gt; 0,
INDEX(Data_metier!$H:$H,MATCH($A17,Data_metier!$B:$B,0))-INDEX(Data_metier!$H:$H,MATCH(AB$1,Data_metier!$B:$B,0))&lt;=1),
1,
IF(INDEX(Data_metier!$H:$H,MATCH($A17,Data_metier!$B:$B,0))-INDEX(Data_metier!$H:$H,MATCH(AB$1,Data_metier!$B:$B,0))&gt; 1,
2,
0)))</f>
        <v>2</v>
      </c>
      <c r="AC17">
        <f>IF(INDEX(Data_metier!$H:$H,MATCH($A17,Data_metier!$B:$B,0))-INDEX(Data_metier!$H:$H,MATCH(AC$1,Data_metier!$B:$B,0))&lt; 0,-1,
IF(AND(INDEX(Data_metier!$H:$H,MATCH($A17,Data_metier!$B:$B,0))-INDEX(Data_metier!$H:$H,MATCH(AC$1,Data_metier!$B:$B,0))&gt; 0,
INDEX(Data_metier!$H:$H,MATCH($A17,Data_metier!$B:$B,0))-INDEX(Data_metier!$H:$H,MATCH(AC$1,Data_metier!$B:$B,0))&lt;=1),
1,
IF(INDEX(Data_metier!$H:$H,MATCH($A17,Data_metier!$B:$B,0))-INDEX(Data_metier!$H:$H,MATCH(AC$1,Data_metier!$B:$B,0))&gt; 1,
2,
0)))</f>
        <v>2</v>
      </c>
      <c r="AD17">
        <f>IF(INDEX(Data_metier!$H:$H,MATCH($A17,Data_metier!$B:$B,0))-INDEX(Data_metier!$H:$H,MATCH(AD$1,Data_metier!$B:$B,0))&lt; 0,-1,
IF(AND(INDEX(Data_metier!$H:$H,MATCH($A17,Data_metier!$B:$B,0))-INDEX(Data_metier!$H:$H,MATCH(AD$1,Data_metier!$B:$B,0))&gt; 0,
INDEX(Data_metier!$H:$H,MATCH($A17,Data_metier!$B:$B,0))-INDEX(Data_metier!$H:$H,MATCH(AD$1,Data_metier!$B:$B,0))&lt;=1),
1,
IF(INDEX(Data_metier!$H:$H,MATCH($A17,Data_metier!$B:$B,0))-INDEX(Data_metier!$H:$H,MATCH(AD$1,Data_metier!$B:$B,0))&gt; 1,
2,
0)))</f>
        <v>1</v>
      </c>
    </row>
    <row r="18" spans="1:30">
      <c r="A18" t="str">
        <v>Acheteur(se) / négociateur(trice) de matières premières</v>
      </c>
      <c r="B18">
        <f>IF(INDEX(Data_metier!$H:$H,MATCH($A18,Data_metier!$B:$B,0))-INDEX(Data_metier!$H:$H,MATCH(B$1,Data_metier!$B:$B,0))&lt; 0,-1,
IF(AND(INDEX(Data_metier!$H:$H,MATCH($A18,Data_metier!$B:$B,0))-INDEX(Data_metier!$H:$H,MATCH(B$1,Data_metier!$B:$B,0))&gt; 0,
INDEX(Data_metier!$H:$H,MATCH($A18,Data_metier!$B:$B,0))-INDEX(Data_metier!$H:$H,MATCH(B$1,Data_metier!$B:$B,0))&lt;=1),
1,
IF(INDEX(Data_metier!$H:$H,MATCH($A18,Data_metier!$B:$B,0))-INDEX(Data_metier!$H:$H,MATCH(B$1,Data_metier!$B:$B,0))&gt; 1,
2,
0)))</f>
        <v>2</v>
      </c>
      <c r="C18">
        <f>IF(INDEX(Data_metier!$H:$H,MATCH($A18,Data_metier!$B:$B,0))-INDEX(Data_metier!$H:$H,MATCH(C$1,Data_metier!$B:$B,0))&lt; 0,-1,
IF(AND(INDEX(Data_metier!$H:$H,MATCH($A18,Data_metier!$B:$B,0))-INDEX(Data_metier!$H:$H,MATCH(C$1,Data_metier!$B:$B,0))&gt; 0,
INDEX(Data_metier!$H:$H,MATCH($A18,Data_metier!$B:$B,0))-INDEX(Data_metier!$H:$H,MATCH(C$1,Data_metier!$B:$B,0))&lt;=1),
1,
IF(INDEX(Data_metier!$H:$H,MATCH($A18,Data_metier!$B:$B,0))-INDEX(Data_metier!$H:$H,MATCH(C$1,Data_metier!$B:$B,0))&gt; 1,
2,
0)))</f>
        <v>2</v>
      </c>
      <c r="D18">
        <f>IF(INDEX(Data_metier!$H:$H,MATCH($A18,Data_metier!$B:$B,0))-INDEX(Data_metier!$H:$H,MATCH(D$1,Data_metier!$B:$B,0))&lt; 0,-1,
IF(AND(INDEX(Data_metier!$H:$H,MATCH($A18,Data_metier!$B:$B,0))-INDEX(Data_metier!$H:$H,MATCH(D$1,Data_metier!$B:$B,0))&gt; 0,
INDEX(Data_metier!$H:$H,MATCH($A18,Data_metier!$B:$B,0))-INDEX(Data_metier!$H:$H,MATCH(D$1,Data_metier!$B:$B,0))&lt;=1),
1,
IF(INDEX(Data_metier!$H:$H,MATCH($A18,Data_metier!$B:$B,0))-INDEX(Data_metier!$H:$H,MATCH(D$1,Data_metier!$B:$B,0))&gt; 1,
2,
0)))</f>
        <v>2</v>
      </c>
      <c r="E18">
        <f>IF(INDEX(Data_metier!$H:$H,MATCH($A18,Data_metier!$B:$B,0))-INDEX(Data_metier!$H:$H,MATCH(E$1,Data_metier!$B:$B,0))&lt; 0,-1,
IF(AND(INDEX(Data_metier!$H:$H,MATCH($A18,Data_metier!$B:$B,0))-INDEX(Data_metier!$H:$H,MATCH(E$1,Data_metier!$B:$B,0))&gt; 0,
INDEX(Data_metier!$H:$H,MATCH($A18,Data_metier!$B:$B,0))-INDEX(Data_metier!$H:$H,MATCH(E$1,Data_metier!$B:$B,0))&lt;=1),
1,
IF(INDEX(Data_metier!$H:$H,MATCH($A18,Data_metier!$B:$B,0))-INDEX(Data_metier!$H:$H,MATCH(E$1,Data_metier!$B:$B,0))&gt; 1,
2,
0)))</f>
        <v>1</v>
      </c>
      <c r="F18">
        <f>IF(INDEX(Data_metier!$H:$H,MATCH($A18,Data_metier!$B:$B,0))-INDEX(Data_metier!$H:$H,MATCH(F$1,Data_metier!$B:$B,0))&lt; 0,-1,
IF(AND(INDEX(Data_metier!$H:$H,MATCH($A18,Data_metier!$B:$B,0))-INDEX(Data_metier!$H:$H,MATCH(F$1,Data_metier!$B:$B,0))&gt; 0,
INDEX(Data_metier!$H:$H,MATCH($A18,Data_metier!$B:$B,0))-INDEX(Data_metier!$H:$H,MATCH(F$1,Data_metier!$B:$B,0))&lt;=1),
1,
IF(INDEX(Data_metier!$H:$H,MATCH($A18,Data_metier!$B:$B,0))-INDEX(Data_metier!$H:$H,MATCH(F$1,Data_metier!$B:$B,0))&gt; 1,
2,
0)))</f>
        <v>1</v>
      </c>
      <c r="G18">
        <f>IF(INDEX(Data_metier!$H:$H,MATCH($A18,Data_metier!$B:$B,0))-INDEX(Data_metier!$H:$H,MATCH(G$1,Data_metier!$B:$B,0))&lt; 0,-1,
IF(AND(INDEX(Data_metier!$H:$H,MATCH($A18,Data_metier!$B:$B,0))-INDEX(Data_metier!$H:$H,MATCH(G$1,Data_metier!$B:$B,0))&gt; 0,
INDEX(Data_metier!$H:$H,MATCH($A18,Data_metier!$B:$B,0))-INDEX(Data_metier!$H:$H,MATCH(G$1,Data_metier!$B:$B,0))&lt;=1),
1,
IF(INDEX(Data_metier!$H:$H,MATCH($A18,Data_metier!$B:$B,0))-INDEX(Data_metier!$H:$H,MATCH(G$1,Data_metier!$B:$B,0))&gt; 1,
2,
0)))</f>
        <v>1</v>
      </c>
      <c r="H18">
        <f>IF(INDEX(Data_metier!$H:$H,MATCH($A18,Data_metier!$B:$B,0))-INDEX(Data_metier!$H:$H,MATCH(H$1,Data_metier!$B:$B,0))&lt; 0,-1,
IF(AND(INDEX(Data_metier!$H:$H,MATCH($A18,Data_metier!$B:$B,0))-INDEX(Data_metier!$H:$H,MATCH(H$1,Data_metier!$B:$B,0))&gt; 0,
INDEX(Data_metier!$H:$H,MATCH($A18,Data_metier!$B:$B,0))-INDEX(Data_metier!$H:$H,MATCH(H$1,Data_metier!$B:$B,0))&lt;=1),
1,
IF(INDEX(Data_metier!$H:$H,MATCH($A18,Data_metier!$B:$B,0))-INDEX(Data_metier!$H:$H,MATCH(H$1,Data_metier!$B:$B,0))&gt; 1,
2,
0)))</f>
        <v>1</v>
      </c>
      <c r="I18">
        <f>IF(INDEX(Data_metier!$H:$H,MATCH($A18,Data_metier!$B:$B,0))-INDEX(Data_metier!$H:$H,MATCH(I$1,Data_metier!$B:$B,0))&lt; 0,-1,
IF(AND(INDEX(Data_metier!$H:$H,MATCH($A18,Data_metier!$B:$B,0))-INDEX(Data_metier!$H:$H,MATCH(I$1,Data_metier!$B:$B,0))&gt; 0,
INDEX(Data_metier!$H:$H,MATCH($A18,Data_metier!$B:$B,0))-INDEX(Data_metier!$H:$H,MATCH(I$1,Data_metier!$B:$B,0))&lt;=1),
1,
IF(INDEX(Data_metier!$H:$H,MATCH($A18,Data_metier!$B:$B,0))-INDEX(Data_metier!$H:$H,MATCH(I$1,Data_metier!$B:$B,0))&gt; 1,
2,
0)))</f>
        <v>2</v>
      </c>
      <c r="J18">
        <f>IF(INDEX(Data_metier!$H:$H,MATCH($A18,Data_metier!$B:$B,0))-INDEX(Data_metier!$H:$H,MATCH(J$1,Data_metier!$B:$B,0))&lt; 0,-1,
IF(AND(INDEX(Data_metier!$H:$H,MATCH($A18,Data_metier!$B:$B,0))-INDEX(Data_metier!$H:$H,MATCH(J$1,Data_metier!$B:$B,0))&gt; 0,
INDEX(Data_metier!$H:$H,MATCH($A18,Data_metier!$B:$B,0))-INDEX(Data_metier!$H:$H,MATCH(J$1,Data_metier!$B:$B,0))&lt;=1),
1,
IF(INDEX(Data_metier!$H:$H,MATCH($A18,Data_metier!$B:$B,0))-INDEX(Data_metier!$H:$H,MATCH(J$1,Data_metier!$B:$B,0))&gt; 1,
2,
0)))</f>
        <v>1</v>
      </c>
      <c r="K18">
        <f>IF(INDEX(Data_metier!$H:$H,MATCH($A18,Data_metier!$B:$B,0))-INDEX(Data_metier!$H:$H,MATCH(K$1,Data_metier!$B:$B,0))&lt; 0,-1,
IF(AND(INDEX(Data_metier!$H:$H,MATCH($A18,Data_metier!$B:$B,0))-INDEX(Data_metier!$H:$H,MATCH(K$1,Data_metier!$B:$B,0))&gt; 0,
INDEX(Data_metier!$H:$H,MATCH($A18,Data_metier!$B:$B,0))-INDEX(Data_metier!$H:$H,MATCH(K$1,Data_metier!$B:$B,0))&lt;=1),
1,
IF(INDEX(Data_metier!$H:$H,MATCH($A18,Data_metier!$B:$B,0))-INDEX(Data_metier!$H:$H,MATCH(K$1,Data_metier!$B:$B,0))&gt; 1,
2,
0)))</f>
        <v>-1</v>
      </c>
      <c r="L18">
        <f>IF(INDEX(Data_metier!$H:$H,MATCH($A18,Data_metier!$B:$B,0))-INDEX(Data_metier!$H:$H,MATCH(L$1,Data_metier!$B:$B,0))&lt; 0,-1,
IF(AND(INDEX(Data_metier!$H:$H,MATCH($A18,Data_metier!$B:$B,0))-INDEX(Data_metier!$H:$H,MATCH(L$1,Data_metier!$B:$B,0))&gt; 0,
INDEX(Data_metier!$H:$H,MATCH($A18,Data_metier!$B:$B,0))-INDEX(Data_metier!$H:$H,MATCH(L$1,Data_metier!$B:$B,0))&lt;=1),
1,
IF(INDEX(Data_metier!$H:$H,MATCH($A18,Data_metier!$B:$B,0))-INDEX(Data_metier!$H:$H,MATCH(L$1,Data_metier!$B:$B,0))&gt; 1,
2,
0)))</f>
        <v>2</v>
      </c>
      <c r="M18">
        <f>IF(INDEX(Data_metier!$H:$H,MATCH($A18,Data_metier!$B:$B,0))-INDEX(Data_metier!$H:$H,MATCH(M$1,Data_metier!$B:$B,0))&lt; 0,-1,
IF(AND(INDEX(Data_metier!$H:$H,MATCH($A18,Data_metier!$B:$B,0))-INDEX(Data_metier!$H:$H,MATCH(M$1,Data_metier!$B:$B,0))&gt; 0,
INDEX(Data_metier!$H:$H,MATCH($A18,Data_metier!$B:$B,0))-INDEX(Data_metier!$H:$H,MATCH(M$1,Data_metier!$B:$B,0))&lt;=1),
1,
IF(INDEX(Data_metier!$H:$H,MATCH($A18,Data_metier!$B:$B,0))-INDEX(Data_metier!$H:$H,MATCH(M$1,Data_metier!$B:$B,0))&gt; 1,
2,
0)))</f>
        <v>2</v>
      </c>
      <c r="N18">
        <f>IF(INDEX(Data_metier!$H:$H,MATCH($A18,Data_metier!$B:$B,0))-INDEX(Data_metier!$H:$H,MATCH(N$1,Data_metier!$B:$B,0))&lt; 0,-1,
IF(AND(INDEX(Data_metier!$H:$H,MATCH($A18,Data_metier!$B:$B,0))-INDEX(Data_metier!$H:$H,MATCH(N$1,Data_metier!$B:$B,0))&gt; 0,
INDEX(Data_metier!$H:$H,MATCH($A18,Data_metier!$B:$B,0))-INDEX(Data_metier!$H:$H,MATCH(N$1,Data_metier!$B:$B,0))&lt;=1),
1,
IF(INDEX(Data_metier!$H:$H,MATCH($A18,Data_metier!$B:$B,0))-INDEX(Data_metier!$H:$H,MATCH(N$1,Data_metier!$B:$B,0))&gt; 1,
2,
0)))</f>
        <v>2</v>
      </c>
      <c r="O18">
        <f>IF(INDEX(Data_metier!$H:$H,MATCH($A18,Data_metier!$B:$B,0))-INDEX(Data_metier!$H:$H,MATCH(O$1,Data_metier!$B:$B,0))&lt; 0,-1,
IF(AND(INDEX(Data_metier!$H:$H,MATCH($A18,Data_metier!$B:$B,0))-INDEX(Data_metier!$H:$H,MATCH(O$1,Data_metier!$B:$B,0))&gt; 0,
INDEX(Data_metier!$H:$H,MATCH($A18,Data_metier!$B:$B,0))-INDEX(Data_metier!$H:$H,MATCH(O$1,Data_metier!$B:$B,0))&lt;=1),
1,
IF(INDEX(Data_metier!$H:$H,MATCH($A18,Data_metier!$B:$B,0))-INDEX(Data_metier!$H:$H,MATCH(O$1,Data_metier!$B:$B,0))&gt; 1,
2,
0)))</f>
        <v>2</v>
      </c>
      <c r="P18">
        <f>IF(INDEX(Data_metier!$H:$H,MATCH($A18,Data_metier!$B:$B,0))-INDEX(Data_metier!$H:$H,MATCH(P$1,Data_metier!$B:$B,0))&lt; 0,-1,
IF(AND(INDEX(Data_metier!$H:$H,MATCH($A18,Data_metier!$B:$B,0))-INDEX(Data_metier!$H:$H,MATCH(P$1,Data_metier!$B:$B,0))&gt; 0,
INDEX(Data_metier!$H:$H,MATCH($A18,Data_metier!$B:$B,0))-INDEX(Data_metier!$H:$H,MATCH(P$1,Data_metier!$B:$B,0))&lt;=1),
1,
IF(INDEX(Data_metier!$H:$H,MATCH($A18,Data_metier!$B:$B,0))-INDEX(Data_metier!$H:$H,MATCH(P$1,Data_metier!$B:$B,0))&gt; 1,
2,
0)))</f>
        <v>2</v>
      </c>
      <c r="Q18">
        <f>IF(INDEX(Data_metier!$H:$H,MATCH($A18,Data_metier!$B:$B,0))-INDEX(Data_metier!$H:$H,MATCH(Q$1,Data_metier!$B:$B,0))&lt; 0,-1,
IF(AND(INDEX(Data_metier!$H:$H,MATCH($A18,Data_metier!$B:$B,0))-INDEX(Data_metier!$H:$H,MATCH(Q$1,Data_metier!$B:$B,0))&gt; 0,
INDEX(Data_metier!$H:$H,MATCH($A18,Data_metier!$B:$B,0))-INDEX(Data_metier!$H:$H,MATCH(Q$1,Data_metier!$B:$B,0))&lt;=1),
1,
IF(INDEX(Data_metier!$H:$H,MATCH($A18,Data_metier!$B:$B,0))-INDEX(Data_metier!$H:$H,MATCH(Q$1,Data_metier!$B:$B,0))&gt; 1,
2,
0)))</f>
        <v>1</v>
      </c>
      <c r="R18">
        <f>IF(INDEX(Data_metier!$H:$H,MATCH($A18,Data_metier!$B:$B,0))-INDEX(Data_metier!$H:$H,MATCH(R$1,Data_metier!$B:$B,0))&lt; 0,-1,
IF(AND(INDEX(Data_metier!$H:$H,MATCH($A18,Data_metier!$B:$B,0))-INDEX(Data_metier!$H:$H,MATCH(R$1,Data_metier!$B:$B,0))&gt; 0,
INDEX(Data_metier!$H:$H,MATCH($A18,Data_metier!$B:$B,0))-INDEX(Data_metier!$H:$H,MATCH(R$1,Data_metier!$B:$B,0))&lt;=1),
1,
IF(INDEX(Data_metier!$H:$H,MATCH($A18,Data_metier!$B:$B,0))-INDEX(Data_metier!$H:$H,MATCH(R$1,Data_metier!$B:$B,0))&gt; 1,
2,
0)))</f>
        <v>0</v>
      </c>
      <c r="S18">
        <f>IF(INDEX(Data_metier!$H:$H,MATCH($A18,Data_metier!$B:$B,0))-INDEX(Data_metier!$H:$H,MATCH(S$1,Data_metier!$B:$B,0))&lt; 0,-1,
IF(AND(INDEX(Data_metier!$H:$H,MATCH($A18,Data_metier!$B:$B,0))-INDEX(Data_metier!$H:$H,MATCH(S$1,Data_metier!$B:$B,0))&gt; 0,
INDEX(Data_metier!$H:$H,MATCH($A18,Data_metier!$B:$B,0))-INDEX(Data_metier!$H:$H,MATCH(S$1,Data_metier!$B:$B,0))&lt;=1),
1,
IF(INDEX(Data_metier!$H:$H,MATCH($A18,Data_metier!$B:$B,0))-INDEX(Data_metier!$H:$H,MATCH(S$1,Data_metier!$B:$B,0))&gt; 1,
2,
0)))</f>
        <v>2</v>
      </c>
      <c r="T18">
        <f>IF(INDEX(Data_metier!$H:$H,MATCH($A18,Data_metier!$B:$B,0))-INDEX(Data_metier!$H:$H,MATCH(T$1,Data_metier!$B:$B,0))&lt; 0,-1,
IF(AND(INDEX(Data_metier!$H:$H,MATCH($A18,Data_metier!$B:$B,0))-INDEX(Data_metier!$H:$H,MATCH(T$1,Data_metier!$B:$B,0))&gt; 0,
INDEX(Data_metier!$H:$H,MATCH($A18,Data_metier!$B:$B,0))-INDEX(Data_metier!$H:$H,MATCH(T$1,Data_metier!$B:$B,0))&lt;=1),
1,
IF(INDEX(Data_metier!$H:$H,MATCH($A18,Data_metier!$B:$B,0))-INDEX(Data_metier!$H:$H,MATCH(T$1,Data_metier!$B:$B,0))&gt; 1,
2,
0)))</f>
        <v>2</v>
      </c>
      <c r="U18">
        <f>IF(INDEX(Data_metier!$H:$H,MATCH($A18,Data_metier!$B:$B,0))-INDEX(Data_metier!$H:$H,MATCH(U$1,Data_metier!$B:$B,0))&lt; 0,-1,
IF(AND(INDEX(Data_metier!$H:$H,MATCH($A18,Data_metier!$B:$B,0))-INDEX(Data_metier!$H:$H,MATCH(U$1,Data_metier!$B:$B,0))&gt; 0,
INDEX(Data_metier!$H:$H,MATCH($A18,Data_metier!$B:$B,0))-INDEX(Data_metier!$H:$H,MATCH(U$1,Data_metier!$B:$B,0))&lt;=1),
1,
IF(INDEX(Data_metier!$H:$H,MATCH($A18,Data_metier!$B:$B,0))-INDEX(Data_metier!$H:$H,MATCH(U$1,Data_metier!$B:$B,0))&gt; 1,
2,
0)))</f>
        <v>2</v>
      </c>
      <c r="V18">
        <f>IF(INDEX(Data_metier!$H:$H,MATCH($A18,Data_metier!$B:$B,0))-INDEX(Data_metier!$H:$H,MATCH(V$1,Data_metier!$B:$B,0))&lt; 0,-1,
IF(AND(INDEX(Data_metier!$H:$H,MATCH($A18,Data_metier!$B:$B,0))-INDEX(Data_metier!$H:$H,MATCH(V$1,Data_metier!$B:$B,0))&gt; 0,
INDEX(Data_metier!$H:$H,MATCH($A18,Data_metier!$B:$B,0))-INDEX(Data_metier!$H:$H,MATCH(V$1,Data_metier!$B:$B,0))&lt;=1),
1,
IF(INDEX(Data_metier!$H:$H,MATCH($A18,Data_metier!$B:$B,0))-INDEX(Data_metier!$H:$H,MATCH(V$1,Data_metier!$B:$B,0))&gt; 1,
2,
0)))</f>
        <v>2</v>
      </c>
      <c r="W18">
        <f>IF(INDEX(Data_metier!$H:$H,MATCH($A18,Data_metier!$B:$B,0))-INDEX(Data_metier!$H:$H,MATCH(W$1,Data_metier!$B:$B,0))&lt; 0,-1,
IF(AND(INDEX(Data_metier!$H:$H,MATCH($A18,Data_metier!$B:$B,0))-INDEX(Data_metier!$H:$H,MATCH(W$1,Data_metier!$B:$B,0))&gt; 0,
INDEX(Data_metier!$H:$H,MATCH($A18,Data_metier!$B:$B,0))-INDEX(Data_metier!$H:$H,MATCH(W$1,Data_metier!$B:$B,0))&lt;=1),
1,
IF(INDEX(Data_metier!$H:$H,MATCH($A18,Data_metier!$B:$B,0))-INDEX(Data_metier!$H:$H,MATCH(W$1,Data_metier!$B:$B,0))&gt; 1,
2,
0)))</f>
        <v>2</v>
      </c>
      <c r="X18">
        <f>IF(INDEX(Data_metier!$H:$H,MATCH($A18,Data_metier!$B:$B,0))-INDEX(Data_metier!$H:$H,MATCH(X$1,Data_metier!$B:$B,0))&lt; 0,-1,
IF(AND(INDEX(Data_metier!$H:$H,MATCH($A18,Data_metier!$B:$B,0))-INDEX(Data_metier!$H:$H,MATCH(X$1,Data_metier!$B:$B,0))&gt; 0,
INDEX(Data_metier!$H:$H,MATCH($A18,Data_metier!$B:$B,0))-INDEX(Data_metier!$H:$H,MATCH(X$1,Data_metier!$B:$B,0))&lt;=1),
1,
IF(INDEX(Data_metier!$H:$H,MATCH($A18,Data_metier!$B:$B,0))-INDEX(Data_metier!$H:$H,MATCH(X$1,Data_metier!$B:$B,0))&gt; 1,
2,
0)))</f>
        <v>1</v>
      </c>
      <c r="Y18">
        <f>IF(INDEX(Data_metier!$H:$H,MATCH($A18,Data_metier!$B:$B,0))-INDEX(Data_metier!$H:$H,MATCH(Y$1,Data_metier!$B:$B,0))&lt; 0,-1,
IF(AND(INDEX(Data_metier!$H:$H,MATCH($A18,Data_metier!$B:$B,0))-INDEX(Data_metier!$H:$H,MATCH(Y$1,Data_metier!$B:$B,0))&gt; 0,
INDEX(Data_metier!$H:$H,MATCH($A18,Data_metier!$B:$B,0))-INDEX(Data_metier!$H:$H,MATCH(Y$1,Data_metier!$B:$B,0))&lt;=1),
1,
IF(INDEX(Data_metier!$H:$H,MATCH($A18,Data_metier!$B:$B,0))-INDEX(Data_metier!$H:$H,MATCH(Y$1,Data_metier!$B:$B,0))&gt; 1,
2,
0)))</f>
        <v>2</v>
      </c>
      <c r="Z18">
        <f>IF(INDEX(Data_metier!$H:$H,MATCH($A18,Data_metier!$B:$B,0))-INDEX(Data_metier!$H:$H,MATCH(Z$1,Data_metier!$B:$B,0))&lt; 0,-1,
IF(AND(INDEX(Data_metier!$H:$H,MATCH($A18,Data_metier!$B:$B,0))-INDEX(Data_metier!$H:$H,MATCH(Z$1,Data_metier!$B:$B,0))&gt; 0,
INDEX(Data_metier!$H:$H,MATCH($A18,Data_metier!$B:$B,0))-INDEX(Data_metier!$H:$H,MATCH(Z$1,Data_metier!$B:$B,0))&lt;=1),
1,
IF(INDEX(Data_metier!$H:$H,MATCH($A18,Data_metier!$B:$B,0))-INDEX(Data_metier!$H:$H,MATCH(Z$1,Data_metier!$B:$B,0))&gt; 1,
2,
0)))</f>
        <v>2</v>
      </c>
      <c r="AA18">
        <f>IF(INDEX(Data_metier!$H:$H,MATCH($A18,Data_metier!$B:$B,0))-INDEX(Data_metier!$H:$H,MATCH(AA$1,Data_metier!$B:$B,0))&lt; 0,-1,
IF(AND(INDEX(Data_metier!$H:$H,MATCH($A18,Data_metier!$B:$B,0))-INDEX(Data_metier!$H:$H,MATCH(AA$1,Data_metier!$B:$B,0))&gt; 0,
INDEX(Data_metier!$H:$H,MATCH($A18,Data_metier!$B:$B,0))-INDEX(Data_metier!$H:$H,MATCH(AA$1,Data_metier!$B:$B,0))&lt;=1),
1,
IF(INDEX(Data_metier!$H:$H,MATCH($A18,Data_metier!$B:$B,0))-INDEX(Data_metier!$H:$H,MATCH(AA$1,Data_metier!$B:$B,0))&gt; 1,
2,
0)))</f>
        <v>2</v>
      </c>
      <c r="AB18">
        <f>IF(INDEX(Data_metier!$H:$H,MATCH($A18,Data_metier!$B:$B,0))-INDEX(Data_metier!$H:$H,MATCH(AB$1,Data_metier!$B:$B,0))&lt; 0,-1,
IF(AND(INDEX(Data_metier!$H:$H,MATCH($A18,Data_metier!$B:$B,0))-INDEX(Data_metier!$H:$H,MATCH(AB$1,Data_metier!$B:$B,0))&gt; 0,
INDEX(Data_metier!$H:$H,MATCH($A18,Data_metier!$B:$B,0))-INDEX(Data_metier!$H:$H,MATCH(AB$1,Data_metier!$B:$B,0))&lt;=1),
1,
IF(INDEX(Data_metier!$H:$H,MATCH($A18,Data_metier!$B:$B,0))-INDEX(Data_metier!$H:$H,MATCH(AB$1,Data_metier!$B:$B,0))&gt; 1,
2,
0)))</f>
        <v>2</v>
      </c>
      <c r="AC18">
        <f>IF(INDEX(Data_metier!$H:$H,MATCH($A18,Data_metier!$B:$B,0))-INDEX(Data_metier!$H:$H,MATCH(AC$1,Data_metier!$B:$B,0))&lt; 0,-1,
IF(AND(INDEX(Data_metier!$H:$H,MATCH($A18,Data_metier!$B:$B,0))-INDEX(Data_metier!$H:$H,MATCH(AC$1,Data_metier!$B:$B,0))&gt; 0,
INDEX(Data_metier!$H:$H,MATCH($A18,Data_metier!$B:$B,0))-INDEX(Data_metier!$H:$H,MATCH(AC$1,Data_metier!$B:$B,0))&lt;=1),
1,
IF(INDEX(Data_metier!$H:$H,MATCH($A18,Data_metier!$B:$B,0))-INDEX(Data_metier!$H:$H,MATCH(AC$1,Data_metier!$B:$B,0))&gt; 1,
2,
0)))</f>
        <v>2</v>
      </c>
      <c r="AD18">
        <f>IF(INDEX(Data_metier!$H:$H,MATCH($A18,Data_metier!$B:$B,0))-INDEX(Data_metier!$H:$H,MATCH(AD$1,Data_metier!$B:$B,0))&lt; 0,-1,
IF(AND(INDEX(Data_metier!$H:$H,MATCH($A18,Data_metier!$B:$B,0))-INDEX(Data_metier!$H:$H,MATCH(AD$1,Data_metier!$B:$B,0))&gt; 0,
INDEX(Data_metier!$H:$H,MATCH($A18,Data_metier!$B:$B,0))-INDEX(Data_metier!$H:$H,MATCH(AD$1,Data_metier!$B:$B,0))&lt;=1),
1,
IF(INDEX(Data_metier!$H:$H,MATCH($A18,Data_metier!$B:$B,0))-INDEX(Data_metier!$H:$H,MATCH(AD$1,Data_metier!$B:$B,0))&gt; 1,
2,
0)))</f>
        <v>2</v>
      </c>
    </row>
    <row r="19" spans="1:30">
      <c r="A19" t="str">
        <v>Opérateur(trice) de production alimentaire</v>
      </c>
      <c r="B19">
        <f>IF(INDEX(Data_metier!$H:$H,MATCH($A19,Data_metier!$B:$B,0))-INDEX(Data_metier!$H:$H,MATCH(B$1,Data_metier!$B:$B,0))&lt; 0,-1,
IF(AND(INDEX(Data_metier!$H:$H,MATCH($A19,Data_metier!$B:$B,0))-INDEX(Data_metier!$H:$H,MATCH(B$1,Data_metier!$B:$B,0))&gt; 0,
INDEX(Data_metier!$H:$H,MATCH($A19,Data_metier!$B:$B,0))-INDEX(Data_metier!$H:$H,MATCH(B$1,Data_metier!$B:$B,0))&lt;=1),
1,
IF(INDEX(Data_metier!$H:$H,MATCH($A19,Data_metier!$B:$B,0))-INDEX(Data_metier!$H:$H,MATCH(B$1,Data_metier!$B:$B,0))&gt; 1,
2,
0)))</f>
        <v>-1</v>
      </c>
      <c r="C19">
        <f>IF(INDEX(Data_metier!$H:$H,MATCH($A19,Data_metier!$B:$B,0))-INDEX(Data_metier!$H:$H,MATCH(C$1,Data_metier!$B:$B,0))&lt; 0,-1,
IF(AND(INDEX(Data_metier!$H:$H,MATCH($A19,Data_metier!$B:$B,0))-INDEX(Data_metier!$H:$H,MATCH(C$1,Data_metier!$B:$B,0))&gt; 0,
INDEX(Data_metier!$H:$H,MATCH($A19,Data_metier!$B:$B,0))-INDEX(Data_metier!$H:$H,MATCH(C$1,Data_metier!$B:$B,0))&lt;=1),
1,
IF(INDEX(Data_metier!$H:$H,MATCH($A19,Data_metier!$B:$B,0))-INDEX(Data_metier!$H:$H,MATCH(C$1,Data_metier!$B:$B,0))&gt; 1,
2,
0)))</f>
        <v>-1</v>
      </c>
      <c r="D19">
        <f>IF(INDEX(Data_metier!$H:$H,MATCH($A19,Data_metier!$B:$B,0))-INDEX(Data_metier!$H:$H,MATCH(D$1,Data_metier!$B:$B,0))&lt; 0,-1,
IF(AND(INDEX(Data_metier!$H:$H,MATCH($A19,Data_metier!$B:$B,0))-INDEX(Data_metier!$H:$H,MATCH(D$1,Data_metier!$B:$B,0))&gt; 0,
INDEX(Data_metier!$H:$H,MATCH($A19,Data_metier!$B:$B,0))-INDEX(Data_metier!$H:$H,MATCH(D$1,Data_metier!$B:$B,0))&lt;=1),
1,
IF(INDEX(Data_metier!$H:$H,MATCH($A19,Data_metier!$B:$B,0))-INDEX(Data_metier!$H:$H,MATCH(D$1,Data_metier!$B:$B,0))&gt; 1,
2,
0)))</f>
        <v>0</v>
      </c>
      <c r="E19">
        <f>IF(INDEX(Data_metier!$H:$H,MATCH($A19,Data_metier!$B:$B,0))-INDEX(Data_metier!$H:$H,MATCH(E$1,Data_metier!$B:$B,0))&lt; 0,-1,
IF(AND(INDEX(Data_metier!$H:$H,MATCH($A19,Data_metier!$B:$B,0))-INDEX(Data_metier!$H:$H,MATCH(E$1,Data_metier!$B:$B,0))&gt; 0,
INDEX(Data_metier!$H:$H,MATCH($A19,Data_metier!$B:$B,0))-INDEX(Data_metier!$H:$H,MATCH(E$1,Data_metier!$B:$B,0))&lt;=1),
1,
IF(INDEX(Data_metier!$H:$H,MATCH($A19,Data_metier!$B:$B,0))-INDEX(Data_metier!$H:$H,MATCH(E$1,Data_metier!$B:$B,0))&gt; 1,
2,
0)))</f>
        <v>-1</v>
      </c>
      <c r="F19">
        <f>IF(INDEX(Data_metier!$H:$H,MATCH($A19,Data_metier!$B:$B,0))-INDEX(Data_metier!$H:$H,MATCH(F$1,Data_metier!$B:$B,0))&lt; 0,-1,
IF(AND(INDEX(Data_metier!$H:$H,MATCH($A19,Data_metier!$B:$B,0))-INDEX(Data_metier!$H:$H,MATCH(F$1,Data_metier!$B:$B,0))&gt; 0,
INDEX(Data_metier!$H:$H,MATCH($A19,Data_metier!$B:$B,0))-INDEX(Data_metier!$H:$H,MATCH(F$1,Data_metier!$B:$B,0))&lt;=1),
1,
IF(INDEX(Data_metier!$H:$H,MATCH($A19,Data_metier!$B:$B,0))-INDEX(Data_metier!$H:$H,MATCH(F$1,Data_metier!$B:$B,0))&gt; 1,
2,
0)))</f>
        <v>-1</v>
      </c>
      <c r="G19">
        <f>IF(INDEX(Data_metier!$H:$H,MATCH($A19,Data_metier!$B:$B,0))-INDEX(Data_metier!$H:$H,MATCH(G$1,Data_metier!$B:$B,0))&lt; 0,-1,
IF(AND(INDEX(Data_metier!$H:$H,MATCH($A19,Data_metier!$B:$B,0))-INDEX(Data_metier!$H:$H,MATCH(G$1,Data_metier!$B:$B,0))&gt; 0,
INDEX(Data_metier!$H:$H,MATCH($A19,Data_metier!$B:$B,0))-INDEX(Data_metier!$H:$H,MATCH(G$1,Data_metier!$B:$B,0))&lt;=1),
1,
IF(INDEX(Data_metier!$H:$H,MATCH($A19,Data_metier!$B:$B,0))-INDEX(Data_metier!$H:$H,MATCH(G$1,Data_metier!$B:$B,0))&gt; 1,
2,
0)))</f>
        <v>-1</v>
      </c>
      <c r="H19">
        <f>IF(INDEX(Data_metier!$H:$H,MATCH($A19,Data_metier!$B:$B,0))-INDEX(Data_metier!$H:$H,MATCH(H$1,Data_metier!$B:$B,0))&lt; 0,-1,
IF(AND(INDEX(Data_metier!$H:$H,MATCH($A19,Data_metier!$B:$B,0))-INDEX(Data_metier!$H:$H,MATCH(H$1,Data_metier!$B:$B,0))&gt; 0,
INDEX(Data_metier!$H:$H,MATCH($A19,Data_metier!$B:$B,0))-INDEX(Data_metier!$H:$H,MATCH(H$1,Data_metier!$B:$B,0))&lt;=1),
1,
IF(INDEX(Data_metier!$H:$H,MATCH($A19,Data_metier!$B:$B,0))-INDEX(Data_metier!$H:$H,MATCH(H$1,Data_metier!$B:$B,0))&gt; 1,
2,
0)))</f>
        <v>-1</v>
      </c>
      <c r="I19">
        <f>IF(INDEX(Data_metier!$H:$H,MATCH($A19,Data_metier!$B:$B,0))-INDEX(Data_metier!$H:$H,MATCH(I$1,Data_metier!$B:$B,0))&lt; 0,-1,
IF(AND(INDEX(Data_metier!$H:$H,MATCH($A19,Data_metier!$B:$B,0))-INDEX(Data_metier!$H:$H,MATCH(I$1,Data_metier!$B:$B,0))&gt; 0,
INDEX(Data_metier!$H:$H,MATCH($A19,Data_metier!$B:$B,0))-INDEX(Data_metier!$H:$H,MATCH(I$1,Data_metier!$B:$B,0))&lt;=1),
1,
IF(INDEX(Data_metier!$H:$H,MATCH($A19,Data_metier!$B:$B,0))-INDEX(Data_metier!$H:$H,MATCH(I$1,Data_metier!$B:$B,0))&gt; 1,
2,
0)))</f>
        <v>0</v>
      </c>
      <c r="J19">
        <f>IF(INDEX(Data_metier!$H:$H,MATCH($A19,Data_metier!$B:$B,0))-INDEX(Data_metier!$H:$H,MATCH(J$1,Data_metier!$B:$B,0))&lt; 0,-1,
IF(AND(INDEX(Data_metier!$H:$H,MATCH($A19,Data_metier!$B:$B,0))-INDEX(Data_metier!$H:$H,MATCH(J$1,Data_metier!$B:$B,0))&gt; 0,
INDEX(Data_metier!$H:$H,MATCH($A19,Data_metier!$B:$B,0))-INDEX(Data_metier!$H:$H,MATCH(J$1,Data_metier!$B:$B,0))&lt;=1),
1,
IF(INDEX(Data_metier!$H:$H,MATCH($A19,Data_metier!$B:$B,0))-INDEX(Data_metier!$H:$H,MATCH(J$1,Data_metier!$B:$B,0))&gt; 1,
2,
0)))</f>
        <v>-1</v>
      </c>
      <c r="K19">
        <f>IF(INDEX(Data_metier!$H:$H,MATCH($A19,Data_metier!$B:$B,0))-INDEX(Data_metier!$H:$H,MATCH(K$1,Data_metier!$B:$B,0))&lt; 0,-1,
IF(AND(INDEX(Data_metier!$H:$H,MATCH($A19,Data_metier!$B:$B,0))-INDEX(Data_metier!$H:$H,MATCH(K$1,Data_metier!$B:$B,0))&gt; 0,
INDEX(Data_metier!$H:$H,MATCH($A19,Data_metier!$B:$B,0))-INDEX(Data_metier!$H:$H,MATCH(K$1,Data_metier!$B:$B,0))&lt;=1),
1,
IF(INDEX(Data_metier!$H:$H,MATCH($A19,Data_metier!$B:$B,0))-INDEX(Data_metier!$H:$H,MATCH(K$1,Data_metier!$B:$B,0))&gt; 1,
2,
0)))</f>
        <v>-1</v>
      </c>
      <c r="L19">
        <f>IF(INDEX(Data_metier!$H:$H,MATCH($A19,Data_metier!$B:$B,0))-INDEX(Data_metier!$H:$H,MATCH(L$1,Data_metier!$B:$B,0))&lt; 0,-1,
IF(AND(INDEX(Data_metier!$H:$H,MATCH($A19,Data_metier!$B:$B,0))-INDEX(Data_metier!$H:$H,MATCH(L$1,Data_metier!$B:$B,0))&gt; 0,
INDEX(Data_metier!$H:$H,MATCH($A19,Data_metier!$B:$B,0))-INDEX(Data_metier!$H:$H,MATCH(L$1,Data_metier!$B:$B,0))&lt;=1),
1,
IF(INDEX(Data_metier!$H:$H,MATCH($A19,Data_metier!$B:$B,0))-INDEX(Data_metier!$H:$H,MATCH(L$1,Data_metier!$B:$B,0))&gt; 1,
2,
0)))</f>
        <v>0</v>
      </c>
      <c r="M19">
        <f>IF(INDEX(Data_metier!$H:$H,MATCH($A19,Data_metier!$B:$B,0))-INDEX(Data_metier!$H:$H,MATCH(M$1,Data_metier!$B:$B,0))&lt; 0,-1,
IF(AND(INDEX(Data_metier!$H:$H,MATCH($A19,Data_metier!$B:$B,0))-INDEX(Data_metier!$H:$H,MATCH(M$1,Data_metier!$B:$B,0))&gt; 0,
INDEX(Data_metier!$H:$H,MATCH($A19,Data_metier!$B:$B,0))-INDEX(Data_metier!$H:$H,MATCH(M$1,Data_metier!$B:$B,0))&lt;=1),
1,
IF(INDEX(Data_metier!$H:$H,MATCH($A19,Data_metier!$B:$B,0))-INDEX(Data_metier!$H:$H,MATCH(M$1,Data_metier!$B:$B,0))&gt; 1,
2,
0)))</f>
        <v>-1</v>
      </c>
      <c r="N19">
        <f>IF(INDEX(Data_metier!$H:$H,MATCH($A19,Data_metier!$B:$B,0))-INDEX(Data_metier!$H:$H,MATCH(N$1,Data_metier!$B:$B,0))&lt; 0,-1,
IF(AND(INDEX(Data_metier!$H:$H,MATCH($A19,Data_metier!$B:$B,0))-INDEX(Data_metier!$H:$H,MATCH(N$1,Data_metier!$B:$B,0))&gt; 0,
INDEX(Data_metier!$H:$H,MATCH($A19,Data_metier!$B:$B,0))-INDEX(Data_metier!$H:$H,MATCH(N$1,Data_metier!$B:$B,0))&lt;=1),
1,
IF(INDEX(Data_metier!$H:$H,MATCH($A19,Data_metier!$B:$B,0))-INDEX(Data_metier!$H:$H,MATCH(N$1,Data_metier!$B:$B,0))&gt; 1,
2,
0)))</f>
        <v>-1</v>
      </c>
      <c r="O19">
        <f>IF(INDEX(Data_metier!$H:$H,MATCH($A19,Data_metier!$B:$B,0))-INDEX(Data_metier!$H:$H,MATCH(O$1,Data_metier!$B:$B,0))&lt; 0,-1,
IF(AND(INDEX(Data_metier!$H:$H,MATCH($A19,Data_metier!$B:$B,0))-INDEX(Data_metier!$H:$H,MATCH(O$1,Data_metier!$B:$B,0))&gt; 0,
INDEX(Data_metier!$H:$H,MATCH($A19,Data_metier!$B:$B,0))-INDEX(Data_metier!$H:$H,MATCH(O$1,Data_metier!$B:$B,0))&lt;=1),
1,
IF(INDEX(Data_metier!$H:$H,MATCH($A19,Data_metier!$B:$B,0))-INDEX(Data_metier!$H:$H,MATCH(O$1,Data_metier!$B:$B,0))&gt; 1,
2,
0)))</f>
        <v>0</v>
      </c>
      <c r="P19">
        <f>IF(INDEX(Data_metier!$H:$H,MATCH($A19,Data_metier!$B:$B,0))-INDEX(Data_metier!$H:$H,MATCH(P$1,Data_metier!$B:$B,0))&lt; 0,-1,
IF(AND(INDEX(Data_metier!$H:$H,MATCH($A19,Data_metier!$B:$B,0))-INDEX(Data_metier!$H:$H,MATCH(P$1,Data_metier!$B:$B,0))&gt; 0,
INDEX(Data_metier!$H:$H,MATCH($A19,Data_metier!$B:$B,0))-INDEX(Data_metier!$H:$H,MATCH(P$1,Data_metier!$B:$B,0))&lt;=1),
1,
IF(INDEX(Data_metier!$H:$H,MATCH($A19,Data_metier!$B:$B,0))-INDEX(Data_metier!$H:$H,MATCH(P$1,Data_metier!$B:$B,0))&gt; 1,
2,
0)))</f>
        <v>0</v>
      </c>
      <c r="Q19">
        <f>IF(INDEX(Data_metier!$H:$H,MATCH($A19,Data_metier!$B:$B,0))-INDEX(Data_metier!$H:$H,MATCH(Q$1,Data_metier!$B:$B,0))&lt; 0,-1,
IF(AND(INDEX(Data_metier!$H:$H,MATCH($A19,Data_metier!$B:$B,0))-INDEX(Data_metier!$H:$H,MATCH(Q$1,Data_metier!$B:$B,0))&gt; 0,
INDEX(Data_metier!$H:$H,MATCH($A19,Data_metier!$B:$B,0))-INDEX(Data_metier!$H:$H,MATCH(Q$1,Data_metier!$B:$B,0))&lt;=1),
1,
IF(INDEX(Data_metier!$H:$H,MATCH($A19,Data_metier!$B:$B,0))-INDEX(Data_metier!$H:$H,MATCH(Q$1,Data_metier!$B:$B,0))&gt; 1,
2,
0)))</f>
        <v>-1</v>
      </c>
      <c r="R19">
        <f>IF(INDEX(Data_metier!$H:$H,MATCH($A19,Data_metier!$B:$B,0))-INDEX(Data_metier!$H:$H,MATCH(R$1,Data_metier!$B:$B,0))&lt; 0,-1,
IF(AND(INDEX(Data_metier!$H:$H,MATCH($A19,Data_metier!$B:$B,0))-INDEX(Data_metier!$H:$H,MATCH(R$1,Data_metier!$B:$B,0))&gt; 0,
INDEX(Data_metier!$H:$H,MATCH($A19,Data_metier!$B:$B,0))-INDEX(Data_metier!$H:$H,MATCH(R$1,Data_metier!$B:$B,0))&lt;=1),
1,
IF(INDEX(Data_metier!$H:$H,MATCH($A19,Data_metier!$B:$B,0))-INDEX(Data_metier!$H:$H,MATCH(R$1,Data_metier!$B:$B,0))&gt; 1,
2,
0)))</f>
        <v>-1</v>
      </c>
      <c r="S19">
        <f>IF(INDEX(Data_metier!$H:$H,MATCH($A19,Data_metier!$B:$B,0))-INDEX(Data_metier!$H:$H,MATCH(S$1,Data_metier!$B:$B,0))&lt; 0,-1,
IF(AND(INDEX(Data_metier!$H:$H,MATCH($A19,Data_metier!$B:$B,0))-INDEX(Data_metier!$H:$H,MATCH(S$1,Data_metier!$B:$B,0))&gt; 0,
INDEX(Data_metier!$H:$H,MATCH($A19,Data_metier!$B:$B,0))-INDEX(Data_metier!$H:$H,MATCH(S$1,Data_metier!$B:$B,0))&lt;=1),
1,
IF(INDEX(Data_metier!$H:$H,MATCH($A19,Data_metier!$B:$B,0))-INDEX(Data_metier!$H:$H,MATCH(S$1,Data_metier!$B:$B,0))&gt; 1,
2,
0)))</f>
        <v>0</v>
      </c>
      <c r="T19">
        <f>IF(INDEX(Data_metier!$H:$H,MATCH($A19,Data_metier!$B:$B,0))-INDEX(Data_metier!$H:$H,MATCH(T$1,Data_metier!$B:$B,0))&lt; 0,-1,
IF(AND(INDEX(Data_metier!$H:$H,MATCH($A19,Data_metier!$B:$B,0))-INDEX(Data_metier!$H:$H,MATCH(T$1,Data_metier!$B:$B,0))&gt; 0,
INDEX(Data_metier!$H:$H,MATCH($A19,Data_metier!$B:$B,0))-INDEX(Data_metier!$H:$H,MATCH(T$1,Data_metier!$B:$B,0))&lt;=1),
1,
IF(INDEX(Data_metier!$H:$H,MATCH($A19,Data_metier!$B:$B,0))-INDEX(Data_metier!$H:$H,MATCH(T$1,Data_metier!$B:$B,0))&gt; 1,
2,
0)))</f>
        <v>0</v>
      </c>
      <c r="U19">
        <f>IF(INDEX(Data_metier!$H:$H,MATCH($A19,Data_metier!$B:$B,0))-INDEX(Data_metier!$H:$H,MATCH(U$1,Data_metier!$B:$B,0))&lt; 0,-1,
IF(AND(INDEX(Data_metier!$H:$H,MATCH($A19,Data_metier!$B:$B,0))-INDEX(Data_metier!$H:$H,MATCH(U$1,Data_metier!$B:$B,0))&gt; 0,
INDEX(Data_metier!$H:$H,MATCH($A19,Data_metier!$B:$B,0))-INDEX(Data_metier!$H:$H,MATCH(U$1,Data_metier!$B:$B,0))&lt;=1),
1,
IF(INDEX(Data_metier!$H:$H,MATCH($A19,Data_metier!$B:$B,0))-INDEX(Data_metier!$H:$H,MATCH(U$1,Data_metier!$B:$B,0))&gt; 1,
2,
0)))</f>
        <v>0</v>
      </c>
      <c r="V19">
        <f>IF(INDEX(Data_metier!$H:$H,MATCH($A19,Data_metier!$B:$B,0))-INDEX(Data_metier!$H:$H,MATCH(V$1,Data_metier!$B:$B,0))&lt; 0,-1,
IF(AND(INDEX(Data_metier!$H:$H,MATCH($A19,Data_metier!$B:$B,0))-INDEX(Data_metier!$H:$H,MATCH(V$1,Data_metier!$B:$B,0))&gt; 0,
INDEX(Data_metier!$H:$H,MATCH($A19,Data_metier!$B:$B,0))-INDEX(Data_metier!$H:$H,MATCH(V$1,Data_metier!$B:$B,0))&lt;=1),
1,
IF(INDEX(Data_metier!$H:$H,MATCH($A19,Data_metier!$B:$B,0))-INDEX(Data_metier!$H:$H,MATCH(V$1,Data_metier!$B:$B,0))&gt; 1,
2,
0)))</f>
        <v>-1</v>
      </c>
      <c r="W19">
        <f>IF(INDEX(Data_metier!$H:$H,MATCH($A19,Data_metier!$B:$B,0))-INDEX(Data_metier!$H:$H,MATCH(W$1,Data_metier!$B:$B,0))&lt; 0,-1,
IF(AND(INDEX(Data_metier!$H:$H,MATCH($A19,Data_metier!$B:$B,0))-INDEX(Data_metier!$H:$H,MATCH(W$1,Data_metier!$B:$B,0))&gt; 0,
INDEX(Data_metier!$H:$H,MATCH($A19,Data_metier!$B:$B,0))-INDEX(Data_metier!$H:$H,MATCH(W$1,Data_metier!$B:$B,0))&lt;=1),
1,
IF(INDEX(Data_metier!$H:$H,MATCH($A19,Data_metier!$B:$B,0))-INDEX(Data_metier!$H:$H,MATCH(W$1,Data_metier!$B:$B,0))&gt; 1,
2,
0)))</f>
        <v>-1</v>
      </c>
      <c r="X19">
        <f>IF(INDEX(Data_metier!$H:$H,MATCH($A19,Data_metier!$B:$B,0))-INDEX(Data_metier!$H:$H,MATCH(X$1,Data_metier!$B:$B,0))&lt; 0,-1,
IF(AND(INDEX(Data_metier!$H:$H,MATCH($A19,Data_metier!$B:$B,0))-INDEX(Data_metier!$H:$H,MATCH(X$1,Data_metier!$B:$B,0))&gt; 0,
INDEX(Data_metier!$H:$H,MATCH($A19,Data_metier!$B:$B,0))-INDEX(Data_metier!$H:$H,MATCH(X$1,Data_metier!$B:$B,0))&lt;=1),
1,
IF(INDEX(Data_metier!$H:$H,MATCH($A19,Data_metier!$B:$B,0))-INDEX(Data_metier!$H:$H,MATCH(X$1,Data_metier!$B:$B,0))&gt; 1,
2,
0)))</f>
        <v>-1</v>
      </c>
      <c r="Y19">
        <f>IF(INDEX(Data_metier!$H:$H,MATCH($A19,Data_metier!$B:$B,0))-INDEX(Data_metier!$H:$H,MATCH(Y$1,Data_metier!$B:$B,0))&lt; 0,-1,
IF(AND(INDEX(Data_metier!$H:$H,MATCH($A19,Data_metier!$B:$B,0))-INDEX(Data_metier!$H:$H,MATCH(Y$1,Data_metier!$B:$B,0))&gt; 0,
INDEX(Data_metier!$H:$H,MATCH($A19,Data_metier!$B:$B,0))-INDEX(Data_metier!$H:$H,MATCH(Y$1,Data_metier!$B:$B,0))&lt;=1),
1,
IF(INDEX(Data_metier!$H:$H,MATCH($A19,Data_metier!$B:$B,0))-INDEX(Data_metier!$H:$H,MATCH(Y$1,Data_metier!$B:$B,0))&gt; 1,
2,
0)))</f>
        <v>0</v>
      </c>
      <c r="Z19">
        <f>IF(INDEX(Data_metier!$H:$H,MATCH($A19,Data_metier!$B:$B,0))-INDEX(Data_metier!$H:$H,MATCH(Z$1,Data_metier!$B:$B,0))&lt; 0,-1,
IF(AND(INDEX(Data_metier!$H:$H,MATCH($A19,Data_metier!$B:$B,0))-INDEX(Data_metier!$H:$H,MATCH(Z$1,Data_metier!$B:$B,0))&gt; 0,
INDEX(Data_metier!$H:$H,MATCH($A19,Data_metier!$B:$B,0))-INDEX(Data_metier!$H:$H,MATCH(Z$1,Data_metier!$B:$B,0))&lt;=1),
1,
IF(INDEX(Data_metier!$H:$H,MATCH($A19,Data_metier!$B:$B,0))-INDEX(Data_metier!$H:$H,MATCH(Z$1,Data_metier!$B:$B,0))&gt; 1,
2,
0)))</f>
        <v>0</v>
      </c>
      <c r="AA19">
        <f>IF(INDEX(Data_metier!$H:$H,MATCH($A19,Data_metier!$B:$B,0))-INDEX(Data_metier!$H:$H,MATCH(AA$1,Data_metier!$B:$B,0))&lt; 0,-1,
IF(AND(INDEX(Data_metier!$H:$H,MATCH($A19,Data_metier!$B:$B,0))-INDEX(Data_metier!$H:$H,MATCH(AA$1,Data_metier!$B:$B,0))&gt; 0,
INDEX(Data_metier!$H:$H,MATCH($A19,Data_metier!$B:$B,0))-INDEX(Data_metier!$H:$H,MATCH(AA$1,Data_metier!$B:$B,0))&lt;=1),
1,
IF(INDEX(Data_metier!$H:$H,MATCH($A19,Data_metier!$B:$B,0))-INDEX(Data_metier!$H:$H,MATCH(AA$1,Data_metier!$B:$B,0))&gt; 1,
2,
0)))</f>
        <v>0</v>
      </c>
      <c r="AB19">
        <f>IF(INDEX(Data_metier!$H:$H,MATCH($A19,Data_metier!$B:$B,0))-INDEX(Data_metier!$H:$H,MATCH(AB$1,Data_metier!$B:$B,0))&lt; 0,-1,
IF(AND(INDEX(Data_metier!$H:$H,MATCH($A19,Data_metier!$B:$B,0))-INDEX(Data_metier!$H:$H,MATCH(AB$1,Data_metier!$B:$B,0))&gt; 0,
INDEX(Data_metier!$H:$H,MATCH($A19,Data_metier!$B:$B,0))-INDEX(Data_metier!$H:$H,MATCH(AB$1,Data_metier!$B:$B,0))&lt;=1),
1,
IF(INDEX(Data_metier!$H:$H,MATCH($A19,Data_metier!$B:$B,0))-INDEX(Data_metier!$H:$H,MATCH(AB$1,Data_metier!$B:$B,0))&gt; 1,
2,
0)))</f>
        <v>-1</v>
      </c>
      <c r="AC19">
        <f>IF(INDEX(Data_metier!$H:$H,MATCH($A19,Data_metier!$B:$B,0))-INDEX(Data_metier!$H:$H,MATCH(AC$1,Data_metier!$B:$B,0))&lt; 0,-1,
IF(AND(INDEX(Data_metier!$H:$H,MATCH($A19,Data_metier!$B:$B,0))-INDEX(Data_metier!$H:$H,MATCH(AC$1,Data_metier!$B:$B,0))&gt; 0,
INDEX(Data_metier!$H:$H,MATCH($A19,Data_metier!$B:$B,0))-INDEX(Data_metier!$H:$H,MATCH(AC$1,Data_metier!$B:$B,0))&lt;=1),
1,
IF(INDEX(Data_metier!$H:$H,MATCH($A19,Data_metier!$B:$B,0))-INDEX(Data_metier!$H:$H,MATCH(AC$1,Data_metier!$B:$B,0))&gt; 1,
2,
0)))</f>
        <v>-1</v>
      </c>
      <c r="AD19">
        <f>IF(INDEX(Data_metier!$H:$H,MATCH($A19,Data_metier!$B:$B,0))-INDEX(Data_metier!$H:$H,MATCH(AD$1,Data_metier!$B:$B,0))&lt; 0,-1,
IF(AND(INDEX(Data_metier!$H:$H,MATCH($A19,Data_metier!$B:$B,0))-INDEX(Data_metier!$H:$H,MATCH(AD$1,Data_metier!$B:$B,0))&gt; 0,
INDEX(Data_metier!$H:$H,MATCH($A19,Data_metier!$B:$B,0))-INDEX(Data_metier!$H:$H,MATCH(AD$1,Data_metier!$B:$B,0))&lt;=1),
1,
IF(INDEX(Data_metier!$H:$H,MATCH($A19,Data_metier!$B:$B,0))-INDEX(Data_metier!$H:$H,MATCH(AD$1,Data_metier!$B:$B,0))&gt; 1,
2,
0)))</f>
        <v>-1</v>
      </c>
    </row>
    <row r="20" spans="1:30">
      <c r="A20" t="str">
        <v>Conducteur(trice) de machine(s) de production alimentaire (fabrication / conditionnement)</v>
      </c>
      <c r="B20">
        <f>IF(INDEX(Data_metier!$H:$H,MATCH($A20,Data_metier!$B:$B,0))-INDEX(Data_metier!$H:$H,MATCH(B$1,Data_metier!$B:$B,0))&lt; 0,-1,
IF(AND(INDEX(Data_metier!$H:$H,MATCH($A20,Data_metier!$B:$B,0))-INDEX(Data_metier!$H:$H,MATCH(B$1,Data_metier!$B:$B,0))&gt; 0,
INDEX(Data_metier!$H:$H,MATCH($A20,Data_metier!$B:$B,0))-INDEX(Data_metier!$H:$H,MATCH(B$1,Data_metier!$B:$B,0))&lt;=1),
1,
IF(INDEX(Data_metier!$H:$H,MATCH($A20,Data_metier!$B:$B,0))-INDEX(Data_metier!$H:$H,MATCH(B$1,Data_metier!$B:$B,0))&gt; 1,
2,
0)))</f>
        <v>-1</v>
      </c>
      <c r="C20">
        <f>IF(INDEX(Data_metier!$H:$H,MATCH($A20,Data_metier!$B:$B,0))-INDEX(Data_metier!$H:$H,MATCH(C$1,Data_metier!$B:$B,0))&lt; 0,-1,
IF(AND(INDEX(Data_metier!$H:$H,MATCH($A20,Data_metier!$B:$B,0))-INDEX(Data_metier!$H:$H,MATCH(C$1,Data_metier!$B:$B,0))&gt; 0,
INDEX(Data_metier!$H:$H,MATCH($A20,Data_metier!$B:$B,0))-INDEX(Data_metier!$H:$H,MATCH(C$1,Data_metier!$B:$B,0))&lt;=1),
1,
IF(INDEX(Data_metier!$H:$H,MATCH($A20,Data_metier!$B:$B,0))-INDEX(Data_metier!$H:$H,MATCH(C$1,Data_metier!$B:$B,0))&gt; 1,
2,
0)))</f>
        <v>-1</v>
      </c>
      <c r="D20">
        <f>IF(INDEX(Data_metier!$H:$H,MATCH($A20,Data_metier!$B:$B,0))-INDEX(Data_metier!$H:$H,MATCH(D$1,Data_metier!$B:$B,0))&lt; 0,-1,
IF(AND(INDEX(Data_metier!$H:$H,MATCH($A20,Data_metier!$B:$B,0))-INDEX(Data_metier!$H:$H,MATCH(D$1,Data_metier!$B:$B,0))&gt; 0,
INDEX(Data_metier!$H:$H,MATCH($A20,Data_metier!$B:$B,0))-INDEX(Data_metier!$H:$H,MATCH(D$1,Data_metier!$B:$B,0))&lt;=1),
1,
IF(INDEX(Data_metier!$H:$H,MATCH($A20,Data_metier!$B:$B,0))-INDEX(Data_metier!$H:$H,MATCH(D$1,Data_metier!$B:$B,0))&gt; 1,
2,
0)))</f>
        <v>0</v>
      </c>
      <c r="E20">
        <f>IF(INDEX(Data_metier!$H:$H,MATCH($A20,Data_metier!$B:$B,0))-INDEX(Data_metier!$H:$H,MATCH(E$1,Data_metier!$B:$B,0))&lt; 0,-1,
IF(AND(INDEX(Data_metier!$H:$H,MATCH($A20,Data_metier!$B:$B,0))-INDEX(Data_metier!$H:$H,MATCH(E$1,Data_metier!$B:$B,0))&gt; 0,
INDEX(Data_metier!$H:$H,MATCH($A20,Data_metier!$B:$B,0))-INDEX(Data_metier!$H:$H,MATCH(E$1,Data_metier!$B:$B,0))&lt;=1),
1,
IF(INDEX(Data_metier!$H:$H,MATCH($A20,Data_metier!$B:$B,0))-INDEX(Data_metier!$H:$H,MATCH(E$1,Data_metier!$B:$B,0))&gt; 1,
2,
0)))</f>
        <v>-1</v>
      </c>
      <c r="F20">
        <f>IF(INDEX(Data_metier!$H:$H,MATCH($A20,Data_metier!$B:$B,0))-INDEX(Data_metier!$H:$H,MATCH(F$1,Data_metier!$B:$B,0))&lt; 0,-1,
IF(AND(INDEX(Data_metier!$H:$H,MATCH($A20,Data_metier!$B:$B,0))-INDEX(Data_metier!$H:$H,MATCH(F$1,Data_metier!$B:$B,0))&gt; 0,
INDEX(Data_metier!$H:$H,MATCH($A20,Data_metier!$B:$B,0))-INDEX(Data_metier!$H:$H,MATCH(F$1,Data_metier!$B:$B,0))&lt;=1),
1,
IF(INDEX(Data_metier!$H:$H,MATCH($A20,Data_metier!$B:$B,0))-INDEX(Data_metier!$H:$H,MATCH(F$1,Data_metier!$B:$B,0))&gt; 1,
2,
0)))</f>
        <v>-1</v>
      </c>
      <c r="G20">
        <f>IF(INDEX(Data_metier!$H:$H,MATCH($A20,Data_metier!$B:$B,0))-INDEX(Data_metier!$H:$H,MATCH(G$1,Data_metier!$B:$B,0))&lt; 0,-1,
IF(AND(INDEX(Data_metier!$H:$H,MATCH($A20,Data_metier!$B:$B,0))-INDEX(Data_metier!$H:$H,MATCH(G$1,Data_metier!$B:$B,0))&gt; 0,
INDEX(Data_metier!$H:$H,MATCH($A20,Data_metier!$B:$B,0))-INDEX(Data_metier!$H:$H,MATCH(G$1,Data_metier!$B:$B,0))&lt;=1),
1,
IF(INDEX(Data_metier!$H:$H,MATCH($A20,Data_metier!$B:$B,0))-INDEX(Data_metier!$H:$H,MATCH(G$1,Data_metier!$B:$B,0))&gt; 1,
2,
0)))</f>
        <v>-1</v>
      </c>
      <c r="H20">
        <f>IF(INDEX(Data_metier!$H:$H,MATCH($A20,Data_metier!$B:$B,0))-INDEX(Data_metier!$H:$H,MATCH(H$1,Data_metier!$B:$B,0))&lt; 0,-1,
IF(AND(INDEX(Data_metier!$H:$H,MATCH($A20,Data_metier!$B:$B,0))-INDEX(Data_metier!$H:$H,MATCH(H$1,Data_metier!$B:$B,0))&gt; 0,
INDEX(Data_metier!$H:$H,MATCH($A20,Data_metier!$B:$B,0))-INDEX(Data_metier!$H:$H,MATCH(H$1,Data_metier!$B:$B,0))&lt;=1),
1,
IF(INDEX(Data_metier!$H:$H,MATCH($A20,Data_metier!$B:$B,0))-INDEX(Data_metier!$H:$H,MATCH(H$1,Data_metier!$B:$B,0))&gt; 1,
2,
0)))</f>
        <v>-1</v>
      </c>
      <c r="I20">
        <f>IF(INDEX(Data_metier!$H:$H,MATCH($A20,Data_metier!$B:$B,0))-INDEX(Data_metier!$H:$H,MATCH(I$1,Data_metier!$B:$B,0))&lt; 0,-1,
IF(AND(INDEX(Data_metier!$H:$H,MATCH($A20,Data_metier!$B:$B,0))-INDEX(Data_metier!$H:$H,MATCH(I$1,Data_metier!$B:$B,0))&gt; 0,
INDEX(Data_metier!$H:$H,MATCH($A20,Data_metier!$B:$B,0))-INDEX(Data_metier!$H:$H,MATCH(I$1,Data_metier!$B:$B,0))&lt;=1),
1,
IF(INDEX(Data_metier!$H:$H,MATCH($A20,Data_metier!$B:$B,0))-INDEX(Data_metier!$H:$H,MATCH(I$1,Data_metier!$B:$B,0))&gt; 1,
2,
0)))</f>
        <v>0</v>
      </c>
      <c r="J20">
        <f>IF(INDEX(Data_metier!$H:$H,MATCH($A20,Data_metier!$B:$B,0))-INDEX(Data_metier!$H:$H,MATCH(J$1,Data_metier!$B:$B,0))&lt; 0,-1,
IF(AND(INDEX(Data_metier!$H:$H,MATCH($A20,Data_metier!$B:$B,0))-INDEX(Data_metier!$H:$H,MATCH(J$1,Data_metier!$B:$B,0))&gt; 0,
INDEX(Data_metier!$H:$H,MATCH($A20,Data_metier!$B:$B,0))-INDEX(Data_metier!$H:$H,MATCH(J$1,Data_metier!$B:$B,0))&lt;=1),
1,
IF(INDEX(Data_metier!$H:$H,MATCH($A20,Data_metier!$B:$B,0))-INDEX(Data_metier!$H:$H,MATCH(J$1,Data_metier!$B:$B,0))&gt; 1,
2,
0)))</f>
        <v>-1</v>
      </c>
      <c r="K20">
        <f>IF(INDEX(Data_metier!$H:$H,MATCH($A20,Data_metier!$B:$B,0))-INDEX(Data_metier!$H:$H,MATCH(K$1,Data_metier!$B:$B,0))&lt; 0,-1,
IF(AND(INDEX(Data_metier!$H:$H,MATCH($A20,Data_metier!$B:$B,0))-INDEX(Data_metier!$H:$H,MATCH(K$1,Data_metier!$B:$B,0))&gt; 0,
INDEX(Data_metier!$H:$H,MATCH($A20,Data_metier!$B:$B,0))-INDEX(Data_metier!$H:$H,MATCH(K$1,Data_metier!$B:$B,0))&lt;=1),
1,
IF(INDEX(Data_metier!$H:$H,MATCH($A20,Data_metier!$B:$B,0))-INDEX(Data_metier!$H:$H,MATCH(K$1,Data_metier!$B:$B,0))&gt; 1,
2,
0)))</f>
        <v>-1</v>
      </c>
      <c r="L20">
        <f>IF(INDEX(Data_metier!$H:$H,MATCH($A20,Data_metier!$B:$B,0))-INDEX(Data_metier!$H:$H,MATCH(L$1,Data_metier!$B:$B,0))&lt; 0,-1,
IF(AND(INDEX(Data_metier!$H:$H,MATCH($A20,Data_metier!$B:$B,0))-INDEX(Data_metier!$H:$H,MATCH(L$1,Data_metier!$B:$B,0))&gt; 0,
INDEX(Data_metier!$H:$H,MATCH($A20,Data_metier!$B:$B,0))-INDEX(Data_metier!$H:$H,MATCH(L$1,Data_metier!$B:$B,0))&lt;=1),
1,
IF(INDEX(Data_metier!$H:$H,MATCH($A20,Data_metier!$B:$B,0))-INDEX(Data_metier!$H:$H,MATCH(L$1,Data_metier!$B:$B,0))&gt; 1,
2,
0)))</f>
        <v>0</v>
      </c>
      <c r="M20">
        <f>IF(INDEX(Data_metier!$H:$H,MATCH($A20,Data_metier!$B:$B,0))-INDEX(Data_metier!$H:$H,MATCH(M$1,Data_metier!$B:$B,0))&lt; 0,-1,
IF(AND(INDEX(Data_metier!$H:$H,MATCH($A20,Data_metier!$B:$B,0))-INDEX(Data_metier!$H:$H,MATCH(M$1,Data_metier!$B:$B,0))&gt; 0,
INDEX(Data_metier!$H:$H,MATCH($A20,Data_metier!$B:$B,0))-INDEX(Data_metier!$H:$H,MATCH(M$1,Data_metier!$B:$B,0))&lt;=1),
1,
IF(INDEX(Data_metier!$H:$H,MATCH($A20,Data_metier!$B:$B,0))-INDEX(Data_metier!$H:$H,MATCH(M$1,Data_metier!$B:$B,0))&gt; 1,
2,
0)))</f>
        <v>-1</v>
      </c>
      <c r="N20">
        <f>IF(INDEX(Data_metier!$H:$H,MATCH($A20,Data_metier!$B:$B,0))-INDEX(Data_metier!$H:$H,MATCH(N$1,Data_metier!$B:$B,0))&lt; 0,-1,
IF(AND(INDEX(Data_metier!$H:$H,MATCH($A20,Data_metier!$B:$B,0))-INDEX(Data_metier!$H:$H,MATCH(N$1,Data_metier!$B:$B,0))&gt; 0,
INDEX(Data_metier!$H:$H,MATCH($A20,Data_metier!$B:$B,0))-INDEX(Data_metier!$H:$H,MATCH(N$1,Data_metier!$B:$B,0))&lt;=1),
1,
IF(INDEX(Data_metier!$H:$H,MATCH($A20,Data_metier!$B:$B,0))-INDEX(Data_metier!$H:$H,MATCH(N$1,Data_metier!$B:$B,0))&gt; 1,
2,
0)))</f>
        <v>-1</v>
      </c>
      <c r="O20">
        <f>IF(INDEX(Data_metier!$H:$H,MATCH($A20,Data_metier!$B:$B,0))-INDEX(Data_metier!$H:$H,MATCH(O$1,Data_metier!$B:$B,0))&lt; 0,-1,
IF(AND(INDEX(Data_metier!$H:$H,MATCH($A20,Data_metier!$B:$B,0))-INDEX(Data_metier!$H:$H,MATCH(O$1,Data_metier!$B:$B,0))&gt; 0,
INDEX(Data_metier!$H:$H,MATCH($A20,Data_metier!$B:$B,0))-INDEX(Data_metier!$H:$H,MATCH(O$1,Data_metier!$B:$B,0))&lt;=1),
1,
IF(INDEX(Data_metier!$H:$H,MATCH($A20,Data_metier!$B:$B,0))-INDEX(Data_metier!$H:$H,MATCH(O$1,Data_metier!$B:$B,0))&gt; 1,
2,
0)))</f>
        <v>0</v>
      </c>
      <c r="P20">
        <f>IF(INDEX(Data_metier!$H:$H,MATCH($A20,Data_metier!$B:$B,0))-INDEX(Data_metier!$H:$H,MATCH(P$1,Data_metier!$B:$B,0))&lt; 0,-1,
IF(AND(INDEX(Data_metier!$H:$H,MATCH($A20,Data_metier!$B:$B,0))-INDEX(Data_metier!$H:$H,MATCH(P$1,Data_metier!$B:$B,0))&gt; 0,
INDEX(Data_metier!$H:$H,MATCH($A20,Data_metier!$B:$B,0))-INDEX(Data_metier!$H:$H,MATCH(P$1,Data_metier!$B:$B,0))&lt;=1),
1,
IF(INDEX(Data_metier!$H:$H,MATCH($A20,Data_metier!$B:$B,0))-INDEX(Data_metier!$H:$H,MATCH(P$1,Data_metier!$B:$B,0))&gt; 1,
2,
0)))</f>
        <v>0</v>
      </c>
      <c r="Q20">
        <f>IF(INDEX(Data_metier!$H:$H,MATCH($A20,Data_metier!$B:$B,0))-INDEX(Data_metier!$H:$H,MATCH(Q$1,Data_metier!$B:$B,0))&lt; 0,-1,
IF(AND(INDEX(Data_metier!$H:$H,MATCH($A20,Data_metier!$B:$B,0))-INDEX(Data_metier!$H:$H,MATCH(Q$1,Data_metier!$B:$B,0))&gt; 0,
INDEX(Data_metier!$H:$H,MATCH($A20,Data_metier!$B:$B,0))-INDEX(Data_metier!$H:$H,MATCH(Q$1,Data_metier!$B:$B,0))&lt;=1),
1,
IF(INDEX(Data_metier!$H:$H,MATCH($A20,Data_metier!$B:$B,0))-INDEX(Data_metier!$H:$H,MATCH(Q$1,Data_metier!$B:$B,0))&gt; 1,
2,
0)))</f>
        <v>-1</v>
      </c>
      <c r="R20">
        <f>IF(INDEX(Data_metier!$H:$H,MATCH($A20,Data_metier!$B:$B,0))-INDEX(Data_metier!$H:$H,MATCH(R$1,Data_metier!$B:$B,0))&lt; 0,-1,
IF(AND(INDEX(Data_metier!$H:$H,MATCH($A20,Data_metier!$B:$B,0))-INDEX(Data_metier!$H:$H,MATCH(R$1,Data_metier!$B:$B,0))&gt; 0,
INDEX(Data_metier!$H:$H,MATCH($A20,Data_metier!$B:$B,0))-INDEX(Data_metier!$H:$H,MATCH(R$1,Data_metier!$B:$B,0))&lt;=1),
1,
IF(INDEX(Data_metier!$H:$H,MATCH($A20,Data_metier!$B:$B,0))-INDEX(Data_metier!$H:$H,MATCH(R$1,Data_metier!$B:$B,0))&gt; 1,
2,
0)))</f>
        <v>-1</v>
      </c>
      <c r="S20">
        <f>IF(INDEX(Data_metier!$H:$H,MATCH($A20,Data_metier!$B:$B,0))-INDEX(Data_metier!$H:$H,MATCH(S$1,Data_metier!$B:$B,0))&lt; 0,-1,
IF(AND(INDEX(Data_metier!$H:$H,MATCH($A20,Data_metier!$B:$B,0))-INDEX(Data_metier!$H:$H,MATCH(S$1,Data_metier!$B:$B,0))&gt; 0,
INDEX(Data_metier!$H:$H,MATCH($A20,Data_metier!$B:$B,0))-INDEX(Data_metier!$H:$H,MATCH(S$1,Data_metier!$B:$B,0))&lt;=1),
1,
IF(INDEX(Data_metier!$H:$H,MATCH($A20,Data_metier!$B:$B,0))-INDEX(Data_metier!$H:$H,MATCH(S$1,Data_metier!$B:$B,0))&gt; 1,
2,
0)))</f>
        <v>0</v>
      </c>
      <c r="T20">
        <f>IF(INDEX(Data_metier!$H:$H,MATCH($A20,Data_metier!$B:$B,0))-INDEX(Data_metier!$H:$H,MATCH(T$1,Data_metier!$B:$B,0))&lt; 0,-1,
IF(AND(INDEX(Data_metier!$H:$H,MATCH($A20,Data_metier!$B:$B,0))-INDEX(Data_metier!$H:$H,MATCH(T$1,Data_metier!$B:$B,0))&gt; 0,
INDEX(Data_metier!$H:$H,MATCH($A20,Data_metier!$B:$B,0))-INDEX(Data_metier!$H:$H,MATCH(T$1,Data_metier!$B:$B,0))&lt;=1),
1,
IF(INDEX(Data_metier!$H:$H,MATCH($A20,Data_metier!$B:$B,0))-INDEX(Data_metier!$H:$H,MATCH(T$1,Data_metier!$B:$B,0))&gt; 1,
2,
0)))</f>
        <v>0</v>
      </c>
      <c r="U20">
        <f>IF(INDEX(Data_metier!$H:$H,MATCH($A20,Data_metier!$B:$B,0))-INDEX(Data_metier!$H:$H,MATCH(U$1,Data_metier!$B:$B,0))&lt; 0,-1,
IF(AND(INDEX(Data_metier!$H:$H,MATCH($A20,Data_metier!$B:$B,0))-INDEX(Data_metier!$H:$H,MATCH(U$1,Data_metier!$B:$B,0))&gt; 0,
INDEX(Data_metier!$H:$H,MATCH($A20,Data_metier!$B:$B,0))-INDEX(Data_metier!$H:$H,MATCH(U$1,Data_metier!$B:$B,0))&lt;=1),
1,
IF(INDEX(Data_metier!$H:$H,MATCH($A20,Data_metier!$B:$B,0))-INDEX(Data_metier!$H:$H,MATCH(U$1,Data_metier!$B:$B,0))&gt; 1,
2,
0)))</f>
        <v>0</v>
      </c>
      <c r="V20">
        <f>IF(INDEX(Data_metier!$H:$H,MATCH($A20,Data_metier!$B:$B,0))-INDEX(Data_metier!$H:$H,MATCH(V$1,Data_metier!$B:$B,0))&lt; 0,-1,
IF(AND(INDEX(Data_metier!$H:$H,MATCH($A20,Data_metier!$B:$B,0))-INDEX(Data_metier!$H:$H,MATCH(V$1,Data_metier!$B:$B,0))&gt; 0,
INDEX(Data_metier!$H:$H,MATCH($A20,Data_metier!$B:$B,0))-INDEX(Data_metier!$H:$H,MATCH(V$1,Data_metier!$B:$B,0))&lt;=1),
1,
IF(INDEX(Data_metier!$H:$H,MATCH($A20,Data_metier!$B:$B,0))-INDEX(Data_metier!$H:$H,MATCH(V$1,Data_metier!$B:$B,0))&gt; 1,
2,
0)))</f>
        <v>-1</v>
      </c>
      <c r="W20">
        <f>IF(INDEX(Data_metier!$H:$H,MATCH($A20,Data_metier!$B:$B,0))-INDEX(Data_metier!$H:$H,MATCH(W$1,Data_metier!$B:$B,0))&lt; 0,-1,
IF(AND(INDEX(Data_metier!$H:$H,MATCH($A20,Data_metier!$B:$B,0))-INDEX(Data_metier!$H:$H,MATCH(W$1,Data_metier!$B:$B,0))&gt; 0,
INDEX(Data_metier!$H:$H,MATCH($A20,Data_metier!$B:$B,0))-INDEX(Data_metier!$H:$H,MATCH(W$1,Data_metier!$B:$B,0))&lt;=1),
1,
IF(INDEX(Data_metier!$H:$H,MATCH($A20,Data_metier!$B:$B,0))-INDEX(Data_metier!$H:$H,MATCH(W$1,Data_metier!$B:$B,0))&gt; 1,
2,
0)))</f>
        <v>-1</v>
      </c>
      <c r="X20">
        <f>IF(INDEX(Data_metier!$H:$H,MATCH($A20,Data_metier!$B:$B,0))-INDEX(Data_metier!$H:$H,MATCH(X$1,Data_metier!$B:$B,0))&lt; 0,-1,
IF(AND(INDEX(Data_metier!$H:$H,MATCH($A20,Data_metier!$B:$B,0))-INDEX(Data_metier!$H:$H,MATCH(X$1,Data_metier!$B:$B,0))&gt; 0,
INDEX(Data_metier!$H:$H,MATCH($A20,Data_metier!$B:$B,0))-INDEX(Data_metier!$H:$H,MATCH(X$1,Data_metier!$B:$B,0))&lt;=1),
1,
IF(INDEX(Data_metier!$H:$H,MATCH($A20,Data_metier!$B:$B,0))-INDEX(Data_metier!$H:$H,MATCH(X$1,Data_metier!$B:$B,0))&gt; 1,
2,
0)))</f>
        <v>-1</v>
      </c>
      <c r="Y20">
        <f>IF(INDEX(Data_metier!$H:$H,MATCH($A20,Data_metier!$B:$B,0))-INDEX(Data_metier!$H:$H,MATCH(Y$1,Data_metier!$B:$B,0))&lt; 0,-1,
IF(AND(INDEX(Data_metier!$H:$H,MATCH($A20,Data_metier!$B:$B,0))-INDEX(Data_metier!$H:$H,MATCH(Y$1,Data_metier!$B:$B,0))&gt; 0,
INDEX(Data_metier!$H:$H,MATCH($A20,Data_metier!$B:$B,0))-INDEX(Data_metier!$H:$H,MATCH(Y$1,Data_metier!$B:$B,0))&lt;=1),
1,
IF(INDEX(Data_metier!$H:$H,MATCH($A20,Data_metier!$B:$B,0))-INDEX(Data_metier!$H:$H,MATCH(Y$1,Data_metier!$B:$B,0))&gt; 1,
2,
0)))</f>
        <v>0</v>
      </c>
      <c r="Z20">
        <f>IF(INDEX(Data_metier!$H:$H,MATCH($A20,Data_metier!$B:$B,0))-INDEX(Data_metier!$H:$H,MATCH(Z$1,Data_metier!$B:$B,0))&lt; 0,-1,
IF(AND(INDEX(Data_metier!$H:$H,MATCH($A20,Data_metier!$B:$B,0))-INDEX(Data_metier!$H:$H,MATCH(Z$1,Data_metier!$B:$B,0))&gt; 0,
INDEX(Data_metier!$H:$H,MATCH($A20,Data_metier!$B:$B,0))-INDEX(Data_metier!$H:$H,MATCH(Z$1,Data_metier!$B:$B,0))&lt;=1),
1,
IF(INDEX(Data_metier!$H:$H,MATCH($A20,Data_metier!$B:$B,0))-INDEX(Data_metier!$H:$H,MATCH(Z$1,Data_metier!$B:$B,0))&gt; 1,
2,
0)))</f>
        <v>0</v>
      </c>
      <c r="AA20">
        <f>IF(INDEX(Data_metier!$H:$H,MATCH($A20,Data_metier!$B:$B,0))-INDEX(Data_metier!$H:$H,MATCH(AA$1,Data_metier!$B:$B,0))&lt; 0,-1,
IF(AND(INDEX(Data_metier!$H:$H,MATCH($A20,Data_metier!$B:$B,0))-INDEX(Data_metier!$H:$H,MATCH(AA$1,Data_metier!$B:$B,0))&gt; 0,
INDEX(Data_metier!$H:$H,MATCH($A20,Data_metier!$B:$B,0))-INDEX(Data_metier!$H:$H,MATCH(AA$1,Data_metier!$B:$B,0))&lt;=1),
1,
IF(INDEX(Data_metier!$H:$H,MATCH($A20,Data_metier!$B:$B,0))-INDEX(Data_metier!$H:$H,MATCH(AA$1,Data_metier!$B:$B,0))&gt; 1,
2,
0)))</f>
        <v>0</v>
      </c>
      <c r="AB20">
        <f>IF(INDEX(Data_metier!$H:$H,MATCH($A20,Data_metier!$B:$B,0))-INDEX(Data_metier!$H:$H,MATCH(AB$1,Data_metier!$B:$B,0))&lt; 0,-1,
IF(AND(INDEX(Data_metier!$H:$H,MATCH($A20,Data_metier!$B:$B,0))-INDEX(Data_metier!$H:$H,MATCH(AB$1,Data_metier!$B:$B,0))&gt; 0,
INDEX(Data_metier!$H:$H,MATCH($A20,Data_metier!$B:$B,0))-INDEX(Data_metier!$H:$H,MATCH(AB$1,Data_metier!$B:$B,0))&lt;=1),
1,
IF(INDEX(Data_metier!$H:$H,MATCH($A20,Data_metier!$B:$B,0))-INDEX(Data_metier!$H:$H,MATCH(AB$1,Data_metier!$B:$B,0))&gt; 1,
2,
0)))</f>
        <v>-1</v>
      </c>
      <c r="AC20">
        <f>IF(INDEX(Data_metier!$H:$H,MATCH($A20,Data_metier!$B:$B,0))-INDEX(Data_metier!$H:$H,MATCH(AC$1,Data_metier!$B:$B,0))&lt; 0,-1,
IF(AND(INDEX(Data_metier!$H:$H,MATCH($A20,Data_metier!$B:$B,0))-INDEX(Data_metier!$H:$H,MATCH(AC$1,Data_metier!$B:$B,0))&gt; 0,
INDEX(Data_metier!$H:$H,MATCH($A20,Data_metier!$B:$B,0))-INDEX(Data_metier!$H:$H,MATCH(AC$1,Data_metier!$B:$B,0))&lt;=1),
1,
IF(INDEX(Data_metier!$H:$H,MATCH($A20,Data_metier!$B:$B,0))-INDEX(Data_metier!$H:$H,MATCH(AC$1,Data_metier!$B:$B,0))&gt; 1,
2,
0)))</f>
        <v>-1</v>
      </c>
      <c r="AD20">
        <f>IF(INDEX(Data_metier!$H:$H,MATCH($A20,Data_metier!$B:$B,0))-INDEX(Data_metier!$H:$H,MATCH(AD$1,Data_metier!$B:$B,0))&lt; 0,-1,
IF(AND(INDEX(Data_metier!$H:$H,MATCH($A20,Data_metier!$B:$B,0))-INDEX(Data_metier!$H:$H,MATCH(AD$1,Data_metier!$B:$B,0))&gt; 0,
INDEX(Data_metier!$H:$H,MATCH($A20,Data_metier!$B:$B,0))-INDEX(Data_metier!$H:$H,MATCH(AD$1,Data_metier!$B:$B,0))&lt;=1),
1,
IF(INDEX(Data_metier!$H:$H,MATCH($A20,Data_metier!$B:$B,0))-INDEX(Data_metier!$H:$H,MATCH(AD$1,Data_metier!$B:$B,0))&gt; 1,
2,
0)))</f>
        <v>-1</v>
      </c>
    </row>
    <row r="21" spans="1:30">
      <c r="A21" t="str">
        <v>Boulanger(ère)/pâtissier(ère) industriel(le)</v>
      </c>
      <c r="B21">
        <f>IF(INDEX(Data_metier!$H:$H,MATCH($A21,Data_metier!$B:$B,0))-INDEX(Data_metier!$H:$H,MATCH(B$1,Data_metier!$B:$B,0))&lt; 0,-1,
IF(AND(INDEX(Data_metier!$H:$H,MATCH($A21,Data_metier!$B:$B,0))-INDEX(Data_metier!$H:$H,MATCH(B$1,Data_metier!$B:$B,0))&gt; 0,
INDEX(Data_metier!$H:$H,MATCH($A21,Data_metier!$B:$B,0))-INDEX(Data_metier!$H:$H,MATCH(B$1,Data_metier!$B:$B,0))&lt;=1),
1,
IF(INDEX(Data_metier!$H:$H,MATCH($A21,Data_metier!$B:$B,0))-INDEX(Data_metier!$H:$H,MATCH(B$1,Data_metier!$B:$B,0))&gt; 1,
2,
0)))</f>
        <v>-1</v>
      </c>
      <c r="C21">
        <f>IF(INDEX(Data_metier!$H:$H,MATCH($A21,Data_metier!$B:$B,0))-INDEX(Data_metier!$H:$H,MATCH(C$1,Data_metier!$B:$B,0))&lt; 0,-1,
IF(AND(INDEX(Data_metier!$H:$H,MATCH($A21,Data_metier!$B:$B,0))-INDEX(Data_metier!$H:$H,MATCH(C$1,Data_metier!$B:$B,0))&gt; 0,
INDEX(Data_metier!$H:$H,MATCH($A21,Data_metier!$B:$B,0))-INDEX(Data_metier!$H:$H,MATCH(C$1,Data_metier!$B:$B,0))&lt;=1),
1,
IF(INDEX(Data_metier!$H:$H,MATCH($A21,Data_metier!$B:$B,0))-INDEX(Data_metier!$H:$H,MATCH(C$1,Data_metier!$B:$B,0))&gt; 1,
2,
0)))</f>
        <v>-1</v>
      </c>
      <c r="D21">
        <f>IF(INDEX(Data_metier!$H:$H,MATCH($A21,Data_metier!$B:$B,0))-INDEX(Data_metier!$H:$H,MATCH(D$1,Data_metier!$B:$B,0))&lt; 0,-1,
IF(AND(INDEX(Data_metier!$H:$H,MATCH($A21,Data_metier!$B:$B,0))-INDEX(Data_metier!$H:$H,MATCH(D$1,Data_metier!$B:$B,0))&gt; 0,
INDEX(Data_metier!$H:$H,MATCH($A21,Data_metier!$B:$B,0))-INDEX(Data_metier!$H:$H,MATCH(D$1,Data_metier!$B:$B,0))&lt;=1),
1,
IF(INDEX(Data_metier!$H:$H,MATCH($A21,Data_metier!$B:$B,0))-INDEX(Data_metier!$H:$H,MATCH(D$1,Data_metier!$B:$B,0))&gt; 1,
2,
0)))</f>
        <v>0</v>
      </c>
      <c r="E21">
        <f>IF(INDEX(Data_metier!$H:$H,MATCH($A21,Data_metier!$B:$B,0))-INDEX(Data_metier!$H:$H,MATCH(E$1,Data_metier!$B:$B,0))&lt; 0,-1,
IF(AND(INDEX(Data_metier!$H:$H,MATCH($A21,Data_metier!$B:$B,0))-INDEX(Data_metier!$H:$H,MATCH(E$1,Data_metier!$B:$B,0))&gt; 0,
INDEX(Data_metier!$H:$H,MATCH($A21,Data_metier!$B:$B,0))-INDEX(Data_metier!$H:$H,MATCH(E$1,Data_metier!$B:$B,0))&lt;=1),
1,
IF(INDEX(Data_metier!$H:$H,MATCH($A21,Data_metier!$B:$B,0))-INDEX(Data_metier!$H:$H,MATCH(E$1,Data_metier!$B:$B,0))&gt; 1,
2,
0)))</f>
        <v>-1</v>
      </c>
      <c r="F21">
        <f>IF(INDEX(Data_metier!$H:$H,MATCH($A21,Data_metier!$B:$B,0))-INDEX(Data_metier!$H:$H,MATCH(F$1,Data_metier!$B:$B,0))&lt; 0,-1,
IF(AND(INDEX(Data_metier!$H:$H,MATCH($A21,Data_metier!$B:$B,0))-INDEX(Data_metier!$H:$H,MATCH(F$1,Data_metier!$B:$B,0))&gt; 0,
INDEX(Data_metier!$H:$H,MATCH($A21,Data_metier!$B:$B,0))-INDEX(Data_metier!$H:$H,MATCH(F$1,Data_metier!$B:$B,0))&lt;=1),
1,
IF(INDEX(Data_metier!$H:$H,MATCH($A21,Data_metier!$B:$B,0))-INDEX(Data_metier!$H:$H,MATCH(F$1,Data_metier!$B:$B,0))&gt; 1,
2,
0)))</f>
        <v>-1</v>
      </c>
      <c r="G21">
        <f>IF(INDEX(Data_metier!$H:$H,MATCH($A21,Data_metier!$B:$B,0))-INDEX(Data_metier!$H:$H,MATCH(G$1,Data_metier!$B:$B,0))&lt; 0,-1,
IF(AND(INDEX(Data_metier!$H:$H,MATCH($A21,Data_metier!$B:$B,0))-INDEX(Data_metier!$H:$H,MATCH(G$1,Data_metier!$B:$B,0))&gt; 0,
INDEX(Data_metier!$H:$H,MATCH($A21,Data_metier!$B:$B,0))-INDEX(Data_metier!$H:$H,MATCH(G$1,Data_metier!$B:$B,0))&lt;=1),
1,
IF(INDEX(Data_metier!$H:$H,MATCH($A21,Data_metier!$B:$B,0))-INDEX(Data_metier!$H:$H,MATCH(G$1,Data_metier!$B:$B,0))&gt; 1,
2,
0)))</f>
        <v>-1</v>
      </c>
      <c r="H21">
        <f>IF(INDEX(Data_metier!$H:$H,MATCH($A21,Data_metier!$B:$B,0))-INDEX(Data_metier!$H:$H,MATCH(H$1,Data_metier!$B:$B,0))&lt; 0,-1,
IF(AND(INDEX(Data_metier!$H:$H,MATCH($A21,Data_metier!$B:$B,0))-INDEX(Data_metier!$H:$H,MATCH(H$1,Data_metier!$B:$B,0))&gt; 0,
INDEX(Data_metier!$H:$H,MATCH($A21,Data_metier!$B:$B,0))-INDEX(Data_metier!$H:$H,MATCH(H$1,Data_metier!$B:$B,0))&lt;=1),
1,
IF(INDEX(Data_metier!$H:$H,MATCH($A21,Data_metier!$B:$B,0))-INDEX(Data_metier!$H:$H,MATCH(H$1,Data_metier!$B:$B,0))&gt; 1,
2,
0)))</f>
        <v>-1</v>
      </c>
      <c r="I21">
        <f>IF(INDEX(Data_metier!$H:$H,MATCH($A21,Data_metier!$B:$B,0))-INDEX(Data_metier!$H:$H,MATCH(I$1,Data_metier!$B:$B,0))&lt; 0,-1,
IF(AND(INDEX(Data_metier!$H:$H,MATCH($A21,Data_metier!$B:$B,0))-INDEX(Data_metier!$H:$H,MATCH(I$1,Data_metier!$B:$B,0))&gt; 0,
INDEX(Data_metier!$H:$H,MATCH($A21,Data_metier!$B:$B,0))-INDEX(Data_metier!$H:$H,MATCH(I$1,Data_metier!$B:$B,0))&lt;=1),
1,
IF(INDEX(Data_metier!$H:$H,MATCH($A21,Data_metier!$B:$B,0))-INDEX(Data_metier!$H:$H,MATCH(I$1,Data_metier!$B:$B,0))&gt; 1,
2,
0)))</f>
        <v>0</v>
      </c>
      <c r="J21">
        <f>IF(INDEX(Data_metier!$H:$H,MATCH($A21,Data_metier!$B:$B,0))-INDEX(Data_metier!$H:$H,MATCH(J$1,Data_metier!$B:$B,0))&lt; 0,-1,
IF(AND(INDEX(Data_metier!$H:$H,MATCH($A21,Data_metier!$B:$B,0))-INDEX(Data_metier!$H:$H,MATCH(J$1,Data_metier!$B:$B,0))&gt; 0,
INDEX(Data_metier!$H:$H,MATCH($A21,Data_metier!$B:$B,0))-INDEX(Data_metier!$H:$H,MATCH(J$1,Data_metier!$B:$B,0))&lt;=1),
1,
IF(INDEX(Data_metier!$H:$H,MATCH($A21,Data_metier!$B:$B,0))-INDEX(Data_metier!$H:$H,MATCH(J$1,Data_metier!$B:$B,0))&gt; 1,
2,
0)))</f>
        <v>-1</v>
      </c>
      <c r="K21">
        <f>IF(INDEX(Data_metier!$H:$H,MATCH($A21,Data_metier!$B:$B,0))-INDEX(Data_metier!$H:$H,MATCH(K$1,Data_metier!$B:$B,0))&lt; 0,-1,
IF(AND(INDEX(Data_metier!$H:$H,MATCH($A21,Data_metier!$B:$B,0))-INDEX(Data_metier!$H:$H,MATCH(K$1,Data_metier!$B:$B,0))&gt; 0,
INDEX(Data_metier!$H:$H,MATCH($A21,Data_metier!$B:$B,0))-INDEX(Data_metier!$H:$H,MATCH(K$1,Data_metier!$B:$B,0))&lt;=1),
1,
IF(INDEX(Data_metier!$H:$H,MATCH($A21,Data_metier!$B:$B,0))-INDEX(Data_metier!$H:$H,MATCH(K$1,Data_metier!$B:$B,0))&gt; 1,
2,
0)))</f>
        <v>-1</v>
      </c>
      <c r="L21">
        <f>IF(INDEX(Data_metier!$H:$H,MATCH($A21,Data_metier!$B:$B,0))-INDEX(Data_metier!$H:$H,MATCH(L$1,Data_metier!$B:$B,0))&lt; 0,-1,
IF(AND(INDEX(Data_metier!$H:$H,MATCH($A21,Data_metier!$B:$B,0))-INDEX(Data_metier!$H:$H,MATCH(L$1,Data_metier!$B:$B,0))&gt; 0,
INDEX(Data_metier!$H:$H,MATCH($A21,Data_metier!$B:$B,0))-INDEX(Data_metier!$H:$H,MATCH(L$1,Data_metier!$B:$B,0))&lt;=1),
1,
IF(INDEX(Data_metier!$H:$H,MATCH($A21,Data_metier!$B:$B,0))-INDEX(Data_metier!$H:$H,MATCH(L$1,Data_metier!$B:$B,0))&gt; 1,
2,
0)))</f>
        <v>0</v>
      </c>
      <c r="M21">
        <f>IF(INDEX(Data_metier!$H:$H,MATCH($A21,Data_metier!$B:$B,0))-INDEX(Data_metier!$H:$H,MATCH(M$1,Data_metier!$B:$B,0))&lt; 0,-1,
IF(AND(INDEX(Data_metier!$H:$H,MATCH($A21,Data_metier!$B:$B,0))-INDEX(Data_metier!$H:$H,MATCH(M$1,Data_metier!$B:$B,0))&gt; 0,
INDEX(Data_metier!$H:$H,MATCH($A21,Data_metier!$B:$B,0))-INDEX(Data_metier!$H:$H,MATCH(M$1,Data_metier!$B:$B,0))&lt;=1),
1,
IF(INDEX(Data_metier!$H:$H,MATCH($A21,Data_metier!$B:$B,0))-INDEX(Data_metier!$H:$H,MATCH(M$1,Data_metier!$B:$B,0))&gt; 1,
2,
0)))</f>
        <v>-1</v>
      </c>
      <c r="N21">
        <f>IF(INDEX(Data_metier!$H:$H,MATCH($A21,Data_metier!$B:$B,0))-INDEX(Data_metier!$H:$H,MATCH(N$1,Data_metier!$B:$B,0))&lt; 0,-1,
IF(AND(INDEX(Data_metier!$H:$H,MATCH($A21,Data_metier!$B:$B,0))-INDEX(Data_metier!$H:$H,MATCH(N$1,Data_metier!$B:$B,0))&gt; 0,
INDEX(Data_metier!$H:$H,MATCH($A21,Data_metier!$B:$B,0))-INDEX(Data_metier!$H:$H,MATCH(N$1,Data_metier!$B:$B,0))&lt;=1),
1,
IF(INDEX(Data_metier!$H:$H,MATCH($A21,Data_metier!$B:$B,0))-INDEX(Data_metier!$H:$H,MATCH(N$1,Data_metier!$B:$B,0))&gt; 1,
2,
0)))</f>
        <v>-1</v>
      </c>
      <c r="O21">
        <f>IF(INDEX(Data_metier!$H:$H,MATCH($A21,Data_metier!$B:$B,0))-INDEX(Data_metier!$H:$H,MATCH(O$1,Data_metier!$B:$B,0))&lt; 0,-1,
IF(AND(INDEX(Data_metier!$H:$H,MATCH($A21,Data_metier!$B:$B,0))-INDEX(Data_metier!$H:$H,MATCH(O$1,Data_metier!$B:$B,0))&gt; 0,
INDEX(Data_metier!$H:$H,MATCH($A21,Data_metier!$B:$B,0))-INDEX(Data_metier!$H:$H,MATCH(O$1,Data_metier!$B:$B,0))&lt;=1),
1,
IF(INDEX(Data_metier!$H:$H,MATCH($A21,Data_metier!$B:$B,0))-INDEX(Data_metier!$H:$H,MATCH(O$1,Data_metier!$B:$B,0))&gt; 1,
2,
0)))</f>
        <v>0</v>
      </c>
      <c r="P21">
        <f>IF(INDEX(Data_metier!$H:$H,MATCH($A21,Data_metier!$B:$B,0))-INDEX(Data_metier!$H:$H,MATCH(P$1,Data_metier!$B:$B,0))&lt; 0,-1,
IF(AND(INDEX(Data_metier!$H:$H,MATCH($A21,Data_metier!$B:$B,0))-INDEX(Data_metier!$H:$H,MATCH(P$1,Data_metier!$B:$B,0))&gt; 0,
INDEX(Data_metier!$H:$H,MATCH($A21,Data_metier!$B:$B,0))-INDEX(Data_metier!$H:$H,MATCH(P$1,Data_metier!$B:$B,0))&lt;=1),
1,
IF(INDEX(Data_metier!$H:$H,MATCH($A21,Data_metier!$B:$B,0))-INDEX(Data_metier!$H:$H,MATCH(P$1,Data_metier!$B:$B,0))&gt; 1,
2,
0)))</f>
        <v>0</v>
      </c>
      <c r="Q21">
        <f>IF(INDEX(Data_metier!$H:$H,MATCH($A21,Data_metier!$B:$B,0))-INDEX(Data_metier!$H:$H,MATCH(Q$1,Data_metier!$B:$B,0))&lt; 0,-1,
IF(AND(INDEX(Data_metier!$H:$H,MATCH($A21,Data_metier!$B:$B,0))-INDEX(Data_metier!$H:$H,MATCH(Q$1,Data_metier!$B:$B,0))&gt; 0,
INDEX(Data_metier!$H:$H,MATCH($A21,Data_metier!$B:$B,0))-INDEX(Data_metier!$H:$H,MATCH(Q$1,Data_metier!$B:$B,0))&lt;=1),
1,
IF(INDEX(Data_metier!$H:$H,MATCH($A21,Data_metier!$B:$B,0))-INDEX(Data_metier!$H:$H,MATCH(Q$1,Data_metier!$B:$B,0))&gt; 1,
2,
0)))</f>
        <v>-1</v>
      </c>
      <c r="R21">
        <f>IF(INDEX(Data_metier!$H:$H,MATCH($A21,Data_metier!$B:$B,0))-INDEX(Data_metier!$H:$H,MATCH(R$1,Data_metier!$B:$B,0))&lt; 0,-1,
IF(AND(INDEX(Data_metier!$H:$H,MATCH($A21,Data_metier!$B:$B,0))-INDEX(Data_metier!$H:$H,MATCH(R$1,Data_metier!$B:$B,0))&gt; 0,
INDEX(Data_metier!$H:$H,MATCH($A21,Data_metier!$B:$B,0))-INDEX(Data_metier!$H:$H,MATCH(R$1,Data_metier!$B:$B,0))&lt;=1),
1,
IF(INDEX(Data_metier!$H:$H,MATCH($A21,Data_metier!$B:$B,0))-INDEX(Data_metier!$H:$H,MATCH(R$1,Data_metier!$B:$B,0))&gt; 1,
2,
0)))</f>
        <v>-1</v>
      </c>
      <c r="S21">
        <f>IF(INDEX(Data_metier!$H:$H,MATCH($A21,Data_metier!$B:$B,0))-INDEX(Data_metier!$H:$H,MATCH(S$1,Data_metier!$B:$B,0))&lt; 0,-1,
IF(AND(INDEX(Data_metier!$H:$H,MATCH($A21,Data_metier!$B:$B,0))-INDEX(Data_metier!$H:$H,MATCH(S$1,Data_metier!$B:$B,0))&gt; 0,
INDEX(Data_metier!$H:$H,MATCH($A21,Data_metier!$B:$B,0))-INDEX(Data_metier!$H:$H,MATCH(S$1,Data_metier!$B:$B,0))&lt;=1),
1,
IF(INDEX(Data_metier!$H:$H,MATCH($A21,Data_metier!$B:$B,0))-INDEX(Data_metier!$H:$H,MATCH(S$1,Data_metier!$B:$B,0))&gt; 1,
2,
0)))</f>
        <v>0</v>
      </c>
      <c r="T21">
        <f>IF(INDEX(Data_metier!$H:$H,MATCH($A21,Data_metier!$B:$B,0))-INDEX(Data_metier!$H:$H,MATCH(T$1,Data_metier!$B:$B,0))&lt; 0,-1,
IF(AND(INDEX(Data_metier!$H:$H,MATCH($A21,Data_metier!$B:$B,0))-INDEX(Data_metier!$H:$H,MATCH(T$1,Data_metier!$B:$B,0))&gt; 0,
INDEX(Data_metier!$H:$H,MATCH($A21,Data_metier!$B:$B,0))-INDEX(Data_metier!$H:$H,MATCH(T$1,Data_metier!$B:$B,0))&lt;=1),
1,
IF(INDEX(Data_metier!$H:$H,MATCH($A21,Data_metier!$B:$B,0))-INDEX(Data_metier!$H:$H,MATCH(T$1,Data_metier!$B:$B,0))&gt; 1,
2,
0)))</f>
        <v>0</v>
      </c>
      <c r="U21">
        <f>IF(INDEX(Data_metier!$H:$H,MATCH($A21,Data_metier!$B:$B,0))-INDEX(Data_metier!$H:$H,MATCH(U$1,Data_metier!$B:$B,0))&lt; 0,-1,
IF(AND(INDEX(Data_metier!$H:$H,MATCH($A21,Data_metier!$B:$B,0))-INDEX(Data_metier!$H:$H,MATCH(U$1,Data_metier!$B:$B,0))&gt; 0,
INDEX(Data_metier!$H:$H,MATCH($A21,Data_metier!$B:$B,0))-INDEX(Data_metier!$H:$H,MATCH(U$1,Data_metier!$B:$B,0))&lt;=1),
1,
IF(INDEX(Data_metier!$H:$H,MATCH($A21,Data_metier!$B:$B,0))-INDEX(Data_metier!$H:$H,MATCH(U$1,Data_metier!$B:$B,0))&gt; 1,
2,
0)))</f>
        <v>0</v>
      </c>
      <c r="V21">
        <f>IF(INDEX(Data_metier!$H:$H,MATCH($A21,Data_metier!$B:$B,0))-INDEX(Data_metier!$H:$H,MATCH(V$1,Data_metier!$B:$B,0))&lt; 0,-1,
IF(AND(INDEX(Data_metier!$H:$H,MATCH($A21,Data_metier!$B:$B,0))-INDEX(Data_metier!$H:$H,MATCH(V$1,Data_metier!$B:$B,0))&gt; 0,
INDEX(Data_metier!$H:$H,MATCH($A21,Data_metier!$B:$B,0))-INDEX(Data_metier!$H:$H,MATCH(V$1,Data_metier!$B:$B,0))&lt;=1),
1,
IF(INDEX(Data_metier!$H:$H,MATCH($A21,Data_metier!$B:$B,0))-INDEX(Data_metier!$H:$H,MATCH(V$1,Data_metier!$B:$B,0))&gt; 1,
2,
0)))</f>
        <v>-1</v>
      </c>
      <c r="W21">
        <f>IF(INDEX(Data_metier!$H:$H,MATCH($A21,Data_metier!$B:$B,0))-INDEX(Data_metier!$H:$H,MATCH(W$1,Data_metier!$B:$B,0))&lt; 0,-1,
IF(AND(INDEX(Data_metier!$H:$H,MATCH($A21,Data_metier!$B:$B,0))-INDEX(Data_metier!$H:$H,MATCH(W$1,Data_metier!$B:$B,0))&gt; 0,
INDEX(Data_metier!$H:$H,MATCH($A21,Data_metier!$B:$B,0))-INDEX(Data_metier!$H:$H,MATCH(W$1,Data_metier!$B:$B,0))&lt;=1),
1,
IF(INDEX(Data_metier!$H:$H,MATCH($A21,Data_metier!$B:$B,0))-INDEX(Data_metier!$H:$H,MATCH(W$1,Data_metier!$B:$B,0))&gt; 1,
2,
0)))</f>
        <v>-1</v>
      </c>
      <c r="X21">
        <f>IF(INDEX(Data_metier!$H:$H,MATCH($A21,Data_metier!$B:$B,0))-INDEX(Data_metier!$H:$H,MATCH(X$1,Data_metier!$B:$B,0))&lt; 0,-1,
IF(AND(INDEX(Data_metier!$H:$H,MATCH($A21,Data_metier!$B:$B,0))-INDEX(Data_metier!$H:$H,MATCH(X$1,Data_metier!$B:$B,0))&gt; 0,
INDEX(Data_metier!$H:$H,MATCH($A21,Data_metier!$B:$B,0))-INDEX(Data_metier!$H:$H,MATCH(X$1,Data_metier!$B:$B,0))&lt;=1),
1,
IF(INDEX(Data_metier!$H:$H,MATCH($A21,Data_metier!$B:$B,0))-INDEX(Data_metier!$H:$H,MATCH(X$1,Data_metier!$B:$B,0))&gt; 1,
2,
0)))</f>
        <v>-1</v>
      </c>
      <c r="Y21">
        <f>IF(INDEX(Data_metier!$H:$H,MATCH($A21,Data_metier!$B:$B,0))-INDEX(Data_metier!$H:$H,MATCH(Y$1,Data_metier!$B:$B,0))&lt; 0,-1,
IF(AND(INDEX(Data_metier!$H:$H,MATCH($A21,Data_metier!$B:$B,0))-INDEX(Data_metier!$H:$H,MATCH(Y$1,Data_metier!$B:$B,0))&gt; 0,
INDEX(Data_metier!$H:$H,MATCH($A21,Data_metier!$B:$B,0))-INDEX(Data_metier!$H:$H,MATCH(Y$1,Data_metier!$B:$B,0))&lt;=1),
1,
IF(INDEX(Data_metier!$H:$H,MATCH($A21,Data_metier!$B:$B,0))-INDEX(Data_metier!$H:$H,MATCH(Y$1,Data_metier!$B:$B,0))&gt; 1,
2,
0)))</f>
        <v>0</v>
      </c>
      <c r="Z21">
        <f>IF(INDEX(Data_metier!$H:$H,MATCH($A21,Data_metier!$B:$B,0))-INDEX(Data_metier!$H:$H,MATCH(Z$1,Data_metier!$B:$B,0))&lt; 0,-1,
IF(AND(INDEX(Data_metier!$H:$H,MATCH($A21,Data_metier!$B:$B,0))-INDEX(Data_metier!$H:$H,MATCH(Z$1,Data_metier!$B:$B,0))&gt; 0,
INDEX(Data_metier!$H:$H,MATCH($A21,Data_metier!$B:$B,0))-INDEX(Data_metier!$H:$H,MATCH(Z$1,Data_metier!$B:$B,0))&lt;=1),
1,
IF(INDEX(Data_metier!$H:$H,MATCH($A21,Data_metier!$B:$B,0))-INDEX(Data_metier!$H:$H,MATCH(Z$1,Data_metier!$B:$B,0))&gt; 1,
2,
0)))</f>
        <v>0</v>
      </c>
      <c r="AA21">
        <f>IF(INDEX(Data_metier!$H:$H,MATCH($A21,Data_metier!$B:$B,0))-INDEX(Data_metier!$H:$H,MATCH(AA$1,Data_metier!$B:$B,0))&lt; 0,-1,
IF(AND(INDEX(Data_metier!$H:$H,MATCH($A21,Data_metier!$B:$B,0))-INDEX(Data_metier!$H:$H,MATCH(AA$1,Data_metier!$B:$B,0))&gt; 0,
INDEX(Data_metier!$H:$H,MATCH($A21,Data_metier!$B:$B,0))-INDEX(Data_metier!$H:$H,MATCH(AA$1,Data_metier!$B:$B,0))&lt;=1),
1,
IF(INDEX(Data_metier!$H:$H,MATCH($A21,Data_metier!$B:$B,0))-INDEX(Data_metier!$H:$H,MATCH(AA$1,Data_metier!$B:$B,0))&gt; 1,
2,
0)))</f>
        <v>0</v>
      </c>
      <c r="AB21">
        <f>IF(INDEX(Data_metier!$H:$H,MATCH($A21,Data_metier!$B:$B,0))-INDEX(Data_metier!$H:$H,MATCH(AB$1,Data_metier!$B:$B,0))&lt; 0,-1,
IF(AND(INDEX(Data_metier!$H:$H,MATCH($A21,Data_metier!$B:$B,0))-INDEX(Data_metier!$H:$H,MATCH(AB$1,Data_metier!$B:$B,0))&gt; 0,
INDEX(Data_metier!$H:$H,MATCH($A21,Data_metier!$B:$B,0))-INDEX(Data_metier!$H:$H,MATCH(AB$1,Data_metier!$B:$B,0))&lt;=1),
1,
IF(INDEX(Data_metier!$H:$H,MATCH($A21,Data_metier!$B:$B,0))-INDEX(Data_metier!$H:$H,MATCH(AB$1,Data_metier!$B:$B,0))&gt; 1,
2,
0)))</f>
        <v>-1</v>
      </c>
      <c r="AC21">
        <f>IF(INDEX(Data_metier!$H:$H,MATCH($A21,Data_metier!$B:$B,0))-INDEX(Data_metier!$H:$H,MATCH(AC$1,Data_metier!$B:$B,0))&lt; 0,-1,
IF(AND(INDEX(Data_metier!$H:$H,MATCH($A21,Data_metier!$B:$B,0))-INDEX(Data_metier!$H:$H,MATCH(AC$1,Data_metier!$B:$B,0))&gt; 0,
INDEX(Data_metier!$H:$H,MATCH($A21,Data_metier!$B:$B,0))-INDEX(Data_metier!$H:$H,MATCH(AC$1,Data_metier!$B:$B,0))&lt;=1),
1,
IF(INDEX(Data_metier!$H:$H,MATCH($A21,Data_metier!$B:$B,0))-INDEX(Data_metier!$H:$H,MATCH(AC$1,Data_metier!$B:$B,0))&gt; 1,
2,
0)))</f>
        <v>-1</v>
      </c>
      <c r="AD21">
        <f>IF(INDEX(Data_metier!$H:$H,MATCH($A21,Data_metier!$B:$B,0))-INDEX(Data_metier!$H:$H,MATCH(AD$1,Data_metier!$B:$B,0))&lt; 0,-1,
IF(AND(INDEX(Data_metier!$H:$H,MATCH($A21,Data_metier!$B:$B,0))-INDEX(Data_metier!$H:$H,MATCH(AD$1,Data_metier!$B:$B,0))&gt; 0,
INDEX(Data_metier!$H:$H,MATCH($A21,Data_metier!$B:$B,0))-INDEX(Data_metier!$H:$H,MATCH(AD$1,Data_metier!$B:$B,0))&lt;=1),
1,
IF(INDEX(Data_metier!$H:$H,MATCH($A21,Data_metier!$B:$B,0))-INDEX(Data_metier!$H:$H,MATCH(AD$1,Data_metier!$B:$B,0))&gt; 1,
2,
0)))</f>
        <v>-1</v>
      </c>
    </row>
    <row r="22" spans="1:30">
      <c r="A22" t="str">
        <v>Conducteur(trice) de ligne(s)de production alimentaire (fabrication/conditionnement)</v>
      </c>
      <c r="B22">
        <f>IF(INDEX(Data_metier!$H:$H,MATCH($A22,Data_metier!$B:$B,0))-INDEX(Data_metier!$H:$H,MATCH(B$1,Data_metier!$B:$B,0))&lt; 0,-1,
IF(AND(INDEX(Data_metier!$H:$H,MATCH($A22,Data_metier!$B:$B,0))-INDEX(Data_metier!$H:$H,MATCH(B$1,Data_metier!$B:$B,0))&gt; 0,
INDEX(Data_metier!$H:$H,MATCH($A22,Data_metier!$B:$B,0))-INDEX(Data_metier!$H:$H,MATCH(B$1,Data_metier!$B:$B,0))&lt;=1),
1,
IF(INDEX(Data_metier!$H:$H,MATCH($A22,Data_metier!$B:$B,0))-INDEX(Data_metier!$H:$H,MATCH(B$1,Data_metier!$B:$B,0))&gt; 1,
2,
0)))</f>
        <v>0</v>
      </c>
      <c r="C22">
        <f>IF(INDEX(Data_metier!$H:$H,MATCH($A22,Data_metier!$B:$B,0))-INDEX(Data_metier!$H:$H,MATCH(C$1,Data_metier!$B:$B,0))&lt; 0,-1,
IF(AND(INDEX(Data_metier!$H:$H,MATCH($A22,Data_metier!$B:$B,0))-INDEX(Data_metier!$H:$H,MATCH(C$1,Data_metier!$B:$B,0))&gt; 0,
INDEX(Data_metier!$H:$H,MATCH($A22,Data_metier!$B:$B,0))-INDEX(Data_metier!$H:$H,MATCH(C$1,Data_metier!$B:$B,0))&lt;=1),
1,
IF(INDEX(Data_metier!$H:$H,MATCH($A22,Data_metier!$B:$B,0))-INDEX(Data_metier!$H:$H,MATCH(C$1,Data_metier!$B:$B,0))&gt; 1,
2,
0)))</f>
        <v>0</v>
      </c>
      <c r="D22">
        <f>IF(INDEX(Data_metier!$H:$H,MATCH($A22,Data_metier!$B:$B,0))-INDEX(Data_metier!$H:$H,MATCH(D$1,Data_metier!$B:$B,0))&lt; 0,-1,
IF(AND(INDEX(Data_metier!$H:$H,MATCH($A22,Data_metier!$B:$B,0))-INDEX(Data_metier!$H:$H,MATCH(D$1,Data_metier!$B:$B,0))&gt; 0,
INDEX(Data_metier!$H:$H,MATCH($A22,Data_metier!$B:$B,0))-INDEX(Data_metier!$H:$H,MATCH(D$1,Data_metier!$B:$B,0))&lt;=1),
1,
IF(INDEX(Data_metier!$H:$H,MATCH($A22,Data_metier!$B:$B,0))-INDEX(Data_metier!$H:$H,MATCH(D$1,Data_metier!$B:$B,0))&gt; 1,
2,
0)))</f>
        <v>1</v>
      </c>
      <c r="E22">
        <f>IF(INDEX(Data_metier!$H:$H,MATCH($A22,Data_metier!$B:$B,0))-INDEX(Data_metier!$H:$H,MATCH(E$1,Data_metier!$B:$B,0))&lt; 0,-1,
IF(AND(INDEX(Data_metier!$H:$H,MATCH($A22,Data_metier!$B:$B,0))-INDEX(Data_metier!$H:$H,MATCH(E$1,Data_metier!$B:$B,0))&gt; 0,
INDEX(Data_metier!$H:$H,MATCH($A22,Data_metier!$B:$B,0))-INDEX(Data_metier!$H:$H,MATCH(E$1,Data_metier!$B:$B,0))&lt;=1),
1,
IF(INDEX(Data_metier!$H:$H,MATCH($A22,Data_metier!$B:$B,0))-INDEX(Data_metier!$H:$H,MATCH(E$1,Data_metier!$B:$B,0))&gt; 1,
2,
0)))</f>
        <v>-1</v>
      </c>
      <c r="F22">
        <f>IF(INDEX(Data_metier!$H:$H,MATCH($A22,Data_metier!$B:$B,0))-INDEX(Data_metier!$H:$H,MATCH(F$1,Data_metier!$B:$B,0))&lt; 0,-1,
IF(AND(INDEX(Data_metier!$H:$H,MATCH($A22,Data_metier!$B:$B,0))-INDEX(Data_metier!$H:$H,MATCH(F$1,Data_metier!$B:$B,0))&gt; 0,
INDEX(Data_metier!$H:$H,MATCH($A22,Data_metier!$B:$B,0))-INDEX(Data_metier!$H:$H,MATCH(F$1,Data_metier!$B:$B,0))&lt;=1),
1,
IF(INDEX(Data_metier!$H:$H,MATCH($A22,Data_metier!$B:$B,0))-INDEX(Data_metier!$H:$H,MATCH(F$1,Data_metier!$B:$B,0))&gt; 1,
2,
0)))</f>
        <v>-1</v>
      </c>
      <c r="G22">
        <f>IF(INDEX(Data_metier!$H:$H,MATCH($A22,Data_metier!$B:$B,0))-INDEX(Data_metier!$H:$H,MATCH(G$1,Data_metier!$B:$B,0))&lt; 0,-1,
IF(AND(INDEX(Data_metier!$H:$H,MATCH($A22,Data_metier!$B:$B,0))-INDEX(Data_metier!$H:$H,MATCH(G$1,Data_metier!$B:$B,0))&gt; 0,
INDEX(Data_metier!$H:$H,MATCH($A22,Data_metier!$B:$B,0))-INDEX(Data_metier!$H:$H,MATCH(G$1,Data_metier!$B:$B,0))&lt;=1),
1,
IF(INDEX(Data_metier!$H:$H,MATCH($A22,Data_metier!$B:$B,0))-INDEX(Data_metier!$H:$H,MATCH(G$1,Data_metier!$B:$B,0))&gt; 1,
2,
0)))</f>
        <v>-1</v>
      </c>
      <c r="H22">
        <f>IF(INDEX(Data_metier!$H:$H,MATCH($A22,Data_metier!$B:$B,0))-INDEX(Data_metier!$H:$H,MATCH(H$1,Data_metier!$B:$B,0))&lt; 0,-1,
IF(AND(INDEX(Data_metier!$H:$H,MATCH($A22,Data_metier!$B:$B,0))-INDEX(Data_metier!$H:$H,MATCH(H$1,Data_metier!$B:$B,0))&gt; 0,
INDEX(Data_metier!$H:$H,MATCH($A22,Data_metier!$B:$B,0))-INDEX(Data_metier!$H:$H,MATCH(H$1,Data_metier!$B:$B,0))&lt;=1),
1,
IF(INDEX(Data_metier!$H:$H,MATCH($A22,Data_metier!$B:$B,0))-INDEX(Data_metier!$H:$H,MATCH(H$1,Data_metier!$B:$B,0))&gt; 1,
2,
0)))</f>
        <v>-1</v>
      </c>
      <c r="I22">
        <f>IF(INDEX(Data_metier!$H:$H,MATCH($A22,Data_metier!$B:$B,0))-INDEX(Data_metier!$H:$H,MATCH(I$1,Data_metier!$B:$B,0))&lt; 0,-1,
IF(AND(INDEX(Data_metier!$H:$H,MATCH($A22,Data_metier!$B:$B,0))-INDEX(Data_metier!$H:$H,MATCH(I$1,Data_metier!$B:$B,0))&gt; 0,
INDEX(Data_metier!$H:$H,MATCH($A22,Data_metier!$B:$B,0))-INDEX(Data_metier!$H:$H,MATCH(I$1,Data_metier!$B:$B,0))&lt;=1),
1,
IF(INDEX(Data_metier!$H:$H,MATCH($A22,Data_metier!$B:$B,0))-INDEX(Data_metier!$H:$H,MATCH(I$1,Data_metier!$B:$B,0))&gt; 1,
2,
0)))</f>
        <v>1</v>
      </c>
      <c r="J22">
        <f>IF(INDEX(Data_metier!$H:$H,MATCH($A22,Data_metier!$B:$B,0))-INDEX(Data_metier!$H:$H,MATCH(J$1,Data_metier!$B:$B,0))&lt; 0,-1,
IF(AND(INDEX(Data_metier!$H:$H,MATCH($A22,Data_metier!$B:$B,0))-INDEX(Data_metier!$H:$H,MATCH(J$1,Data_metier!$B:$B,0))&gt; 0,
INDEX(Data_metier!$H:$H,MATCH($A22,Data_metier!$B:$B,0))-INDEX(Data_metier!$H:$H,MATCH(J$1,Data_metier!$B:$B,0))&lt;=1),
1,
IF(INDEX(Data_metier!$H:$H,MATCH($A22,Data_metier!$B:$B,0))-INDEX(Data_metier!$H:$H,MATCH(J$1,Data_metier!$B:$B,0))&gt; 1,
2,
0)))</f>
        <v>-1</v>
      </c>
      <c r="K22">
        <f>IF(INDEX(Data_metier!$H:$H,MATCH($A22,Data_metier!$B:$B,0))-INDEX(Data_metier!$H:$H,MATCH(K$1,Data_metier!$B:$B,0))&lt; 0,-1,
IF(AND(INDEX(Data_metier!$H:$H,MATCH($A22,Data_metier!$B:$B,0))-INDEX(Data_metier!$H:$H,MATCH(K$1,Data_metier!$B:$B,0))&gt; 0,
INDEX(Data_metier!$H:$H,MATCH($A22,Data_metier!$B:$B,0))-INDEX(Data_metier!$H:$H,MATCH(K$1,Data_metier!$B:$B,0))&lt;=1),
1,
IF(INDEX(Data_metier!$H:$H,MATCH($A22,Data_metier!$B:$B,0))-INDEX(Data_metier!$H:$H,MATCH(K$1,Data_metier!$B:$B,0))&gt; 1,
2,
0)))</f>
        <v>-1</v>
      </c>
      <c r="L22">
        <f>IF(INDEX(Data_metier!$H:$H,MATCH($A22,Data_metier!$B:$B,0))-INDEX(Data_metier!$H:$H,MATCH(L$1,Data_metier!$B:$B,0))&lt; 0,-1,
IF(AND(INDEX(Data_metier!$H:$H,MATCH($A22,Data_metier!$B:$B,0))-INDEX(Data_metier!$H:$H,MATCH(L$1,Data_metier!$B:$B,0))&gt; 0,
INDEX(Data_metier!$H:$H,MATCH($A22,Data_metier!$B:$B,0))-INDEX(Data_metier!$H:$H,MATCH(L$1,Data_metier!$B:$B,0))&lt;=1),
1,
IF(INDEX(Data_metier!$H:$H,MATCH($A22,Data_metier!$B:$B,0))-INDEX(Data_metier!$H:$H,MATCH(L$1,Data_metier!$B:$B,0))&gt; 1,
2,
0)))</f>
        <v>1</v>
      </c>
      <c r="M22">
        <f>IF(INDEX(Data_metier!$H:$H,MATCH($A22,Data_metier!$B:$B,0))-INDEX(Data_metier!$H:$H,MATCH(M$1,Data_metier!$B:$B,0))&lt; 0,-1,
IF(AND(INDEX(Data_metier!$H:$H,MATCH($A22,Data_metier!$B:$B,0))-INDEX(Data_metier!$H:$H,MATCH(M$1,Data_metier!$B:$B,0))&gt; 0,
INDEX(Data_metier!$H:$H,MATCH($A22,Data_metier!$B:$B,0))-INDEX(Data_metier!$H:$H,MATCH(M$1,Data_metier!$B:$B,0))&lt;=1),
1,
IF(INDEX(Data_metier!$H:$H,MATCH($A22,Data_metier!$B:$B,0))-INDEX(Data_metier!$H:$H,MATCH(M$1,Data_metier!$B:$B,0))&gt; 1,
2,
0)))</f>
        <v>0</v>
      </c>
      <c r="N22">
        <f>IF(INDEX(Data_metier!$H:$H,MATCH($A22,Data_metier!$B:$B,0))-INDEX(Data_metier!$H:$H,MATCH(N$1,Data_metier!$B:$B,0))&lt; 0,-1,
IF(AND(INDEX(Data_metier!$H:$H,MATCH($A22,Data_metier!$B:$B,0))-INDEX(Data_metier!$H:$H,MATCH(N$1,Data_metier!$B:$B,0))&gt; 0,
INDEX(Data_metier!$H:$H,MATCH($A22,Data_metier!$B:$B,0))-INDEX(Data_metier!$H:$H,MATCH(N$1,Data_metier!$B:$B,0))&lt;=1),
1,
IF(INDEX(Data_metier!$H:$H,MATCH($A22,Data_metier!$B:$B,0))-INDEX(Data_metier!$H:$H,MATCH(N$1,Data_metier!$B:$B,0))&gt; 1,
2,
0)))</f>
        <v>-1</v>
      </c>
      <c r="O22">
        <f>IF(INDEX(Data_metier!$H:$H,MATCH($A22,Data_metier!$B:$B,0))-INDEX(Data_metier!$H:$H,MATCH(O$1,Data_metier!$B:$B,0))&lt; 0,-1,
IF(AND(INDEX(Data_metier!$H:$H,MATCH($A22,Data_metier!$B:$B,0))-INDEX(Data_metier!$H:$H,MATCH(O$1,Data_metier!$B:$B,0))&gt; 0,
INDEX(Data_metier!$H:$H,MATCH($A22,Data_metier!$B:$B,0))-INDEX(Data_metier!$H:$H,MATCH(O$1,Data_metier!$B:$B,0))&lt;=1),
1,
IF(INDEX(Data_metier!$H:$H,MATCH($A22,Data_metier!$B:$B,0))-INDEX(Data_metier!$H:$H,MATCH(O$1,Data_metier!$B:$B,0))&gt; 1,
2,
0)))</f>
        <v>1</v>
      </c>
      <c r="P22">
        <f>IF(INDEX(Data_metier!$H:$H,MATCH($A22,Data_metier!$B:$B,0))-INDEX(Data_metier!$H:$H,MATCH(P$1,Data_metier!$B:$B,0))&lt; 0,-1,
IF(AND(INDEX(Data_metier!$H:$H,MATCH($A22,Data_metier!$B:$B,0))-INDEX(Data_metier!$H:$H,MATCH(P$1,Data_metier!$B:$B,0))&gt; 0,
INDEX(Data_metier!$H:$H,MATCH($A22,Data_metier!$B:$B,0))-INDEX(Data_metier!$H:$H,MATCH(P$1,Data_metier!$B:$B,0))&lt;=1),
1,
IF(INDEX(Data_metier!$H:$H,MATCH($A22,Data_metier!$B:$B,0))-INDEX(Data_metier!$H:$H,MATCH(P$1,Data_metier!$B:$B,0))&gt; 1,
2,
0)))</f>
        <v>1</v>
      </c>
      <c r="Q22">
        <f>IF(INDEX(Data_metier!$H:$H,MATCH($A22,Data_metier!$B:$B,0))-INDEX(Data_metier!$H:$H,MATCH(Q$1,Data_metier!$B:$B,0))&lt; 0,-1,
IF(AND(INDEX(Data_metier!$H:$H,MATCH($A22,Data_metier!$B:$B,0))-INDEX(Data_metier!$H:$H,MATCH(Q$1,Data_metier!$B:$B,0))&gt; 0,
INDEX(Data_metier!$H:$H,MATCH($A22,Data_metier!$B:$B,0))-INDEX(Data_metier!$H:$H,MATCH(Q$1,Data_metier!$B:$B,0))&lt;=1),
1,
IF(INDEX(Data_metier!$H:$H,MATCH($A22,Data_metier!$B:$B,0))-INDEX(Data_metier!$H:$H,MATCH(Q$1,Data_metier!$B:$B,0))&gt; 1,
2,
0)))</f>
        <v>-1</v>
      </c>
      <c r="R22">
        <f>IF(INDEX(Data_metier!$H:$H,MATCH($A22,Data_metier!$B:$B,0))-INDEX(Data_metier!$H:$H,MATCH(R$1,Data_metier!$B:$B,0))&lt; 0,-1,
IF(AND(INDEX(Data_metier!$H:$H,MATCH($A22,Data_metier!$B:$B,0))-INDEX(Data_metier!$H:$H,MATCH(R$1,Data_metier!$B:$B,0))&gt; 0,
INDEX(Data_metier!$H:$H,MATCH($A22,Data_metier!$B:$B,0))-INDEX(Data_metier!$H:$H,MATCH(R$1,Data_metier!$B:$B,0))&lt;=1),
1,
IF(INDEX(Data_metier!$H:$H,MATCH($A22,Data_metier!$B:$B,0))-INDEX(Data_metier!$H:$H,MATCH(R$1,Data_metier!$B:$B,0))&gt; 1,
2,
0)))</f>
        <v>-1</v>
      </c>
      <c r="S22">
        <f>IF(INDEX(Data_metier!$H:$H,MATCH($A22,Data_metier!$B:$B,0))-INDEX(Data_metier!$H:$H,MATCH(S$1,Data_metier!$B:$B,0))&lt; 0,-1,
IF(AND(INDEX(Data_metier!$H:$H,MATCH($A22,Data_metier!$B:$B,0))-INDEX(Data_metier!$H:$H,MATCH(S$1,Data_metier!$B:$B,0))&gt; 0,
INDEX(Data_metier!$H:$H,MATCH($A22,Data_metier!$B:$B,0))-INDEX(Data_metier!$H:$H,MATCH(S$1,Data_metier!$B:$B,0))&lt;=1),
1,
IF(INDEX(Data_metier!$H:$H,MATCH($A22,Data_metier!$B:$B,0))-INDEX(Data_metier!$H:$H,MATCH(S$1,Data_metier!$B:$B,0))&gt; 1,
2,
0)))</f>
        <v>1</v>
      </c>
      <c r="T22">
        <f>IF(INDEX(Data_metier!$H:$H,MATCH($A22,Data_metier!$B:$B,0))-INDEX(Data_metier!$H:$H,MATCH(T$1,Data_metier!$B:$B,0))&lt; 0,-1,
IF(AND(INDEX(Data_metier!$H:$H,MATCH($A22,Data_metier!$B:$B,0))-INDEX(Data_metier!$H:$H,MATCH(T$1,Data_metier!$B:$B,0))&gt; 0,
INDEX(Data_metier!$H:$H,MATCH($A22,Data_metier!$B:$B,0))-INDEX(Data_metier!$H:$H,MATCH(T$1,Data_metier!$B:$B,0))&lt;=1),
1,
IF(INDEX(Data_metier!$H:$H,MATCH($A22,Data_metier!$B:$B,0))-INDEX(Data_metier!$H:$H,MATCH(T$1,Data_metier!$B:$B,0))&gt; 1,
2,
0)))</f>
        <v>1</v>
      </c>
      <c r="U22">
        <f>IF(INDEX(Data_metier!$H:$H,MATCH($A22,Data_metier!$B:$B,0))-INDEX(Data_metier!$H:$H,MATCH(U$1,Data_metier!$B:$B,0))&lt; 0,-1,
IF(AND(INDEX(Data_metier!$H:$H,MATCH($A22,Data_metier!$B:$B,0))-INDEX(Data_metier!$H:$H,MATCH(U$1,Data_metier!$B:$B,0))&gt; 0,
INDEX(Data_metier!$H:$H,MATCH($A22,Data_metier!$B:$B,0))-INDEX(Data_metier!$H:$H,MATCH(U$1,Data_metier!$B:$B,0))&lt;=1),
1,
IF(INDEX(Data_metier!$H:$H,MATCH($A22,Data_metier!$B:$B,0))-INDEX(Data_metier!$H:$H,MATCH(U$1,Data_metier!$B:$B,0))&gt; 1,
2,
0)))</f>
        <v>1</v>
      </c>
      <c r="V22">
        <f>IF(INDEX(Data_metier!$H:$H,MATCH($A22,Data_metier!$B:$B,0))-INDEX(Data_metier!$H:$H,MATCH(V$1,Data_metier!$B:$B,0))&lt; 0,-1,
IF(AND(INDEX(Data_metier!$H:$H,MATCH($A22,Data_metier!$B:$B,0))-INDEX(Data_metier!$H:$H,MATCH(V$1,Data_metier!$B:$B,0))&gt; 0,
INDEX(Data_metier!$H:$H,MATCH($A22,Data_metier!$B:$B,0))-INDEX(Data_metier!$H:$H,MATCH(V$1,Data_metier!$B:$B,0))&lt;=1),
1,
IF(INDEX(Data_metier!$H:$H,MATCH($A22,Data_metier!$B:$B,0))-INDEX(Data_metier!$H:$H,MATCH(V$1,Data_metier!$B:$B,0))&gt; 1,
2,
0)))</f>
        <v>0</v>
      </c>
      <c r="W22">
        <f>IF(INDEX(Data_metier!$H:$H,MATCH($A22,Data_metier!$B:$B,0))-INDEX(Data_metier!$H:$H,MATCH(W$1,Data_metier!$B:$B,0))&lt; 0,-1,
IF(AND(INDEX(Data_metier!$H:$H,MATCH($A22,Data_metier!$B:$B,0))-INDEX(Data_metier!$H:$H,MATCH(W$1,Data_metier!$B:$B,0))&gt; 0,
INDEX(Data_metier!$H:$H,MATCH($A22,Data_metier!$B:$B,0))-INDEX(Data_metier!$H:$H,MATCH(W$1,Data_metier!$B:$B,0))&lt;=1),
1,
IF(INDEX(Data_metier!$H:$H,MATCH($A22,Data_metier!$B:$B,0))-INDEX(Data_metier!$H:$H,MATCH(W$1,Data_metier!$B:$B,0))&gt; 1,
2,
0)))</f>
        <v>0</v>
      </c>
      <c r="X22">
        <f>IF(INDEX(Data_metier!$H:$H,MATCH($A22,Data_metier!$B:$B,0))-INDEX(Data_metier!$H:$H,MATCH(X$1,Data_metier!$B:$B,0))&lt; 0,-1,
IF(AND(INDEX(Data_metier!$H:$H,MATCH($A22,Data_metier!$B:$B,0))-INDEX(Data_metier!$H:$H,MATCH(X$1,Data_metier!$B:$B,0))&gt; 0,
INDEX(Data_metier!$H:$H,MATCH($A22,Data_metier!$B:$B,0))-INDEX(Data_metier!$H:$H,MATCH(X$1,Data_metier!$B:$B,0))&lt;=1),
1,
IF(INDEX(Data_metier!$H:$H,MATCH($A22,Data_metier!$B:$B,0))-INDEX(Data_metier!$H:$H,MATCH(X$1,Data_metier!$B:$B,0))&gt; 1,
2,
0)))</f>
        <v>-1</v>
      </c>
      <c r="Y22">
        <f>IF(INDEX(Data_metier!$H:$H,MATCH($A22,Data_metier!$B:$B,0))-INDEX(Data_metier!$H:$H,MATCH(Y$1,Data_metier!$B:$B,0))&lt; 0,-1,
IF(AND(INDEX(Data_metier!$H:$H,MATCH($A22,Data_metier!$B:$B,0))-INDEX(Data_metier!$H:$H,MATCH(Y$1,Data_metier!$B:$B,0))&gt; 0,
INDEX(Data_metier!$H:$H,MATCH($A22,Data_metier!$B:$B,0))-INDEX(Data_metier!$H:$H,MATCH(Y$1,Data_metier!$B:$B,0))&lt;=1),
1,
IF(INDEX(Data_metier!$H:$H,MATCH($A22,Data_metier!$B:$B,0))-INDEX(Data_metier!$H:$H,MATCH(Y$1,Data_metier!$B:$B,0))&gt; 1,
2,
0)))</f>
        <v>1</v>
      </c>
      <c r="Z22">
        <f>IF(INDEX(Data_metier!$H:$H,MATCH($A22,Data_metier!$B:$B,0))-INDEX(Data_metier!$H:$H,MATCH(Z$1,Data_metier!$B:$B,0))&lt; 0,-1,
IF(AND(INDEX(Data_metier!$H:$H,MATCH($A22,Data_metier!$B:$B,0))-INDEX(Data_metier!$H:$H,MATCH(Z$1,Data_metier!$B:$B,0))&gt; 0,
INDEX(Data_metier!$H:$H,MATCH($A22,Data_metier!$B:$B,0))-INDEX(Data_metier!$H:$H,MATCH(Z$1,Data_metier!$B:$B,0))&lt;=1),
1,
IF(INDEX(Data_metier!$H:$H,MATCH($A22,Data_metier!$B:$B,0))-INDEX(Data_metier!$H:$H,MATCH(Z$1,Data_metier!$B:$B,0))&gt; 1,
2,
0)))</f>
        <v>1</v>
      </c>
      <c r="AA22">
        <f>IF(INDEX(Data_metier!$H:$H,MATCH($A22,Data_metier!$B:$B,0))-INDEX(Data_metier!$H:$H,MATCH(AA$1,Data_metier!$B:$B,0))&lt; 0,-1,
IF(AND(INDEX(Data_metier!$H:$H,MATCH($A22,Data_metier!$B:$B,0))-INDEX(Data_metier!$H:$H,MATCH(AA$1,Data_metier!$B:$B,0))&gt; 0,
INDEX(Data_metier!$H:$H,MATCH($A22,Data_metier!$B:$B,0))-INDEX(Data_metier!$H:$H,MATCH(AA$1,Data_metier!$B:$B,0))&lt;=1),
1,
IF(INDEX(Data_metier!$H:$H,MATCH($A22,Data_metier!$B:$B,0))-INDEX(Data_metier!$H:$H,MATCH(AA$1,Data_metier!$B:$B,0))&gt; 1,
2,
0)))</f>
        <v>1</v>
      </c>
      <c r="AB22">
        <f>IF(INDEX(Data_metier!$H:$H,MATCH($A22,Data_metier!$B:$B,0))-INDEX(Data_metier!$H:$H,MATCH(AB$1,Data_metier!$B:$B,0))&lt; 0,-1,
IF(AND(INDEX(Data_metier!$H:$H,MATCH($A22,Data_metier!$B:$B,0))-INDEX(Data_metier!$H:$H,MATCH(AB$1,Data_metier!$B:$B,0))&gt; 0,
INDEX(Data_metier!$H:$H,MATCH($A22,Data_metier!$B:$B,0))-INDEX(Data_metier!$H:$H,MATCH(AB$1,Data_metier!$B:$B,0))&lt;=1),
1,
IF(INDEX(Data_metier!$H:$H,MATCH($A22,Data_metier!$B:$B,0))-INDEX(Data_metier!$H:$H,MATCH(AB$1,Data_metier!$B:$B,0))&gt; 1,
2,
0)))</f>
        <v>0</v>
      </c>
      <c r="AC22">
        <f>IF(INDEX(Data_metier!$H:$H,MATCH($A22,Data_metier!$B:$B,0))-INDEX(Data_metier!$H:$H,MATCH(AC$1,Data_metier!$B:$B,0))&lt; 0,-1,
IF(AND(INDEX(Data_metier!$H:$H,MATCH($A22,Data_metier!$B:$B,0))-INDEX(Data_metier!$H:$H,MATCH(AC$1,Data_metier!$B:$B,0))&gt; 0,
INDEX(Data_metier!$H:$H,MATCH($A22,Data_metier!$B:$B,0))-INDEX(Data_metier!$H:$H,MATCH(AC$1,Data_metier!$B:$B,0))&lt;=1),
1,
IF(INDEX(Data_metier!$H:$H,MATCH($A22,Data_metier!$B:$B,0))-INDEX(Data_metier!$H:$H,MATCH(AC$1,Data_metier!$B:$B,0))&gt; 1,
2,
0)))</f>
        <v>0</v>
      </c>
      <c r="AD22">
        <f>IF(INDEX(Data_metier!$H:$H,MATCH($A22,Data_metier!$B:$B,0))-INDEX(Data_metier!$H:$H,MATCH(AD$1,Data_metier!$B:$B,0))&lt; 0,-1,
IF(AND(INDEX(Data_metier!$H:$H,MATCH($A22,Data_metier!$B:$B,0))-INDEX(Data_metier!$H:$H,MATCH(AD$1,Data_metier!$B:$B,0))&gt; 0,
INDEX(Data_metier!$H:$H,MATCH($A22,Data_metier!$B:$B,0))-INDEX(Data_metier!$H:$H,MATCH(AD$1,Data_metier!$B:$B,0))&lt;=1),
1,
IF(INDEX(Data_metier!$H:$H,MATCH($A22,Data_metier!$B:$B,0))-INDEX(Data_metier!$H:$H,MATCH(AD$1,Data_metier!$B:$B,0))&gt; 1,
2,
0)))</f>
        <v>-1</v>
      </c>
    </row>
    <row r="23" spans="1:30">
      <c r="A23" t="str">
        <v>Conducteur(trice) de process de production alimentaire</v>
      </c>
      <c r="B23">
        <f>IF(INDEX(Data_metier!$H:$H,MATCH($A23,Data_metier!$B:$B,0))-INDEX(Data_metier!$H:$H,MATCH(B$1,Data_metier!$B:$B,0))&lt; 0,-1,
IF(AND(INDEX(Data_metier!$H:$H,MATCH($A23,Data_metier!$B:$B,0))-INDEX(Data_metier!$H:$H,MATCH(B$1,Data_metier!$B:$B,0))&gt; 0,
INDEX(Data_metier!$H:$H,MATCH($A23,Data_metier!$B:$B,0))-INDEX(Data_metier!$H:$H,MATCH(B$1,Data_metier!$B:$B,0))&lt;=1),
1,
IF(INDEX(Data_metier!$H:$H,MATCH($A23,Data_metier!$B:$B,0))-INDEX(Data_metier!$H:$H,MATCH(B$1,Data_metier!$B:$B,0))&gt; 1,
2,
0)))</f>
        <v>0</v>
      </c>
      <c r="C23">
        <f>IF(INDEX(Data_metier!$H:$H,MATCH($A23,Data_metier!$B:$B,0))-INDEX(Data_metier!$H:$H,MATCH(C$1,Data_metier!$B:$B,0))&lt; 0,-1,
IF(AND(INDEX(Data_metier!$H:$H,MATCH($A23,Data_metier!$B:$B,0))-INDEX(Data_metier!$H:$H,MATCH(C$1,Data_metier!$B:$B,0))&gt; 0,
INDEX(Data_metier!$H:$H,MATCH($A23,Data_metier!$B:$B,0))-INDEX(Data_metier!$H:$H,MATCH(C$1,Data_metier!$B:$B,0))&lt;=1),
1,
IF(INDEX(Data_metier!$H:$H,MATCH($A23,Data_metier!$B:$B,0))-INDEX(Data_metier!$H:$H,MATCH(C$1,Data_metier!$B:$B,0))&gt; 1,
2,
0)))</f>
        <v>0</v>
      </c>
      <c r="D23">
        <f>IF(INDEX(Data_metier!$H:$H,MATCH($A23,Data_metier!$B:$B,0))-INDEX(Data_metier!$H:$H,MATCH(D$1,Data_metier!$B:$B,0))&lt; 0,-1,
IF(AND(INDEX(Data_metier!$H:$H,MATCH($A23,Data_metier!$B:$B,0))-INDEX(Data_metier!$H:$H,MATCH(D$1,Data_metier!$B:$B,0))&gt; 0,
INDEX(Data_metier!$H:$H,MATCH($A23,Data_metier!$B:$B,0))-INDEX(Data_metier!$H:$H,MATCH(D$1,Data_metier!$B:$B,0))&lt;=1),
1,
IF(INDEX(Data_metier!$H:$H,MATCH($A23,Data_metier!$B:$B,0))-INDEX(Data_metier!$H:$H,MATCH(D$1,Data_metier!$B:$B,0))&gt; 1,
2,
0)))</f>
        <v>1</v>
      </c>
      <c r="E23">
        <f>IF(INDEX(Data_metier!$H:$H,MATCH($A23,Data_metier!$B:$B,0))-INDEX(Data_metier!$H:$H,MATCH(E$1,Data_metier!$B:$B,0))&lt; 0,-1,
IF(AND(INDEX(Data_metier!$H:$H,MATCH($A23,Data_metier!$B:$B,0))-INDEX(Data_metier!$H:$H,MATCH(E$1,Data_metier!$B:$B,0))&gt; 0,
INDEX(Data_metier!$H:$H,MATCH($A23,Data_metier!$B:$B,0))-INDEX(Data_metier!$H:$H,MATCH(E$1,Data_metier!$B:$B,0))&lt;=1),
1,
IF(INDEX(Data_metier!$H:$H,MATCH($A23,Data_metier!$B:$B,0))-INDEX(Data_metier!$H:$H,MATCH(E$1,Data_metier!$B:$B,0))&gt; 1,
2,
0)))</f>
        <v>-1</v>
      </c>
      <c r="F23">
        <f>IF(INDEX(Data_metier!$H:$H,MATCH($A23,Data_metier!$B:$B,0))-INDEX(Data_metier!$H:$H,MATCH(F$1,Data_metier!$B:$B,0))&lt; 0,-1,
IF(AND(INDEX(Data_metier!$H:$H,MATCH($A23,Data_metier!$B:$B,0))-INDEX(Data_metier!$H:$H,MATCH(F$1,Data_metier!$B:$B,0))&gt; 0,
INDEX(Data_metier!$H:$H,MATCH($A23,Data_metier!$B:$B,0))-INDEX(Data_metier!$H:$H,MATCH(F$1,Data_metier!$B:$B,0))&lt;=1),
1,
IF(INDEX(Data_metier!$H:$H,MATCH($A23,Data_metier!$B:$B,0))-INDEX(Data_metier!$H:$H,MATCH(F$1,Data_metier!$B:$B,0))&gt; 1,
2,
0)))</f>
        <v>-1</v>
      </c>
      <c r="G23">
        <f>IF(INDEX(Data_metier!$H:$H,MATCH($A23,Data_metier!$B:$B,0))-INDEX(Data_metier!$H:$H,MATCH(G$1,Data_metier!$B:$B,0))&lt; 0,-1,
IF(AND(INDEX(Data_metier!$H:$H,MATCH($A23,Data_metier!$B:$B,0))-INDEX(Data_metier!$H:$H,MATCH(G$1,Data_metier!$B:$B,0))&gt; 0,
INDEX(Data_metier!$H:$H,MATCH($A23,Data_metier!$B:$B,0))-INDEX(Data_metier!$H:$H,MATCH(G$1,Data_metier!$B:$B,0))&lt;=1),
1,
IF(INDEX(Data_metier!$H:$H,MATCH($A23,Data_metier!$B:$B,0))-INDEX(Data_metier!$H:$H,MATCH(G$1,Data_metier!$B:$B,0))&gt; 1,
2,
0)))</f>
        <v>-1</v>
      </c>
      <c r="H23">
        <f>IF(INDEX(Data_metier!$H:$H,MATCH($A23,Data_metier!$B:$B,0))-INDEX(Data_metier!$H:$H,MATCH(H$1,Data_metier!$B:$B,0))&lt; 0,-1,
IF(AND(INDEX(Data_metier!$H:$H,MATCH($A23,Data_metier!$B:$B,0))-INDEX(Data_metier!$H:$H,MATCH(H$1,Data_metier!$B:$B,0))&gt; 0,
INDEX(Data_metier!$H:$H,MATCH($A23,Data_metier!$B:$B,0))-INDEX(Data_metier!$H:$H,MATCH(H$1,Data_metier!$B:$B,0))&lt;=1),
1,
IF(INDEX(Data_metier!$H:$H,MATCH($A23,Data_metier!$B:$B,0))-INDEX(Data_metier!$H:$H,MATCH(H$1,Data_metier!$B:$B,0))&gt; 1,
2,
0)))</f>
        <v>-1</v>
      </c>
      <c r="I23">
        <f>IF(INDEX(Data_metier!$H:$H,MATCH($A23,Data_metier!$B:$B,0))-INDEX(Data_metier!$H:$H,MATCH(I$1,Data_metier!$B:$B,0))&lt; 0,-1,
IF(AND(INDEX(Data_metier!$H:$H,MATCH($A23,Data_metier!$B:$B,0))-INDEX(Data_metier!$H:$H,MATCH(I$1,Data_metier!$B:$B,0))&gt; 0,
INDEX(Data_metier!$H:$H,MATCH($A23,Data_metier!$B:$B,0))-INDEX(Data_metier!$H:$H,MATCH(I$1,Data_metier!$B:$B,0))&lt;=1),
1,
IF(INDEX(Data_metier!$H:$H,MATCH($A23,Data_metier!$B:$B,0))-INDEX(Data_metier!$H:$H,MATCH(I$1,Data_metier!$B:$B,0))&gt; 1,
2,
0)))</f>
        <v>1</v>
      </c>
      <c r="J23">
        <f>IF(INDEX(Data_metier!$H:$H,MATCH($A23,Data_metier!$B:$B,0))-INDEX(Data_metier!$H:$H,MATCH(J$1,Data_metier!$B:$B,0))&lt; 0,-1,
IF(AND(INDEX(Data_metier!$H:$H,MATCH($A23,Data_metier!$B:$B,0))-INDEX(Data_metier!$H:$H,MATCH(J$1,Data_metier!$B:$B,0))&gt; 0,
INDEX(Data_metier!$H:$H,MATCH($A23,Data_metier!$B:$B,0))-INDEX(Data_metier!$H:$H,MATCH(J$1,Data_metier!$B:$B,0))&lt;=1),
1,
IF(INDEX(Data_metier!$H:$H,MATCH($A23,Data_metier!$B:$B,0))-INDEX(Data_metier!$H:$H,MATCH(J$1,Data_metier!$B:$B,0))&gt; 1,
2,
0)))</f>
        <v>-1</v>
      </c>
      <c r="K23">
        <f>IF(INDEX(Data_metier!$H:$H,MATCH($A23,Data_metier!$B:$B,0))-INDEX(Data_metier!$H:$H,MATCH(K$1,Data_metier!$B:$B,0))&lt; 0,-1,
IF(AND(INDEX(Data_metier!$H:$H,MATCH($A23,Data_metier!$B:$B,0))-INDEX(Data_metier!$H:$H,MATCH(K$1,Data_metier!$B:$B,0))&gt; 0,
INDEX(Data_metier!$H:$H,MATCH($A23,Data_metier!$B:$B,0))-INDEX(Data_metier!$H:$H,MATCH(K$1,Data_metier!$B:$B,0))&lt;=1),
1,
IF(INDEX(Data_metier!$H:$H,MATCH($A23,Data_metier!$B:$B,0))-INDEX(Data_metier!$H:$H,MATCH(K$1,Data_metier!$B:$B,0))&gt; 1,
2,
0)))</f>
        <v>-1</v>
      </c>
      <c r="L23">
        <f>IF(INDEX(Data_metier!$H:$H,MATCH($A23,Data_metier!$B:$B,0))-INDEX(Data_metier!$H:$H,MATCH(L$1,Data_metier!$B:$B,0))&lt; 0,-1,
IF(AND(INDEX(Data_metier!$H:$H,MATCH($A23,Data_metier!$B:$B,0))-INDEX(Data_metier!$H:$H,MATCH(L$1,Data_metier!$B:$B,0))&gt; 0,
INDEX(Data_metier!$H:$H,MATCH($A23,Data_metier!$B:$B,0))-INDEX(Data_metier!$H:$H,MATCH(L$1,Data_metier!$B:$B,0))&lt;=1),
1,
IF(INDEX(Data_metier!$H:$H,MATCH($A23,Data_metier!$B:$B,0))-INDEX(Data_metier!$H:$H,MATCH(L$1,Data_metier!$B:$B,0))&gt; 1,
2,
0)))</f>
        <v>1</v>
      </c>
      <c r="M23">
        <f>IF(INDEX(Data_metier!$H:$H,MATCH($A23,Data_metier!$B:$B,0))-INDEX(Data_metier!$H:$H,MATCH(M$1,Data_metier!$B:$B,0))&lt; 0,-1,
IF(AND(INDEX(Data_metier!$H:$H,MATCH($A23,Data_metier!$B:$B,0))-INDEX(Data_metier!$H:$H,MATCH(M$1,Data_metier!$B:$B,0))&gt; 0,
INDEX(Data_metier!$H:$H,MATCH($A23,Data_metier!$B:$B,0))-INDEX(Data_metier!$H:$H,MATCH(M$1,Data_metier!$B:$B,0))&lt;=1),
1,
IF(INDEX(Data_metier!$H:$H,MATCH($A23,Data_metier!$B:$B,0))-INDEX(Data_metier!$H:$H,MATCH(M$1,Data_metier!$B:$B,0))&gt; 1,
2,
0)))</f>
        <v>0</v>
      </c>
      <c r="N23">
        <f>IF(INDEX(Data_metier!$H:$H,MATCH($A23,Data_metier!$B:$B,0))-INDEX(Data_metier!$H:$H,MATCH(N$1,Data_metier!$B:$B,0))&lt; 0,-1,
IF(AND(INDEX(Data_metier!$H:$H,MATCH($A23,Data_metier!$B:$B,0))-INDEX(Data_metier!$H:$H,MATCH(N$1,Data_metier!$B:$B,0))&gt; 0,
INDEX(Data_metier!$H:$H,MATCH($A23,Data_metier!$B:$B,0))-INDEX(Data_metier!$H:$H,MATCH(N$1,Data_metier!$B:$B,0))&lt;=1),
1,
IF(INDEX(Data_metier!$H:$H,MATCH($A23,Data_metier!$B:$B,0))-INDEX(Data_metier!$H:$H,MATCH(N$1,Data_metier!$B:$B,0))&gt; 1,
2,
0)))</f>
        <v>-1</v>
      </c>
      <c r="O23">
        <f>IF(INDEX(Data_metier!$H:$H,MATCH($A23,Data_metier!$B:$B,0))-INDEX(Data_metier!$H:$H,MATCH(O$1,Data_metier!$B:$B,0))&lt; 0,-1,
IF(AND(INDEX(Data_metier!$H:$H,MATCH($A23,Data_metier!$B:$B,0))-INDEX(Data_metier!$H:$H,MATCH(O$1,Data_metier!$B:$B,0))&gt; 0,
INDEX(Data_metier!$H:$H,MATCH($A23,Data_metier!$B:$B,0))-INDEX(Data_metier!$H:$H,MATCH(O$1,Data_metier!$B:$B,0))&lt;=1),
1,
IF(INDEX(Data_metier!$H:$H,MATCH($A23,Data_metier!$B:$B,0))-INDEX(Data_metier!$H:$H,MATCH(O$1,Data_metier!$B:$B,0))&gt; 1,
2,
0)))</f>
        <v>1</v>
      </c>
      <c r="P23">
        <f>IF(INDEX(Data_metier!$H:$H,MATCH($A23,Data_metier!$B:$B,0))-INDEX(Data_metier!$H:$H,MATCH(P$1,Data_metier!$B:$B,0))&lt; 0,-1,
IF(AND(INDEX(Data_metier!$H:$H,MATCH($A23,Data_metier!$B:$B,0))-INDEX(Data_metier!$H:$H,MATCH(P$1,Data_metier!$B:$B,0))&gt; 0,
INDEX(Data_metier!$H:$H,MATCH($A23,Data_metier!$B:$B,0))-INDEX(Data_metier!$H:$H,MATCH(P$1,Data_metier!$B:$B,0))&lt;=1),
1,
IF(INDEX(Data_metier!$H:$H,MATCH($A23,Data_metier!$B:$B,0))-INDEX(Data_metier!$H:$H,MATCH(P$1,Data_metier!$B:$B,0))&gt; 1,
2,
0)))</f>
        <v>1</v>
      </c>
      <c r="Q23">
        <f>IF(INDEX(Data_metier!$H:$H,MATCH($A23,Data_metier!$B:$B,0))-INDEX(Data_metier!$H:$H,MATCH(Q$1,Data_metier!$B:$B,0))&lt; 0,-1,
IF(AND(INDEX(Data_metier!$H:$H,MATCH($A23,Data_metier!$B:$B,0))-INDEX(Data_metier!$H:$H,MATCH(Q$1,Data_metier!$B:$B,0))&gt; 0,
INDEX(Data_metier!$H:$H,MATCH($A23,Data_metier!$B:$B,0))-INDEX(Data_metier!$H:$H,MATCH(Q$1,Data_metier!$B:$B,0))&lt;=1),
1,
IF(INDEX(Data_metier!$H:$H,MATCH($A23,Data_metier!$B:$B,0))-INDEX(Data_metier!$H:$H,MATCH(Q$1,Data_metier!$B:$B,0))&gt; 1,
2,
0)))</f>
        <v>-1</v>
      </c>
      <c r="R23">
        <f>IF(INDEX(Data_metier!$H:$H,MATCH($A23,Data_metier!$B:$B,0))-INDEX(Data_metier!$H:$H,MATCH(R$1,Data_metier!$B:$B,0))&lt; 0,-1,
IF(AND(INDEX(Data_metier!$H:$H,MATCH($A23,Data_metier!$B:$B,0))-INDEX(Data_metier!$H:$H,MATCH(R$1,Data_metier!$B:$B,0))&gt; 0,
INDEX(Data_metier!$H:$H,MATCH($A23,Data_metier!$B:$B,0))-INDEX(Data_metier!$H:$H,MATCH(R$1,Data_metier!$B:$B,0))&lt;=1),
1,
IF(INDEX(Data_metier!$H:$H,MATCH($A23,Data_metier!$B:$B,0))-INDEX(Data_metier!$H:$H,MATCH(R$1,Data_metier!$B:$B,0))&gt; 1,
2,
0)))</f>
        <v>-1</v>
      </c>
      <c r="S23">
        <f>IF(INDEX(Data_metier!$H:$H,MATCH($A23,Data_metier!$B:$B,0))-INDEX(Data_metier!$H:$H,MATCH(S$1,Data_metier!$B:$B,0))&lt; 0,-1,
IF(AND(INDEX(Data_metier!$H:$H,MATCH($A23,Data_metier!$B:$B,0))-INDEX(Data_metier!$H:$H,MATCH(S$1,Data_metier!$B:$B,0))&gt; 0,
INDEX(Data_metier!$H:$H,MATCH($A23,Data_metier!$B:$B,0))-INDEX(Data_metier!$H:$H,MATCH(S$1,Data_metier!$B:$B,0))&lt;=1),
1,
IF(INDEX(Data_metier!$H:$H,MATCH($A23,Data_metier!$B:$B,0))-INDEX(Data_metier!$H:$H,MATCH(S$1,Data_metier!$B:$B,0))&gt; 1,
2,
0)))</f>
        <v>1</v>
      </c>
      <c r="T23">
        <f>IF(INDEX(Data_metier!$H:$H,MATCH($A23,Data_metier!$B:$B,0))-INDEX(Data_metier!$H:$H,MATCH(T$1,Data_metier!$B:$B,0))&lt; 0,-1,
IF(AND(INDEX(Data_metier!$H:$H,MATCH($A23,Data_metier!$B:$B,0))-INDEX(Data_metier!$H:$H,MATCH(T$1,Data_metier!$B:$B,0))&gt; 0,
INDEX(Data_metier!$H:$H,MATCH($A23,Data_metier!$B:$B,0))-INDEX(Data_metier!$H:$H,MATCH(T$1,Data_metier!$B:$B,0))&lt;=1),
1,
IF(INDEX(Data_metier!$H:$H,MATCH($A23,Data_metier!$B:$B,0))-INDEX(Data_metier!$H:$H,MATCH(T$1,Data_metier!$B:$B,0))&gt; 1,
2,
0)))</f>
        <v>1</v>
      </c>
      <c r="U23">
        <f>IF(INDEX(Data_metier!$H:$H,MATCH($A23,Data_metier!$B:$B,0))-INDEX(Data_metier!$H:$H,MATCH(U$1,Data_metier!$B:$B,0))&lt; 0,-1,
IF(AND(INDEX(Data_metier!$H:$H,MATCH($A23,Data_metier!$B:$B,0))-INDEX(Data_metier!$H:$H,MATCH(U$1,Data_metier!$B:$B,0))&gt; 0,
INDEX(Data_metier!$H:$H,MATCH($A23,Data_metier!$B:$B,0))-INDEX(Data_metier!$H:$H,MATCH(U$1,Data_metier!$B:$B,0))&lt;=1),
1,
IF(INDEX(Data_metier!$H:$H,MATCH($A23,Data_metier!$B:$B,0))-INDEX(Data_metier!$H:$H,MATCH(U$1,Data_metier!$B:$B,0))&gt; 1,
2,
0)))</f>
        <v>1</v>
      </c>
      <c r="V23">
        <f>IF(INDEX(Data_metier!$H:$H,MATCH($A23,Data_metier!$B:$B,0))-INDEX(Data_metier!$H:$H,MATCH(V$1,Data_metier!$B:$B,0))&lt; 0,-1,
IF(AND(INDEX(Data_metier!$H:$H,MATCH($A23,Data_metier!$B:$B,0))-INDEX(Data_metier!$H:$H,MATCH(V$1,Data_metier!$B:$B,0))&gt; 0,
INDEX(Data_metier!$H:$H,MATCH($A23,Data_metier!$B:$B,0))-INDEX(Data_metier!$H:$H,MATCH(V$1,Data_metier!$B:$B,0))&lt;=1),
1,
IF(INDEX(Data_metier!$H:$H,MATCH($A23,Data_metier!$B:$B,0))-INDEX(Data_metier!$H:$H,MATCH(V$1,Data_metier!$B:$B,0))&gt; 1,
2,
0)))</f>
        <v>0</v>
      </c>
      <c r="W23">
        <f>IF(INDEX(Data_metier!$H:$H,MATCH($A23,Data_metier!$B:$B,0))-INDEX(Data_metier!$H:$H,MATCH(W$1,Data_metier!$B:$B,0))&lt; 0,-1,
IF(AND(INDEX(Data_metier!$H:$H,MATCH($A23,Data_metier!$B:$B,0))-INDEX(Data_metier!$H:$H,MATCH(W$1,Data_metier!$B:$B,0))&gt; 0,
INDEX(Data_metier!$H:$H,MATCH($A23,Data_metier!$B:$B,0))-INDEX(Data_metier!$H:$H,MATCH(W$1,Data_metier!$B:$B,0))&lt;=1),
1,
IF(INDEX(Data_metier!$H:$H,MATCH($A23,Data_metier!$B:$B,0))-INDEX(Data_metier!$H:$H,MATCH(W$1,Data_metier!$B:$B,0))&gt; 1,
2,
0)))</f>
        <v>0</v>
      </c>
      <c r="X23">
        <f>IF(INDEX(Data_metier!$H:$H,MATCH($A23,Data_metier!$B:$B,0))-INDEX(Data_metier!$H:$H,MATCH(X$1,Data_metier!$B:$B,0))&lt; 0,-1,
IF(AND(INDEX(Data_metier!$H:$H,MATCH($A23,Data_metier!$B:$B,0))-INDEX(Data_metier!$H:$H,MATCH(X$1,Data_metier!$B:$B,0))&gt; 0,
INDEX(Data_metier!$H:$H,MATCH($A23,Data_metier!$B:$B,0))-INDEX(Data_metier!$H:$H,MATCH(X$1,Data_metier!$B:$B,0))&lt;=1),
1,
IF(INDEX(Data_metier!$H:$H,MATCH($A23,Data_metier!$B:$B,0))-INDEX(Data_metier!$H:$H,MATCH(X$1,Data_metier!$B:$B,0))&gt; 1,
2,
0)))</f>
        <v>-1</v>
      </c>
      <c r="Y23">
        <f>IF(INDEX(Data_metier!$H:$H,MATCH($A23,Data_metier!$B:$B,0))-INDEX(Data_metier!$H:$H,MATCH(Y$1,Data_metier!$B:$B,0))&lt; 0,-1,
IF(AND(INDEX(Data_metier!$H:$H,MATCH($A23,Data_metier!$B:$B,0))-INDEX(Data_metier!$H:$H,MATCH(Y$1,Data_metier!$B:$B,0))&gt; 0,
INDEX(Data_metier!$H:$H,MATCH($A23,Data_metier!$B:$B,0))-INDEX(Data_metier!$H:$H,MATCH(Y$1,Data_metier!$B:$B,0))&lt;=1),
1,
IF(INDEX(Data_metier!$H:$H,MATCH($A23,Data_metier!$B:$B,0))-INDEX(Data_metier!$H:$H,MATCH(Y$1,Data_metier!$B:$B,0))&gt; 1,
2,
0)))</f>
        <v>1</v>
      </c>
      <c r="Z23">
        <f>IF(INDEX(Data_metier!$H:$H,MATCH($A23,Data_metier!$B:$B,0))-INDEX(Data_metier!$H:$H,MATCH(Z$1,Data_metier!$B:$B,0))&lt; 0,-1,
IF(AND(INDEX(Data_metier!$H:$H,MATCH($A23,Data_metier!$B:$B,0))-INDEX(Data_metier!$H:$H,MATCH(Z$1,Data_metier!$B:$B,0))&gt; 0,
INDEX(Data_metier!$H:$H,MATCH($A23,Data_metier!$B:$B,0))-INDEX(Data_metier!$H:$H,MATCH(Z$1,Data_metier!$B:$B,0))&lt;=1),
1,
IF(INDEX(Data_metier!$H:$H,MATCH($A23,Data_metier!$B:$B,0))-INDEX(Data_metier!$H:$H,MATCH(Z$1,Data_metier!$B:$B,0))&gt; 1,
2,
0)))</f>
        <v>1</v>
      </c>
      <c r="AA23">
        <f>IF(INDEX(Data_metier!$H:$H,MATCH($A23,Data_metier!$B:$B,0))-INDEX(Data_metier!$H:$H,MATCH(AA$1,Data_metier!$B:$B,0))&lt; 0,-1,
IF(AND(INDEX(Data_metier!$H:$H,MATCH($A23,Data_metier!$B:$B,0))-INDEX(Data_metier!$H:$H,MATCH(AA$1,Data_metier!$B:$B,0))&gt; 0,
INDEX(Data_metier!$H:$H,MATCH($A23,Data_metier!$B:$B,0))-INDEX(Data_metier!$H:$H,MATCH(AA$1,Data_metier!$B:$B,0))&lt;=1),
1,
IF(INDEX(Data_metier!$H:$H,MATCH($A23,Data_metier!$B:$B,0))-INDEX(Data_metier!$H:$H,MATCH(AA$1,Data_metier!$B:$B,0))&gt; 1,
2,
0)))</f>
        <v>1</v>
      </c>
      <c r="AB23">
        <f>IF(INDEX(Data_metier!$H:$H,MATCH($A23,Data_metier!$B:$B,0))-INDEX(Data_metier!$H:$H,MATCH(AB$1,Data_metier!$B:$B,0))&lt; 0,-1,
IF(AND(INDEX(Data_metier!$H:$H,MATCH($A23,Data_metier!$B:$B,0))-INDEX(Data_metier!$H:$H,MATCH(AB$1,Data_metier!$B:$B,0))&gt; 0,
INDEX(Data_metier!$H:$H,MATCH($A23,Data_metier!$B:$B,0))-INDEX(Data_metier!$H:$H,MATCH(AB$1,Data_metier!$B:$B,0))&lt;=1),
1,
IF(INDEX(Data_metier!$H:$H,MATCH($A23,Data_metier!$B:$B,0))-INDEX(Data_metier!$H:$H,MATCH(AB$1,Data_metier!$B:$B,0))&gt; 1,
2,
0)))</f>
        <v>0</v>
      </c>
      <c r="AC23">
        <f>IF(INDEX(Data_metier!$H:$H,MATCH($A23,Data_metier!$B:$B,0))-INDEX(Data_metier!$H:$H,MATCH(AC$1,Data_metier!$B:$B,0))&lt; 0,-1,
IF(AND(INDEX(Data_metier!$H:$H,MATCH($A23,Data_metier!$B:$B,0))-INDEX(Data_metier!$H:$H,MATCH(AC$1,Data_metier!$B:$B,0))&gt; 0,
INDEX(Data_metier!$H:$H,MATCH($A23,Data_metier!$B:$B,0))-INDEX(Data_metier!$H:$H,MATCH(AC$1,Data_metier!$B:$B,0))&lt;=1),
1,
IF(INDEX(Data_metier!$H:$H,MATCH($A23,Data_metier!$B:$B,0))-INDEX(Data_metier!$H:$H,MATCH(AC$1,Data_metier!$B:$B,0))&gt; 1,
2,
0)))</f>
        <v>0</v>
      </c>
      <c r="AD23">
        <f>IF(INDEX(Data_metier!$H:$H,MATCH($A23,Data_metier!$B:$B,0))-INDEX(Data_metier!$H:$H,MATCH(AD$1,Data_metier!$B:$B,0))&lt; 0,-1,
IF(AND(INDEX(Data_metier!$H:$H,MATCH($A23,Data_metier!$B:$B,0))-INDEX(Data_metier!$H:$H,MATCH(AD$1,Data_metier!$B:$B,0))&gt; 0,
INDEX(Data_metier!$H:$H,MATCH($A23,Data_metier!$B:$B,0))-INDEX(Data_metier!$H:$H,MATCH(AD$1,Data_metier!$B:$B,0))&lt;=1),
1,
IF(INDEX(Data_metier!$H:$H,MATCH($A23,Data_metier!$B:$B,0))-INDEX(Data_metier!$H:$H,MATCH(AD$1,Data_metier!$B:$B,0))&gt; 1,
2,
0)))</f>
        <v>-1</v>
      </c>
    </row>
    <row r="24" spans="1:30">
      <c r="A24" t="str">
        <v>Responsable de plateforme/ d’exploitation logistique</v>
      </c>
      <c r="B24">
        <f>IF(INDEX(Data_metier!$H:$H,MATCH($A24,Data_metier!$B:$B,0))-INDEX(Data_metier!$H:$H,MATCH(B$1,Data_metier!$B:$B,0))&lt; 0,-1,
IF(AND(INDEX(Data_metier!$H:$H,MATCH($A24,Data_metier!$B:$B,0))-INDEX(Data_metier!$H:$H,MATCH(B$1,Data_metier!$B:$B,0))&gt; 0,
INDEX(Data_metier!$H:$H,MATCH($A24,Data_metier!$B:$B,0))-INDEX(Data_metier!$H:$H,MATCH(B$1,Data_metier!$B:$B,0))&lt;=1),
1,
IF(INDEX(Data_metier!$H:$H,MATCH($A24,Data_metier!$B:$B,0))-INDEX(Data_metier!$H:$H,MATCH(B$1,Data_metier!$B:$B,0))&gt; 1,
2,
0)))</f>
        <v>2</v>
      </c>
      <c r="C24">
        <f>IF(INDEX(Data_metier!$H:$H,MATCH($A24,Data_metier!$B:$B,0))-INDEX(Data_metier!$H:$H,MATCH(C$1,Data_metier!$B:$B,0))&lt; 0,-1,
IF(AND(INDEX(Data_metier!$H:$H,MATCH($A24,Data_metier!$B:$B,0))-INDEX(Data_metier!$H:$H,MATCH(C$1,Data_metier!$B:$B,0))&gt; 0,
INDEX(Data_metier!$H:$H,MATCH($A24,Data_metier!$B:$B,0))-INDEX(Data_metier!$H:$H,MATCH(C$1,Data_metier!$B:$B,0))&lt;=1),
1,
IF(INDEX(Data_metier!$H:$H,MATCH($A24,Data_metier!$B:$B,0))-INDEX(Data_metier!$H:$H,MATCH(C$1,Data_metier!$B:$B,0))&gt; 1,
2,
0)))</f>
        <v>2</v>
      </c>
      <c r="D24">
        <f>IF(INDEX(Data_metier!$H:$H,MATCH($A24,Data_metier!$B:$B,0))-INDEX(Data_metier!$H:$H,MATCH(D$1,Data_metier!$B:$B,0))&lt; 0,-1,
IF(AND(INDEX(Data_metier!$H:$H,MATCH($A24,Data_metier!$B:$B,0))-INDEX(Data_metier!$H:$H,MATCH(D$1,Data_metier!$B:$B,0))&gt; 0,
INDEX(Data_metier!$H:$H,MATCH($A24,Data_metier!$B:$B,0))-INDEX(Data_metier!$H:$H,MATCH(D$1,Data_metier!$B:$B,0))&lt;=1),
1,
IF(INDEX(Data_metier!$H:$H,MATCH($A24,Data_metier!$B:$B,0))-INDEX(Data_metier!$H:$H,MATCH(D$1,Data_metier!$B:$B,0))&gt; 1,
2,
0)))</f>
        <v>2</v>
      </c>
      <c r="E24">
        <f>IF(INDEX(Data_metier!$H:$H,MATCH($A24,Data_metier!$B:$B,0))-INDEX(Data_metier!$H:$H,MATCH(E$1,Data_metier!$B:$B,0))&lt; 0,-1,
IF(AND(INDEX(Data_metier!$H:$H,MATCH($A24,Data_metier!$B:$B,0))-INDEX(Data_metier!$H:$H,MATCH(E$1,Data_metier!$B:$B,0))&gt; 0,
INDEX(Data_metier!$H:$H,MATCH($A24,Data_metier!$B:$B,0))-INDEX(Data_metier!$H:$H,MATCH(E$1,Data_metier!$B:$B,0))&lt;=1),
1,
IF(INDEX(Data_metier!$H:$H,MATCH($A24,Data_metier!$B:$B,0))-INDEX(Data_metier!$H:$H,MATCH(E$1,Data_metier!$B:$B,0))&gt; 1,
2,
0)))</f>
        <v>1</v>
      </c>
      <c r="F24">
        <f>IF(INDEX(Data_metier!$H:$H,MATCH($A24,Data_metier!$B:$B,0))-INDEX(Data_metier!$H:$H,MATCH(F$1,Data_metier!$B:$B,0))&lt; 0,-1,
IF(AND(INDEX(Data_metier!$H:$H,MATCH($A24,Data_metier!$B:$B,0))-INDEX(Data_metier!$H:$H,MATCH(F$1,Data_metier!$B:$B,0))&gt; 0,
INDEX(Data_metier!$H:$H,MATCH($A24,Data_metier!$B:$B,0))-INDEX(Data_metier!$H:$H,MATCH(F$1,Data_metier!$B:$B,0))&lt;=1),
1,
IF(INDEX(Data_metier!$H:$H,MATCH($A24,Data_metier!$B:$B,0))-INDEX(Data_metier!$H:$H,MATCH(F$1,Data_metier!$B:$B,0))&gt; 1,
2,
0)))</f>
        <v>0</v>
      </c>
      <c r="G24">
        <f>IF(INDEX(Data_metier!$H:$H,MATCH($A24,Data_metier!$B:$B,0))-INDEX(Data_metier!$H:$H,MATCH(G$1,Data_metier!$B:$B,0))&lt; 0,-1,
IF(AND(INDEX(Data_metier!$H:$H,MATCH($A24,Data_metier!$B:$B,0))-INDEX(Data_metier!$H:$H,MATCH(G$1,Data_metier!$B:$B,0))&gt; 0,
INDEX(Data_metier!$H:$H,MATCH($A24,Data_metier!$B:$B,0))-INDEX(Data_metier!$H:$H,MATCH(G$1,Data_metier!$B:$B,0))&lt;=1),
1,
IF(INDEX(Data_metier!$H:$H,MATCH($A24,Data_metier!$B:$B,0))-INDEX(Data_metier!$H:$H,MATCH(G$1,Data_metier!$B:$B,0))&gt; 1,
2,
0)))</f>
        <v>0</v>
      </c>
      <c r="H24">
        <f>IF(INDEX(Data_metier!$H:$H,MATCH($A24,Data_metier!$B:$B,0))-INDEX(Data_metier!$H:$H,MATCH(H$1,Data_metier!$B:$B,0))&lt; 0,-1,
IF(AND(INDEX(Data_metier!$H:$H,MATCH($A24,Data_metier!$B:$B,0))-INDEX(Data_metier!$H:$H,MATCH(H$1,Data_metier!$B:$B,0))&gt; 0,
INDEX(Data_metier!$H:$H,MATCH($A24,Data_metier!$B:$B,0))-INDEX(Data_metier!$H:$H,MATCH(H$1,Data_metier!$B:$B,0))&lt;=1),
1,
IF(INDEX(Data_metier!$H:$H,MATCH($A24,Data_metier!$B:$B,0))-INDEX(Data_metier!$H:$H,MATCH(H$1,Data_metier!$B:$B,0))&gt; 1,
2,
0)))</f>
        <v>0</v>
      </c>
      <c r="I24">
        <f>IF(INDEX(Data_metier!$H:$H,MATCH($A24,Data_metier!$B:$B,0))-INDEX(Data_metier!$H:$H,MATCH(I$1,Data_metier!$B:$B,0))&lt; 0,-1,
IF(AND(INDEX(Data_metier!$H:$H,MATCH($A24,Data_metier!$B:$B,0))-INDEX(Data_metier!$H:$H,MATCH(I$1,Data_metier!$B:$B,0))&gt; 0,
INDEX(Data_metier!$H:$H,MATCH($A24,Data_metier!$B:$B,0))-INDEX(Data_metier!$H:$H,MATCH(I$1,Data_metier!$B:$B,0))&lt;=1),
1,
IF(INDEX(Data_metier!$H:$H,MATCH($A24,Data_metier!$B:$B,0))-INDEX(Data_metier!$H:$H,MATCH(I$1,Data_metier!$B:$B,0))&gt; 1,
2,
0)))</f>
        <v>2</v>
      </c>
      <c r="J24">
        <f>IF(INDEX(Data_metier!$H:$H,MATCH($A24,Data_metier!$B:$B,0))-INDEX(Data_metier!$H:$H,MATCH(J$1,Data_metier!$B:$B,0))&lt; 0,-1,
IF(AND(INDEX(Data_metier!$H:$H,MATCH($A24,Data_metier!$B:$B,0))-INDEX(Data_metier!$H:$H,MATCH(J$1,Data_metier!$B:$B,0))&gt; 0,
INDEX(Data_metier!$H:$H,MATCH($A24,Data_metier!$B:$B,0))-INDEX(Data_metier!$H:$H,MATCH(J$1,Data_metier!$B:$B,0))&lt;=1),
1,
IF(INDEX(Data_metier!$H:$H,MATCH($A24,Data_metier!$B:$B,0))-INDEX(Data_metier!$H:$H,MATCH(J$1,Data_metier!$B:$B,0))&gt; 1,
2,
0)))</f>
        <v>1</v>
      </c>
      <c r="K24">
        <f>IF(INDEX(Data_metier!$H:$H,MATCH($A24,Data_metier!$B:$B,0))-INDEX(Data_metier!$H:$H,MATCH(K$1,Data_metier!$B:$B,0))&lt; 0,-1,
IF(AND(INDEX(Data_metier!$H:$H,MATCH($A24,Data_metier!$B:$B,0))-INDEX(Data_metier!$H:$H,MATCH(K$1,Data_metier!$B:$B,0))&gt; 0,
INDEX(Data_metier!$H:$H,MATCH($A24,Data_metier!$B:$B,0))-INDEX(Data_metier!$H:$H,MATCH(K$1,Data_metier!$B:$B,0))&lt;=1),
1,
IF(INDEX(Data_metier!$H:$H,MATCH($A24,Data_metier!$B:$B,0))-INDEX(Data_metier!$H:$H,MATCH(K$1,Data_metier!$B:$B,0))&gt; 1,
2,
0)))</f>
        <v>-1</v>
      </c>
      <c r="L24">
        <f>IF(INDEX(Data_metier!$H:$H,MATCH($A24,Data_metier!$B:$B,0))-INDEX(Data_metier!$H:$H,MATCH(L$1,Data_metier!$B:$B,0))&lt; 0,-1,
IF(AND(INDEX(Data_metier!$H:$H,MATCH($A24,Data_metier!$B:$B,0))-INDEX(Data_metier!$H:$H,MATCH(L$1,Data_metier!$B:$B,0))&gt; 0,
INDEX(Data_metier!$H:$H,MATCH($A24,Data_metier!$B:$B,0))-INDEX(Data_metier!$H:$H,MATCH(L$1,Data_metier!$B:$B,0))&lt;=1),
1,
IF(INDEX(Data_metier!$H:$H,MATCH($A24,Data_metier!$B:$B,0))-INDEX(Data_metier!$H:$H,MATCH(L$1,Data_metier!$B:$B,0))&gt; 1,
2,
0)))</f>
        <v>2</v>
      </c>
      <c r="M24">
        <f>IF(INDEX(Data_metier!$H:$H,MATCH($A24,Data_metier!$B:$B,0))-INDEX(Data_metier!$H:$H,MATCH(M$1,Data_metier!$B:$B,0))&lt; 0,-1,
IF(AND(INDEX(Data_metier!$H:$H,MATCH($A24,Data_metier!$B:$B,0))-INDEX(Data_metier!$H:$H,MATCH(M$1,Data_metier!$B:$B,0))&gt; 0,
INDEX(Data_metier!$H:$H,MATCH($A24,Data_metier!$B:$B,0))-INDEX(Data_metier!$H:$H,MATCH(M$1,Data_metier!$B:$B,0))&lt;=1),
1,
IF(INDEX(Data_metier!$H:$H,MATCH($A24,Data_metier!$B:$B,0))-INDEX(Data_metier!$H:$H,MATCH(M$1,Data_metier!$B:$B,0))&gt; 1,
2,
0)))</f>
        <v>2</v>
      </c>
      <c r="N24">
        <f>IF(INDEX(Data_metier!$H:$H,MATCH($A24,Data_metier!$B:$B,0))-INDEX(Data_metier!$H:$H,MATCH(N$1,Data_metier!$B:$B,0))&lt; 0,-1,
IF(AND(INDEX(Data_metier!$H:$H,MATCH($A24,Data_metier!$B:$B,0))-INDEX(Data_metier!$H:$H,MATCH(N$1,Data_metier!$B:$B,0))&gt; 0,
INDEX(Data_metier!$H:$H,MATCH($A24,Data_metier!$B:$B,0))-INDEX(Data_metier!$H:$H,MATCH(N$1,Data_metier!$B:$B,0))&lt;=1),
1,
IF(INDEX(Data_metier!$H:$H,MATCH($A24,Data_metier!$B:$B,0))-INDEX(Data_metier!$H:$H,MATCH(N$1,Data_metier!$B:$B,0))&gt; 1,
2,
0)))</f>
        <v>1</v>
      </c>
      <c r="O24">
        <f>IF(INDEX(Data_metier!$H:$H,MATCH($A24,Data_metier!$B:$B,0))-INDEX(Data_metier!$H:$H,MATCH(O$1,Data_metier!$B:$B,0))&lt; 0,-1,
IF(AND(INDEX(Data_metier!$H:$H,MATCH($A24,Data_metier!$B:$B,0))-INDEX(Data_metier!$H:$H,MATCH(O$1,Data_metier!$B:$B,0))&gt; 0,
INDEX(Data_metier!$H:$H,MATCH($A24,Data_metier!$B:$B,0))-INDEX(Data_metier!$H:$H,MATCH(O$1,Data_metier!$B:$B,0))&lt;=1),
1,
IF(INDEX(Data_metier!$H:$H,MATCH($A24,Data_metier!$B:$B,0))-INDEX(Data_metier!$H:$H,MATCH(O$1,Data_metier!$B:$B,0))&gt; 1,
2,
0)))</f>
        <v>2</v>
      </c>
      <c r="P24">
        <f>IF(INDEX(Data_metier!$H:$H,MATCH($A24,Data_metier!$B:$B,0))-INDEX(Data_metier!$H:$H,MATCH(P$1,Data_metier!$B:$B,0))&lt; 0,-1,
IF(AND(INDEX(Data_metier!$H:$H,MATCH($A24,Data_metier!$B:$B,0))-INDEX(Data_metier!$H:$H,MATCH(P$1,Data_metier!$B:$B,0))&gt; 0,
INDEX(Data_metier!$H:$H,MATCH($A24,Data_metier!$B:$B,0))-INDEX(Data_metier!$H:$H,MATCH(P$1,Data_metier!$B:$B,0))&lt;=1),
1,
IF(INDEX(Data_metier!$H:$H,MATCH($A24,Data_metier!$B:$B,0))-INDEX(Data_metier!$H:$H,MATCH(P$1,Data_metier!$B:$B,0))&gt; 1,
2,
0)))</f>
        <v>2</v>
      </c>
      <c r="Q24">
        <f>IF(INDEX(Data_metier!$H:$H,MATCH($A24,Data_metier!$B:$B,0))-INDEX(Data_metier!$H:$H,MATCH(Q$1,Data_metier!$B:$B,0))&lt; 0,-1,
IF(AND(INDEX(Data_metier!$H:$H,MATCH($A24,Data_metier!$B:$B,0))-INDEX(Data_metier!$H:$H,MATCH(Q$1,Data_metier!$B:$B,0))&gt; 0,
INDEX(Data_metier!$H:$H,MATCH($A24,Data_metier!$B:$B,0))-INDEX(Data_metier!$H:$H,MATCH(Q$1,Data_metier!$B:$B,0))&lt;=1),
1,
IF(INDEX(Data_metier!$H:$H,MATCH($A24,Data_metier!$B:$B,0))-INDEX(Data_metier!$H:$H,MATCH(Q$1,Data_metier!$B:$B,0))&gt; 1,
2,
0)))</f>
        <v>1</v>
      </c>
      <c r="R24">
        <f>IF(INDEX(Data_metier!$H:$H,MATCH($A24,Data_metier!$B:$B,0))-INDEX(Data_metier!$H:$H,MATCH(R$1,Data_metier!$B:$B,0))&lt; 0,-1,
IF(AND(INDEX(Data_metier!$H:$H,MATCH($A24,Data_metier!$B:$B,0))-INDEX(Data_metier!$H:$H,MATCH(R$1,Data_metier!$B:$B,0))&gt; 0,
INDEX(Data_metier!$H:$H,MATCH($A24,Data_metier!$B:$B,0))-INDEX(Data_metier!$H:$H,MATCH(R$1,Data_metier!$B:$B,0))&lt;=1),
1,
IF(INDEX(Data_metier!$H:$H,MATCH($A24,Data_metier!$B:$B,0))-INDEX(Data_metier!$H:$H,MATCH(R$1,Data_metier!$B:$B,0))&gt; 1,
2,
0)))</f>
        <v>-1</v>
      </c>
      <c r="S24">
        <f>IF(INDEX(Data_metier!$H:$H,MATCH($A24,Data_metier!$B:$B,0))-INDEX(Data_metier!$H:$H,MATCH(S$1,Data_metier!$B:$B,0))&lt; 0,-1,
IF(AND(INDEX(Data_metier!$H:$H,MATCH($A24,Data_metier!$B:$B,0))-INDEX(Data_metier!$H:$H,MATCH(S$1,Data_metier!$B:$B,0))&gt; 0,
INDEX(Data_metier!$H:$H,MATCH($A24,Data_metier!$B:$B,0))-INDEX(Data_metier!$H:$H,MATCH(S$1,Data_metier!$B:$B,0))&lt;=1),
1,
IF(INDEX(Data_metier!$H:$H,MATCH($A24,Data_metier!$B:$B,0))-INDEX(Data_metier!$H:$H,MATCH(S$1,Data_metier!$B:$B,0))&gt; 1,
2,
0)))</f>
        <v>2</v>
      </c>
      <c r="T24">
        <f>IF(INDEX(Data_metier!$H:$H,MATCH($A24,Data_metier!$B:$B,0))-INDEX(Data_metier!$H:$H,MATCH(T$1,Data_metier!$B:$B,0))&lt; 0,-1,
IF(AND(INDEX(Data_metier!$H:$H,MATCH($A24,Data_metier!$B:$B,0))-INDEX(Data_metier!$H:$H,MATCH(T$1,Data_metier!$B:$B,0))&gt; 0,
INDEX(Data_metier!$H:$H,MATCH($A24,Data_metier!$B:$B,0))-INDEX(Data_metier!$H:$H,MATCH(T$1,Data_metier!$B:$B,0))&lt;=1),
1,
IF(INDEX(Data_metier!$H:$H,MATCH($A24,Data_metier!$B:$B,0))-INDEX(Data_metier!$H:$H,MATCH(T$1,Data_metier!$B:$B,0))&gt; 1,
2,
0)))</f>
        <v>2</v>
      </c>
      <c r="U24">
        <f>IF(INDEX(Data_metier!$H:$H,MATCH($A24,Data_metier!$B:$B,0))-INDEX(Data_metier!$H:$H,MATCH(U$1,Data_metier!$B:$B,0))&lt; 0,-1,
IF(AND(INDEX(Data_metier!$H:$H,MATCH($A24,Data_metier!$B:$B,0))-INDEX(Data_metier!$H:$H,MATCH(U$1,Data_metier!$B:$B,0))&gt; 0,
INDEX(Data_metier!$H:$H,MATCH($A24,Data_metier!$B:$B,0))-INDEX(Data_metier!$H:$H,MATCH(U$1,Data_metier!$B:$B,0))&lt;=1),
1,
IF(INDEX(Data_metier!$H:$H,MATCH($A24,Data_metier!$B:$B,0))-INDEX(Data_metier!$H:$H,MATCH(U$1,Data_metier!$B:$B,0))&gt; 1,
2,
0)))</f>
        <v>2</v>
      </c>
      <c r="V24">
        <f>IF(INDEX(Data_metier!$H:$H,MATCH($A24,Data_metier!$B:$B,0))-INDEX(Data_metier!$H:$H,MATCH(V$1,Data_metier!$B:$B,0))&lt; 0,-1,
IF(AND(INDEX(Data_metier!$H:$H,MATCH($A24,Data_metier!$B:$B,0))-INDEX(Data_metier!$H:$H,MATCH(V$1,Data_metier!$B:$B,0))&gt; 0,
INDEX(Data_metier!$H:$H,MATCH($A24,Data_metier!$B:$B,0))-INDEX(Data_metier!$H:$H,MATCH(V$1,Data_metier!$B:$B,0))&lt;=1),
1,
IF(INDEX(Data_metier!$H:$H,MATCH($A24,Data_metier!$B:$B,0))-INDEX(Data_metier!$H:$H,MATCH(V$1,Data_metier!$B:$B,0))&gt; 1,
2,
0)))</f>
        <v>2</v>
      </c>
      <c r="W24">
        <f>IF(INDEX(Data_metier!$H:$H,MATCH($A24,Data_metier!$B:$B,0))-INDEX(Data_metier!$H:$H,MATCH(W$1,Data_metier!$B:$B,0))&lt; 0,-1,
IF(AND(INDEX(Data_metier!$H:$H,MATCH($A24,Data_metier!$B:$B,0))-INDEX(Data_metier!$H:$H,MATCH(W$1,Data_metier!$B:$B,0))&gt; 0,
INDEX(Data_metier!$H:$H,MATCH($A24,Data_metier!$B:$B,0))-INDEX(Data_metier!$H:$H,MATCH(W$1,Data_metier!$B:$B,0))&lt;=1),
1,
IF(INDEX(Data_metier!$H:$H,MATCH($A24,Data_metier!$B:$B,0))-INDEX(Data_metier!$H:$H,MATCH(W$1,Data_metier!$B:$B,0))&gt; 1,
2,
0)))</f>
        <v>2</v>
      </c>
      <c r="X24">
        <f>IF(INDEX(Data_metier!$H:$H,MATCH($A24,Data_metier!$B:$B,0))-INDEX(Data_metier!$H:$H,MATCH(X$1,Data_metier!$B:$B,0))&lt; 0,-1,
IF(AND(INDEX(Data_metier!$H:$H,MATCH($A24,Data_metier!$B:$B,0))-INDEX(Data_metier!$H:$H,MATCH(X$1,Data_metier!$B:$B,0))&gt; 0,
INDEX(Data_metier!$H:$H,MATCH($A24,Data_metier!$B:$B,0))-INDEX(Data_metier!$H:$H,MATCH(X$1,Data_metier!$B:$B,0))&lt;=1),
1,
IF(INDEX(Data_metier!$H:$H,MATCH($A24,Data_metier!$B:$B,0))-INDEX(Data_metier!$H:$H,MATCH(X$1,Data_metier!$B:$B,0))&gt; 1,
2,
0)))</f>
        <v>0</v>
      </c>
      <c r="Y24">
        <f>IF(INDEX(Data_metier!$H:$H,MATCH($A24,Data_metier!$B:$B,0))-INDEX(Data_metier!$H:$H,MATCH(Y$1,Data_metier!$B:$B,0))&lt; 0,-1,
IF(AND(INDEX(Data_metier!$H:$H,MATCH($A24,Data_metier!$B:$B,0))-INDEX(Data_metier!$H:$H,MATCH(Y$1,Data_metier!$B:$B,0))&gt; 0,
INDEX(Data_metier!$H:$H,MATCH($A24,Data_metier!$B:$B,0))-INDEX(Data_metier!$H:$H,MATCH(Y$1,Data_metier!$B:$B,0))&lt;=1),
1,
IF(INDEX(Data_metier!$H:$H,MATCH($A24,Data_metier!$B:$B,0))-INDEX(Data_metier!$H:$H,MATCH(Y$1,Data_metier!$B:$B,0))&gt; 1,
2,
0)))</f>
        <v>2</v>
      </c>
      <c r="Z24">
        <f>IF(INDEX(Data_metier!$H:$H,MATCH($A24,Data_metier!$B:$B,0))-INDEX(Data_metier!$H:$H,MATCH(Z$1,Data_metier!$B:$B,0))&lt; 0,-1,
IF(AND(INDEX(Data_metier!$H:$H,MATCH($A24,Data_metier!$B:$B,0))-INDEX(Data_metier!$H:$H,MATCH(Z$1,Data_metier!$B:$B,0))&gt; 0,
INDEX(Data_metier!$H:$H,MATCH($A24,Data_metier!$B:$B,0))-INDEX(Data_metier!$H:$H,MATCH(Z$1,Data_metier!$B:$B,0))&lt;=1),
1,
IF(INDEX(Data_metier!$H:$H,MATCH($A24,Data_metier!$B:$B,0))-INDEX(Data_metier!$H:$H,MATCH(Z$1,Data_metier!$B:$B,0))&gt; 1,
2,
0)))</f>
        <v>2</v>
      </c>
      <c r="AA24">
        <f>IF(INDEX(Data_metier!$H:$H,MATCH($A24,Data_metier!$B:$B,0))-INDEX(Data_metier!$H:$H,MATCH(AA$1,Data_metier!$B:$B,0))&lt; 0,-1,
IF(AND(INDEX(Data_metier!$H:$H,MATCH($A24,Data_metier!$B:$B,0))-INDEX(Data_metier!$H:$H,MATCH(AA$1,Data_metier!$B:$B,0))&gt; 0,
INDEX(Data_metier!$H:$H,MATCH($A24,Data_metier!$B:$B,0))-INDEX(Data_metier!$H:$H,MATCH(AA$1,Data_metier!$B:$B,0))&lt;=1),
1,
IF(INDEX(Data_metier!$H:$H,MATCH($A24,Data_metier!$B:$B,0))-INDEX(Data_metier!$H:$H,MATCH(AA$1,Data_metier!$B:$B,0))&gt; 1,
2,
0)))</f>
        <v>2</v>
      </c>
      <c r="AB24">
        <f>IF(INDEX(Data_metier!$H:$H,MATCH($A24,Data_metier!$B:$B,0))-INDEX(Data_metier!$H:$H,MATCH(AB$1,Data_metier!$B:$B,0))&lt; 0,-1,
IF(AND(INDEX(Data_metier!$H:$H,MATCH($A24,Data_metier!$B:$B,0))-INDEX(Data_metier!$H:$H,MATCH(AB$1,Data_metier!$B:$B,0))&gt; 0,
INDEX(Data_metier!$H:$H,MATCH($A24,Data_metier!$B:$B,0))-INDEX(Data_metier!$H:$H,MATCH(AB$1,Data_metier!$B:$B,0))&lt;=1),
1,
IF(INDEX(Data_metier!$H:$H,MATCH($A24,Data_metier!$B:$B,0))-INDEX(Data_metier!$H:$H,MATCH(AB$1,Data_metier!$B:$B,0))&gt; 1,
2,
0)))</f>
        <v>2</v>
      </c>
      <c r="AC24">
        <f>IF(INDEX(Data_metier!$H:$H,MATCH($A24,Data_metier!$B:$B,0))-INDEX(Data_metier!$H:$H,MATCH(AC$1,Data_metier!$B:$B,0))&lt; 0,-1,
IF(AND(INDEX(Data_metier!$H:$H,MATCH($A24,Data_metier!$B:$B,0))-INDEX(Data_metier!$H:$H,MATCH(AC$1,Data_metier!$B:$B,0))&gt; 0,
INDEX(Data_metier!$H:$H,MATCH($A24,Data_metier!$B:$B,0))-INDEX(Data_metier!$H:$H,MATCH(AC$1,Data_metier!$B:$B,0))&lt;=1),
1,
IF(INDEX(Data_metier!$H:$H,MATCH($A24,Data_metier!$B:$B,0))-INDEX(Data_metier!$H:$H,MATCH(AC$1,Data_metier!$B:$B,0))&gt; 1,
2,
0)))</f>
        <v>2</v>
      </c>
      <c r="AD24">
        <f>IF(INDEX(Data_metier!$H:$H,MATCH($A24,Data_metier!$B:$B,0))-INDEX(Data_metier!$H:$H,MATCH(AD$1,Data_metier!$B:$B,0))&lt; 0,-1,
IF(AND(INDEX(Data_metier!$H:$H,MATCH($A24,Data_metier!$B:$B,0))-INDEX(Data_metier!$H:$H,MATCH(AD$1,Data_metier!$B:$B,0))&gt; 0,
INDEX(Data_metier!$H:$H,MATCH($A24,Data_metier!$B:$B,0))-INDEX(Data_metier!$H:$H,MATCH(AD$1,Data_metier!$B:$B,0))&lt;=1),
1,
IF(INDEX(Data_metier!$H:$H,MATCH($A24,Data_metier!$B:$B,0))-INDEX(Data_metier!$H:$H,MATCH(AD$1,Data_metier!$B:$B,0))&gt; 1,
2,
0)))</f>
        <v>2</v>
      </c>
    </row>
    <row r="25" spans="1:30">
      <c r="A25" t="str">
        <v>Opérateur(trice) de transformation des viandes</v>
      </c>
      <c r="B25">
        <f>IF(INDEX(Data_metier!$H:$H,MATCH($A25,Data_metier!$B:$B,0))-INDEX(Data_metier!$H:$H,MATCH(B$1,Data_metier!$B:$B,0))&lt; 0,-1,
IF(AND(INDEX(Data_metier!$H:$H,MATCH($A25,Data_metier!$B:$B,0))-INDEX(Data_metier!$H:$H,MATCH(B$1,Data_metier!$B:$B,0))&gt; 0,
INDEX(Data_metier!$H:$H,MATCH($A25,Data_metier!$B:$B,0))-INDEX(Data_metier!$H:$H,MATCH(B$1,Data_metier!$B:$B,0))&lt;=1),
1,
IF(INDEX(Data_metier!$H:$H,MATCH($A25,Data_metier!$B:$B,0))-INDEX(Data_metier!$H:$H,MATCH(B$1,Data_metier!$B:$B,0))&gt; 1,
2,
0)))</f>
        <v>-1</v>
      </c>
      <c r="C25">
        <f>IF(INDEX(Data_metier!$H:$H,MATCH($A25,Data_metier!$B:$B,0))-INDEX(Data_metier!$H:$H,MATCH(C$1,Data_metier!$B:$B,0))&lt; 0,-1,
IF(AND(INDEX(Data_metier!$H:$H,MATCH($A25,Data_metier!$B:$B,0))-INDEX(Data_metier!$H:$H,MATCH(C$1,Data_metier!$B:$B,0))&gt; 0,
INDEX(Data_metier!$H:$H,MATCH($A25,Data_metier!$B:$B,0))-INDEX(Data_metier!$H:$H,MATCH(C$1,Data_metier!$B:$B,0))&lt;=1),
1,
IF(INDEX(Data_metier!$H:$H,MATCH($A25,Data_metier!$B:$B,0))-INDEX(Data_metier!$H:$H,MATCH(C$1,Data_metier!$B:$B,0))&gt; 1,
2,
0)))</f>
        <v>-1</v>
      </c>
      <c r="D25">
        <f>IF(INDEX(Data_metier!$H:$H,MATCH($A25,Data_metier!$B:$B,0))-INDEX(Data_metier!$H:$H,MATCH(D$1,Data_metier!$B:$B,0))&lt; 0,-1,
IF(AND(INDEX(Data_metier!$H:$H,MATCH($A25,Data_metier!$B:$B,0))-INDEX(Data_metier!$H:$H,MATCH(D$1,Data_metier!$B:$B,0))&gt; 0,
INDEX(Data_metier!$H:$H,MATCH($A25,Data_metier!$B:$B,0))-INDEX(Data_metier!$H:$H,MATCH(D$1,Data_metier!$B:$B,0))&lt;=1),
1,
IF(INDEX(Data_metier!$H:$H,MATCH($A25,Data_metier!$B:$B,0))-INDEX(Data_metier!$H:$H,MATCH(D$1,Data_metier!$B:$B,0))&gt; 1,
2,
0)))</f>
        <v>0</v>
      </c>
      <c r="E25">
        <f>IF(INDEX(Data_metier!$H:$H,MATCH($A25,Data_metier!$B:$B,0))-INDEX(Data_metier!$H:$H,MATCH(E$1,Data_metier!$B:$B,0))&lt; 0,-1,
IF(AND(INDEX(Data_metier!$H:$H,MATCH($A25,Data_metier!$B:$B,0))-INDEX(Data_metier!$H:$H,MATCH(E$1,Data_metier!$B:$B,0))&gt; 0,
INDEX(Data_metier!$H:$H,MATCH($A25,Data_metier!$B:$B,0))-INDEX(Data_metier!$H:$H,MATCH(E$1,Data_metier!$B:$B,0))&lt;=1),
1,
IF(INDEX(Data_metier!$H:$H,MATCH($A25,Data_metier!$B:$B,0))-INDEX(Data_metier!$H:$H,MATCH(E$1,Data_metier!$B:$B,0))&gt; 1,
2,
0)))</f>
        <v>-1</v>
      </c>
      <c r="F25">
        <f>IF(INDEX(Data_metier!$H:$H,MATCH($A25,Data_metier!$B:$B,0))-INDEX(Data_metier!$H:$H,MATCH(F$1,Data_metier!$B:$B,0))&lt; 0,-1,
IF(AND(INDEX(Data_metier!$H:$H,MATCH($A25,Data_metier!$B:$B,0))-INDEX(Data_metier!$H:$H,MATCH(F$1,Data_metier!$B:$B,0))&gt; 0,
INDEX(Data_metier!$H:$H,MATCH($A25,Data_metier!$B:$B,0))-INDEX(Data_metier!$H:$H,MATCH(F$1,Data_metier!$B:$B,0))&lt;=1),
1,
IF(INDEX(Data_metier!$H:$H,MATCH($A25,Data_metier!$B:$B,0))-INDEX(Data_metier!$H:$H,MATCH(F$1,Data_metier!$B:$B,0))&gt; 1,
2,
0)))</f>
        <v>-1</v>
      </c>
      <c r="G25">
        <f>IF(INDEX(Data_metier!$H:$H,MATCH($A25,Data_metier!$B:$B,0))-INDEX(Data_metier!$H:$H,MATCH(G$1,Data_metier!$B:$B,0))&lt; 0,-1,
IF(AND(INDEX(Data_metier!$H:$H,MATCH($A25,Data_metier!$B:$B,0))-INDEX(Data_metier!$H:$H,MATCH(G$1,Data_metier!$B:$B,0))&gt; 0,
INDEX(Data_metier!$H:$H,MATCH($A25,Data_metier!$B:$B,0))-INDEX(Data_metier!$H:$H,MATCH(G$1,Data_metier!$B:$B,0))&lt;=1),
1,
IF(INDEX(Data_metier!$H:$H,MATCH($A25,Data_metier!$B:$B,0))-INDEX(Data_metier!$H:$H,MATCH(G$1,Data_metier!$B:$B,0))&gt; 1,
2,
0)))</f>
        <v>-1</v>
      </c>
      <c r="H25">
        <f>IF(INDEX(Data_metier!$H:$H,MATCH($A25,Data_metier!$B:$B,0))-INDEX(Data_metier!$H:$H,MATCH(H$1,Data_metier!$B:$B,0))&lt; 0,-1,
IF(AND(INDEX(Data_metier!$H:$H,MATCH($A25,Data_metier!$B:$B,0))-INDEX(Data_metier!$H:$H,MATCH(H$1,Data_metier!$B:$B,0))&gt; 0,
INDEX(Data_metier!$H:$H,MATCH($A25,Data_metier!$B:$B,0))-INDEX(Data_metier!$H:$H,MATCH(H$1,Data_metier!$B:$B,0))&lt;=1),
1,
IF(INDEX(Data_metier!$H:$H,MATCH($A25,Data_metier!$B:$B,0))-INDEX(Data_metier!$H:$H,MATCH(H$1,Data_metier!$B:$B,0))&gt; 1,
2,
0)))</f>
        <v>-1</v>
      </c>
      <c r="I25">
        <f>IF(INDEX(Data_metier!$H:$H,MATCH($A25,Data_metier!$B:$B,0))-INDEX(Data_metier!$H:$H,MATCH(I$1,Data_metier!$B:$B,0))&lt; 0,-1,
IF(AND(INDEX(Data_metier!$H:$H,MATCH($A25,Data_metier!$B:$B,0))-INDEX(Data_metier!$H:$H,MATCH(I$1,Data_metier!$B:$B,0))&gt; 0,
INDEX(Data_metier!$H:$H,MATCH($A25,Data_metier!$B:$B,0))-INDEX(Data_metier!$H:$H,MATCH(I$1,Data_metier!$B:$B,0))&lt;=1),
1,
IF(INDEX(Data_metier!$H:$H,MATCH($A25,Data_metier!$B:$B,0))-INDEX(Data_metier!$H:$H,MATCH(I$1,Data_metier!$B:$B,0))&gt; 1,
2,
0)))</f>
        <v>0</v>
      </c>
      <c r="J25">
        <f>IF(INDEX(Data_metier!$H:$H,MATCH($A25,Data_metier!$B:$B,0))-INDEX(Data_metier!$H:$H,MATCH(J$1,Data_metier!$B:$B,0))&lt; 0,-1,
IF(AND(INDEX(Data_metier!$H:$H,MATCH($A25,Data_metier!$B:$B,0))-INDEX(Data_metier!$H:$H,MATCH(J$1,Data_metier!$B:$B,0))&gt; 0,
INDEX(Data_metier!$H:$H,MATCH($A25,Data_metier!$B:$B,0))-INDEX(Data_metier!$H:$H,MATCH(J$1,Data_metier!$B:$B,0))&lt;=1),
1,
IF(INDEX(Data_metier!$H:$H,MATCH($A25,Data_metier!$B:$B,0))-INDEX(Data_metier!$H:$H,MATCH(J$1,Data_metier!$B:$B,0))&gt; 1,
2,
0)))</f>
        <v>-1</v>
      </c>
      <c r="K25">
        <f>IF(INDEX(Data_metier!$H:$H,MATCH($A25,Data_metier!$B:$B,0))-INDEX(Data_metier!$H:$H,MATCH(K$1,Data_metier!$B:$B,0))&lt; 0,-1,
IF(AND(INDEX(Data_metier!$H:$H,MATCH($A25,Data_metier!$B:$B,0))-INDEX(Data_metier!$H:$H,MATCH(K$1,Data_metier!$B:$B,0))&gt; 0,
INDEX(Data_metier!$H:$H,MATCH($A25,Data_metier!$B:$B,0))-INDEX(Data_metier!$H:$H,MATCH(K$1,Data_metier!$B:$B,0))&lt;=1),
1,
IF(INDEX(Data_metier!$H:$H,MATCH($A25,Data_metier!$B:$B,0))-INDEX(Data_metier!$H:$H,MATCH(K$1,Data_metier!$B:$B,0))&gt; 1,
2,
0)))</f>
        <v>-1</v>
      </c>
      <c r="L25">
        <f>IF(INDEX(Data_metier!$H:$H,MATCH($A25,Data_metier!$B:$B,0))-INDEX(Data_metier!$H:$H,MATCH(L$1,Data_metier!$B:$B,0))&lt; 0,-1,
IF(AND(INDEX(Data_metier!$H:$H,MATCH($A25,Data_metier!$B:$B,0))-INDEX(Data_metier!$H:$H,MATCH(L$1,Data_metier!$B:$B,0))&gt; 0,
INDEX(Data_metier!$H:$H,MATCH($A25,Data_metier!$B:$B,0))-INDEX(Data_metier!$H:$H,MATCH(L$1,Data_metier!$B:$B,0))&lt;=1),
1,
IF(INDEX(Data_metier!$H:$H,MATCH($A25,Data_metier!$B:$B,0))-INDEX(Data_metier!$H:$H,MATCH(L$1,Data_metier!$B:$B,0))&gt; 1,
2,
0)))</f>
        <v>0</v>
      </c>
      <c r="M25">
        <f>IF(INDEX(Data_metier!$H:$H,MATCH($A25,Data_metier!$B:$B,0))-INDEX(Data_metier!$H:$H,MATCH(M$1,Data_metier!$B:$B,0))&lt; 0,-1,
IF(AND(INDEX(Data_metier!$H:$H,MATCH($A25,Data_metier!$B:$B,0))-INDEX(Data_metier!$H:$H,MATCH(M$1,Data_metier!$B:$B,0))&gt; 0,
INDEX(Data_metier!$H:$H,MATCH($A25,Data_metier!$B:$B,0))-INDEX(Data_metier!$H:$H,MATCH(M$1,Data_metier!$B:$B,0))&lt;=1),
1,
IF(INDEX(Data_metier!$H:$H,MATCH($A25,Data_metier!$B:$B,0))-INDEX(Data_metier!$H:$H,MATCH(M$1,Data_metier!$B:$B,0))&gt; 1,
2,
0)))</f>
        <v>-1</v>
      </c>
      <c r="N25">
        <f>IF(INDEX(Data_metier!$H:$H,MATCH($A25,Data_metier!$B:$B,0))-INDEX(Data_metier!$H:$H,MATCH(N$1,Data_metier!$B:$B,0))&lt; 0,-1,
IF(AND(INDEX(Data_metier!$H:$H,MATCH($A25,Data_metier!$B:$B,0))-INDEX(Data_metier!$H:$H,MATCH(N$1,Data_metier!$B:$B,0))&gt; 0,
INDEX(Data_metier!$H:$H,MATCH($A25,Data_metier!$B:$B,0))-INDEX(Data_metier!$H:$H,MATCH(N$1,Data_metier!$B:$B,0))&lt;=1),
1,
IF(INDEX(Data_metier!$H:$H,MATCH($A25,Data_metier!$B:$B,0))-INDEX(Data_metier!$H:$H,MATCH(N$1,Data_metier!$B:$B,0))&gt; 1,
2,
0)))</f>
        <v>-1</v>
      </c>
      <c r="O25">
        <f>IF(INDEX(Data_metier!$H:$H,MATCH($A25,Data_metier!$B:$B,0))-INDEX(Data_metier!$H:$H,MATCH(O$1,Data_metier!$B:$B,0))&lt; 0,-1,
IF(AND(INDEX(Data_metier!$H:$H,MATCH($A25,Data_metier!$B:$B,0))-INDEX(Data_metier!$H:$H,MATCH(O$1,Data_metier!$B:$B,0))&gt; 0,
INDEX(Data_metier!$H:$H,MATCH($A25,Data_metier!$B:$B,0))-INDEX(Data_metier!$H:$H,MATCH(O$1,Data_metier!$B:$B,0))&lt;=1),
1,
IF(INDEX(Data_metier!$H:$H,MATCH($A25,Data_metier!$B:$B,0))-INDEX(Data_metier!$H:$H,MATCH(O$1,Data_metier!$B:$B,0))&gt; 1,
2,
0)))</f>
        <v>0</v>
      </c>
      <c r="P25">
        <f>IF(INDEX(Data_metier!$H:$H,MATCH($A25,Data_metier!$B:$B,0))-INDEX(Data_metier!$H:$H,MATCH(P$1,Data_metier!$B:$B,0))&lt; 0,-1,
IF(AND(INDEX(Data_metier!$H:$H,MATCH($A25,Data_metier!$B:$B,0))-INDEX(Data_metier!$H:$H,MATCH(P$1,Data_metier!$B:$B,0))&gt; 0,
INDEX(Data_metier!$H:$H,MATCH($A25,Data_metier!$B:$B,0))-INDEX(Data_metier!$H:$H,MATCH(P$1,Data_metier!$B:$B,0))&lt;=1),
1,
IF(INDEX(Data_metier!$H:$H,MATCH($A25,Data_metier!$B:$B,0))-INDEX(Data_metier!$H:$H,MATCH(P$1,Data_metier!$B:$B,0))&gt; 1,
2,
0)))</f>
        <v>0</v>
      </c>
      <c r="Q25">
        <f>IF(INDEX(Data_metier!$H:$H,MATCH($A25,Data_metier!$B:$B,0))-INDEX(Data_metier!$H:$H,MATCH(Q$1,Data_metier!$B:$B,0))&lt; 0,-1,
IF(AND(INDEX(Data_metier!$H:$H,MATCH($A25,Data_metier!$B:$B,0))-INDEX(Data_metier!$H:$H,MATCH(Q$1,Data_metier!$B:$B,0))&gt; 0,
INDEX(Data_metier!$H:$H,MATCH($A25,Data_metier!$B:$B,0))-INDEX(Data_metier!$H:$H,MATCH(Q$1,Data_metier!$B:$B,0))&lt;=1),
1,
IF(INDEX(Data_metier!$H:$H,MATCH($A25,Data_metier!$B:$B,0))-INDEX(Data_metier!$H:$H,MATCH(Q$1,Data_metier!$B:$B,0))&gt; 1,
2,
0)))</f>
        <v>-1</v>
      </c>
      <c r="R25">
        <f>IF(INDEX(Data_metier!$H:$H,MATCH($A25,Data_metier!$B:$B,0))-INDEX(Data_metier!$H:$H,MATCH(R$1,Data_metier!$B:$B,0))&lt; 0,-1,
IF(AND(INDEX(Data_metier!$H:$H,MATCH($A25,Data_metier!$B:$B,0))-INDEX(Data_metier!$H:$H,MATCH(R$1,Data_metier!$B:$B,0))&gt; 0,
INDEX(Data_metier!$H:$H,MATCH($A25,Data_metier!$B:$B,0))-INDEX(Data_metier!$H:$H,MATCH(R$1,Data_metier!$B:$B,0))&lt;=1),
1,
IF(INDEX(Data_metier!$H:$H,MATCH($A25,Data_metier!$B:$B,0))-INDEX(Data_metier!$H:$H,MATCH(R$1,Data_metier!$B:$B,0))&gt; 1,
2,
0)))</f>
        <v>-1</v>
      </c>
      <c r="S25">
        <f>IF(INDEX(Data_metier!$H:$H,MATCH($A25,Data_metier!$B:$B,0))-INDEX(Data_metier!$H:$H,MATCH(S$1,Data_metier!$B:$B,0))&lt; 0,-1,
IF(AND(INDEX(Data_metier!$H:$H,MATCH($A25,Data_metier!$B:$B,0))-INDEX(Data_metier!$H:$H,MATCH(S$1,Data_metier!$B:$B,0))&gt; 0,
INDEX(Data_metier!$H:$H,MATCH($A25,Data_metier!$B:$B,0))-INDEX(Data_metier!$H:$H,MATCH(S$1,Data_metier!$B:$B,0))&lt;=1),
1,
IF(INDEX(Data_metier!$H:$H,MATCH($A25,Data_metier!$B:$B,0))-INDEX(Data_metier!$H:$H,MATCH(S$1,Data_metier!$B:$B,0))&gt; 1,
2,
0)))</f>
        <v>0</v>
      </c>
      <c r="T25">
        <f>IF(INDEX(Data_metier!$H:$H,MATCH($A25,Data_metier!$B:$B,0))-INDEX(Data_metier!$H:$H,MATCH(T$1,Data_metier!$B:$B,0))&lt; 0,-1,
IF(AND(INDEX(Data_metier!$H:$H,MATCH($A25,Data_metier!$B:$B,0))-INDEX(Data_metier!$H:$H,MATCH(T$1,Data_metier!$B:$B,0))&gt; 0,
INDEX(Data_metier!$H:$H,MATCH($A25,Data_metier!$B:$B,0))-INDEX(Data_metier!$H:$H,MATCH(T$1,Data_metier!$B:$B,0))&lt;=1),
1,
IF(INDEX(Data_metier!$H:$H,MATCH($A25,Data_metier!$B:$B,0))-INDEX(Data_metier!$H:$H,MATCH(T$1,Data_metier!$B:$B,0))&gt; 1,
2,
0)))</f>
        <v>0</v>
      </c>
      <c r="U25">
        <f>IF(INDEX(Data_metier!$H:$H,MATCH($A25,Data_metier!$B:$B,0))-INDEX(Data_metier!$H:$H,MATCH(U$1,Data_metier!$B:$B,0))&lt; 0,-1,
IF(AND(INDEX(Data_metier!$H:$H,MATCH($A25,Data_metier!$B:$B,0))-INDEX(Data_metier!$H:$H,MATCH(U$1,Data_metier!$B:$B,0))&gt; 0,
INDEX(Data_metier!$H:$H,MATCH($A25,Data_metier!$B:$B,0))-INDEX(Data_metier!$H:$H,MATCH(U$1,Data_metier!$B:$B,0))&lt;=1),
1,
IF(INDEX(Data_metier!$H:$H,MATCH($A25,Data_metier!$B:$B,0))-INDEX(Data_metier!$H:$H,MATCH(U$1,Data_metier!$B:$B,0))&gt; 1,
2,
0)))</f>
        <v>0</v>
      </c>
      <c r="V25">
        <f>IF(INDEX(Data_metier!$H:$H,MATCH($A25,Data_metier!$B:$B,0))-INDEX(Data_metier!$H:$H,MATCH(V$1,Data_metier!$B:$B,0))&lt; 0,-1,
IF(AND(INDEX(Data_metier!$H:$H,MATCH($A25,Data_metier!$B:$B,0))-INDEX(Data_metier!$H:$H,MATCH(V$1,Data_metier!$B:$B,0))&gt; 0,
INDEX(Data_metier!$H:$H,MATCH($A25,Data_metier!$B:$B,0))-INDEX(Data_metier!$H:$H,MATCH(V$1,Data_metier!$B:$B,0))&lt;=1),
1,
IF(INDEX(Data_metier!$H:$H,MATCH($A25,Data_metier!$B:$B,0))-INDEX(Data_metier!$H:$H,MATCH(V$1,Data_metier!$B:$B,0))&gt; 1,
2,
0)))</f>
        <v>-1</v>
      </c>
      <c r="W25">
        <f>IF(INDEX(Data_metier!$H:$H,MATCH($A25,Data_metier!$B:$B,0))-INDEX(Data_metier!$H:$H,MATCH(W$1,Data_metier!$B:$B,0))&lt; 0,-1,
IF(AND(INDEX(Data_metier!$H:$H,MATCH($A25,Data_metier!$B:$B,0))-INDEX(Data_metier!$H:$H,MATCH(W$1,Data_metier!$B:$B,0))&gt; 0,
INDEX(Data_metier!$H:$H,MATCH($A25,Data_metier!$B:$B,0))-INDEX(Data_metier!$H:$H,MATCH(W$1,Data_metier!$B:$B,0))&lt;=1),
1,
IF(INDEX(Data_metier!$H:$H,MATCH($A25,Data_metier!$B:$B,0))-INDEX(Data_metier!$H:$H,MATCH(W$1,Data_metier!$B:$B,0))&gt; 1,
2,
0)))</f>
        <v>-1</v>
      </c>
      <c r="X25">
        <f>IF(INDEX(Data_metier!$H:$H,MATCH($A25,Data_metier!$B:$B,0))-INDEX(Data_metier!$H:$H,MATCH(X$1,Data_metier!$B:$B,0))&lt; 0,-1,
IF(AND(INDEX(Data_metier!$H:$H,MATCH($A25,Data_metier!$B:$B,0))-INDEX(Data_metier!$H:$H,MATCH(X$1,Data_metier!$B:$B,0))&gt; 0,
INDEX(Data_metier!$H:$H,MATCH($A25,Data_metier!$B:$B,0))-INDEX(Data_metier!$H:$H,MATCH(X$1,Data_metier!$B:$B,0))&lt;=1),
1,
IF(INDEX(Data_metier!$H:$H,MATCH($A25,Data_metier!$B:$B,0))-INDEX(Data_metier!$H:$H,MATCH(X$1,Data_metier!$B:$B,0))&gt; 1,
2,
0)))</f>
        <v>-1</v>
      </c>
      <c r="Y25">
        <f>IF(INDEX(Data_metier!$H:$H,MATCH($A25,Data_metier!$B:$B,0))-INDEX(Data_metier!$H:$H,MATCH(Y$1,Data_metier!$B:$B,0))&lt; 0,-1,
IF(AND(INDEX(Data_metier!$H:$H,MATCH($A25,Data_metier!$B:$B,0))-INDEX(Data_metier!$H:$H,MATCH(Y$1,Data_metier!$B:$B,0))&gt; 0,
INDEX(Data_metier!$H:$H,MATCH($A25,Data_metier!$B:$B,0))-INDEX(Data_metier!$H:$H,MATCH(Y$1,Data_metier!$B:$B,0))&lt;=1),
1,
IF(INDEX(Data_metier!$H:$H,MATCH($A25,Data_metier!$B:$B,0))-INDEX(Data_metier!$H:$H,MATCH(Y$1,Data_metier!$B:$B,0))&gt; 1,
2,
0)))</f>
        <v>0</v>
      </c>
      <c r="Z25">
        <f>IF(INDEX(Data_metier!$H:$H,MATCH($A25,Data_metier!$B:$B,0))-INDEX(Data_metier!$H:$H,MATCH(Z$1,Data_metier!$B:$B,0))&lt; 0,-1,
IF(AND(INDEX(Data_metier!$H:$H,MATCH($A25,Data_metier!$B:$B,0))-INDEX(Data_metier!$H:$H,MATCH(Z$1,Data_metier!$B:$B,0))&gt; 0,
INDEX(Data_metier!$H:$H,MATCH($A25,Data_metier!$B:$B,0))-INDEX(Data_metier!$H:$H,MATCH(Z$1,Data_metier!$B:$B,0))&lt;=1),
1,
IF(INDEX(Data_metier!$H:$H,MATCH($A25,Data_metier!$B:$B,0))-INDEX(Data_metier!$H:$H,MATCH(Z$1,Data_metier!$B:$B,0))&gt; 1,
2,
0)))</f>
        <v>0</v>
      </c>
      <c r="AA25">
        <f>IF(INDEX(Data_metier!$H:$H,MATCH($A25,Data_metier!$B:$B,0))-INDEX(Data_metier!$H:$H,MATCH(AA$1,Data_metier!$B:$B,0))&lt; 0,-1,
IF(AND(INDEX(Data_metier!$H:$H,MATCH($A25,Data_metier!$B:$B,0))-INDEX(Data_metier!$H:$H,MATCH(AA$1,Data_metier!$B:$B,0))&gt; 0,
INDEX(Data_metier!$H:$H,MATCH($A25,Data_metier!$B:$B,0))-INDEX(Data_metier!$H:$H,MATCH(AA$1,Data_metier!$B:$B,0))&lt;=1),
1,
IF(INDEX(Data_metier!$H:$H,MATCH($A25,Data_metier!$B:$B,0))-INDEX(Data_metier!$H:$H,MATCH(AA$1,Data_metier!$B:$B,0))&gt; 1,
2,
0)))</f>
        <v>0</v>
      </c>
      <c r="AB25">
        <f>IF(INDEX(Data_metier!$H:$H,MATCH($A25,Data_metier!$B:$B,0))-INDEX(Data_metier!$H:$H,MATCH(AB$1,Data_metier!$B:$B,0))&lt; 0,-1,
IF(AND(INDEX(Data_metier!$H:$H,MATCH($A25,Data_metier!$B:$B,0))-INDEX(Data_metier!$H:$H,MATCH(AB$1,Data_metier!$B:$B,0))&gt; 0,
INDEX(Data_metier!$H:$H,MATCH($A25,Data_metier!$B:$B,0))-INDEX(Data_metier!$H:$H,MATCH(AB$1,Data_metier!$B:$B,0))&lt;=1),
1,
IF(INDEX(Data_metier!$H:$H,MATCH($A25,Data_metier!$B:$B,0))-INDEX(Data_metier!$H:$H,MATCH(AB$1,Data_metier!$B:$B,0))&gt; 1,
2,
0)))</f>
        <v>-1</v>
      </c>
      <c r="AC25">
        <f>IF(INDEX(Data_metier!$H:$H,MATCH($A25,Data_metier!$B:$B,0))-INDEX(Data_metier!$H:$H,MATCH(AC$1,Data_metier!$B:$B,0))&lt; 0,-1,
IF(AND(INDEX(Data_metier!$H:$H,MATCH($A25,Data_metier!$B:$B,0))-INDEX(Data_metier!$H:$H,MATCH(AC$1,Data_metier!$B:$B,0))&gt; 0,
INDEX(Data_metier!$H:$H,MATCH($A25,Data_metier!$B:$B,0))-INDEX(Data_metier!$H:$H,MATCH(AC$1,Data_metier!$B:$B,0))&lt;=1),
1,
IF(INDEX(Data_metier!$H:$H,MATCH($A25,Data_metier!$B:$B,0))-INDEX(Data_metier!$H:$H,MATCH(AC$1,Data_metier!$B:$B,0))&gt; 1,
2,
0)))</f>
        <v>-1</v>
      </c>
      <c r="AD25">
        <f>IF(INDEX(Data_metier!$H:$H,MATCH($A25,Data_metier!$B:$B,0))-INDEX(Data_metier!$H:$H,MATCH(AD$1,Data_metier!$B:$B,0))&lt; 0,-1,
IF(AND(INDEX(Data_metier!$H:$H,MATCH($A25,Data_metier!$B:$B,0))-INDEX(Data_metier!$H:$H,MATCH(AD$1,Data_metier!$B:$B,0))&gt; 0,
INDEX(Data_metier!$H:$H,MATCH($A25,Data_metier!$B:$B,0))-INDEX(Data_metier!$H:$H,MATCH(AD$1,Data_metier!$B:$B,0))&lt;=1),
1,
IF(INDEX(Data_metier!$H:$H,MATCH($A25,Data_metier!$B:$B,0))-INDEX(Data_metier!$H:$H,MATCH(AD$1,Data_metier!$B:$B,0))&gt; 1,
2,
0)))</f>
        <v>-1</v>
      </c>
    </row>
    <row r="26" spans="1:30">
      <c r="A26" t="str">
        <v>Fromager(ère) industriel(le)</v>
      </c>
      <c r="B26">
        <f>IF(INDEX(Data_metier!$H:$H,MATCH($A26,Data_metier!$B:$B,0))-INDEX(Data_metier!$H:$H,MATCH(B$1,Data_metier!$B:$B,0))&lt; 0,-1,
IF(AND(INDEX(Data_metier!$H:$H,MATCH($A26,Data_metier!$B:$B,0))-INDEX(Data_metier!$H:$H,MATCH(B$1,Data_metier!$B:$B,0))&gt; 0,
INDEX(Data_metier!$H:$H,MATCH($A26,Data_metier!$B:$B,0))-INDEX(Data_metier!$H:$H,MATCH(B$1,Data_metier!$B:$B,0))&lt;=1),
1,
IF(INDEX(Data_metier!$H:$H,MATCH($A26,Data_metier!$B:$B,0))-INDEX(Data_metier!$H:$H,MATCH(B$1,Data_metier!$B:$B,0))&gt; 1,
2,
0)))</f>
        <v>-1</v>
      </c>
      <c r="C26">
        <f>IF(INDEX(Data_metier!$H:$H,MATCH($A26,Data_metier!$B:$B,0))-INDEX(Data_metier!$H:$H,MATCH(C$1,Data_metier!$B:$B,0))&lt; 0,-1,
IF(AND(INDEX(Data_metier!$H:$H,MATCH($A26,Data_metier!$B:$B,0))-INDEX(Data_metier!$H:$H,MATCH(C$1,Data_metier!$B:$B,0))&gt; 0,
INDEX(Data_metier!$H:$H,MATCH($A26,Data_metier!$B:$B,0))-INDEX(Data_metier!$H:$H,MATCH(C$1,Data_metier!$B:$B,0))&lt;=1),
1,
IF(INDEX(Data_metier!$H:$H,MATCH($A26,Data_metier!$B:$B,0))-INDEX(Data_metier!$H:$H,MATCH(C$1,Data_metier!$B:$B,0))&gt; 1,
2,
0)))</f>
        <v>-1</v>
      </c>
      <c r="D26">
        <f>IF(INDEX(Data_metier!$H:$H,MATCH($A26,Data_metier!$B:$B,0))-INDEX(Data_metier!$H:$H,MATCH(D$1,Data_metier!$B:$B,0))&lt; 0,-1,
IF(AND(INDEX(Data_metier!$H:$H,MATCH($A26,Data_metier!$B:$B,0))-INDEX(Data_metier!$H:$H,MATCH(D$1,Data_metier!$B:$B,0))&gt; 0,
INDEX(Data_metier!$H:$H,MATCH($A26,Data_metier!$B:$B,0))-INDEX(Data_metier!$H:$H,MATCH(D$1,Data_metier!$B:$B,0))&lt;=1),
1,
IF(INDEX(Data_metier!$H:$H,MATCH($A26,Data_metier!$B:$B,0))-INDEX(Data_metier!$H:$H,MATCH(D$1,Data_metier!$B:$B,0))&gt; 1,
2,
0)))</f>
        <v>0</v>
      </c>
      <c r="E26">
        <f>IF(INDEX(Data_metier!$H:$H,MATCH($A26,Data_metier!$B:$B,0))-INDEX(Data_metier!$H:$H,MATCH(E$1,Data_metier!$B:$B,0))&lt; 0,-1,
IF(AND(INDEX(Data_metier!$H:$H,MATCH($A26,Data_metier!$B:$B,0))-INDEX(Data_metier!$H:$H,MATCH(E$1,Data_metier!$B:$B,0))&gt; 0,
INDEX(Data_metier!$H:$H,MATCH($A26,Data_metier!$B:$B,0))-INDEX(Data_metier!$H:$H,MATCH(E$1,Data_metier!$B:$B,0))&lt;=1),
1,
IF(INDEX(Data_metier!$H:$H,MATCH($A26,Data_metier!$B:$B,0))-INDEX(Data_metier!$H:$H,MATCH(E$1,Data_metier!$B:$B,0))&gt; 1,
2,
0)))</f>
        <v>-1</v>
      </c>
      <c r="F26">
        <f>IF(INDEX(Data_metier!$H:$H,MATCH($A26,Data_metier!$B:$B,0))-INDEX(Data_metier!$H:$H,MATCH(F$1,Data_metier!$B:$B,0))&lt; 0,-1,
IF(AND(INDEX(Data_metier!$H:$H,MATCH($A26,Data_metier!$B:$B,0))-INDEX(Data_metier!$H:$H,MATCH(F$1,Data_metier!$B:$B,0))&gt; 0,
INDEX(Data_metier!$H:$H,MATCH($A26,Data_metier!$B:$B,0))-INDEX(Data_metier!$H:$H,MATCH(F$1,Data_metier!$B:$B,0))&lt;=1),
1,
IF(INDEX(Data_metier!$H:$H,MATCH($A26,Data_metier!$B:$B,0))-INDEX(Data_metier!$H:$H,MATCH(F$1,Data_metier!$B:$B,0))&gt; 1,
2,
0)))</f>
        <v>-1</v>
      </c>
      <c r="G26">
        <f>IF(INDEX(Data_metier!$H:$H,MATCH($A26,Data_metier!$B:$B,0))-INDEX(Data_metier!$H:$H,MATCH(G$1,Data_metier!$B:$B,0))&lt; 0,-1,
IF(AND(INDEX(Data_metier!$H:$H,MATCH($A26,Data_metier!$B:$B,0))-INDEX(Data_metier!$H:$H,MATCH(G$1,Data_metier!$B:$B,0))&gt; 0,
INDEX(Data_metier!$H:$H,MATCH($A26,Data_metier!$B:$B,0))-INDEX(Data_metier!$H:$H,MATCH(G$1,Data_metier!$B:$B,0))&lt;=1),
1,
IF(INDEX(Data_metier!$H:$H,MATCH($A26,Data_metier!$B:$B,0))-INDEX(Data_metier!$H:$H,MATCH(G$1,Data_metier!$B:$B,0))&gt; 1,
2,
0)))</f>
        <v>-1</v>
      </c>
      <c r="H26">
        <f>IF(INDEX(Data_metier!$H:$H,MATCH($A26,Data_metier!$B:$B,0))-INDEX(Data_metier!$H:$H,MATCH(H$1,Data_metier!$B:$B,0))&lt; 0,-1,
IF(AND(INDEX(Data_metier!$H:$H,MATCH($A26,Data_metier!$B:$B,0))-INDEX(Data_metier!$H:$H,MATCH(H$1,Data_metier!$B:$B,0))&gt; 0,
INDEX(Data_metier!$H:$H,MATCH($A26,Data_metier!$B:$B,0))-INDEX(Data_metier!$H:$H,MATCH(H$1,Data_metier!$B:$B,0))&lt;=1),
1,
IF(INDEX(Data_metier!$H:$H,MATCH($A26,Data_metier!$B:$B,0))-INDEX(Data_metier!$H:$H,MATCH(H$1,Data_metier!$B:$B,0))&gt; 1,
2,
0)))</f>
        <v>-1</v>
      </c>
      <c r="I26">
        <f>IF(INDEX(Data_metier!$H:$H,MATCH($A26,Data_metier!$B:$B,0))-INDEX(Data_metier!$H:$H,MATCH(I$1,Data_metier!$B:$B,0))&lt; 0,-1,
IF(AND(INDEX(Data_metier!$H:$H,MATCH($A26,Data_metier!$B:$B,0))-INDEX(Data_metier!$H:$H,MATCH(I$1,Data_metier!$B:$B,0))&gt; 0,
INDEX(Data_metier!$H:$H,MATCH($A26,Data_metier!$B:$B,0))-INDEX(Data_metier!$H:$H,MATCH(I$1,Data_metier!$B:$B,0))&lt;=1),
1,
IF(INDEX(Data_metier!$H:$H,MATCH($A26,Data_metier!$B:$B,0))-INDEX(Data_metier!$H:$H,MATCH(I$1,Data_metier!$B:$B,0))&gt; 1,
2,
0)))</f>
        <v>0</v>
      </c>
      <c r="J26">
        <f>IF(INDEX(Data_metier!$H:$H,MATCH($A26,Data_metier!$B:$B,0))-INDEX(Data_metier!$H:$H,MATCH(J$1,Data_metier!$B:$B,0))&lt; 0,-1,
IF(AND(INDEX(Data_metier!$H:$H,MATCH($A26,Data_metier!$B:$B,0))-INDEX(Data_metier!$H:$H,MATCH(J$1,Data_metier!$B:$B,0))&gt; 0,
INDEX(Data_metier!$H:$H,MATCH($A26,Data_metier!$B:$B,0))-INDEX(Data_metier!$H:$H,MATCH(J$1,Data_metier!$B:$B,0))&lt;=1),
1,
IF(INDEX(Data_metier!$H:$H,MATCH($A26,Data_metier!$B:$B,0))-INDEX(Data_metier!$H:$H,MATCH(J$1,Data_metier!$B:$B,0))&gt; 1,
2,
0)))</f>
        <v>-1</v>
      </c>
      <c r="K26">
        <f>IF(INDEX(Data_metier!$H:$H,MATCH($A26,Data_metier!$B:$B,0))-INDEX(Data_metier!$H:$H,MATCH(K$1,Data_metier!$B:$B,0))&lt; 0,-1,
IF(AND(INDEX(Data_metier!$H:$H,MATCH($A26,Data_metier!$B:$B,0))-INDEX(Data_metier!$H:$H,MATCH(K$1,Data_metier!$B:$B,0))&gt; 0,
INDEX(Data_metier!$H:$H,MATCH($A26,Data_metier!$B:$B,0))-INDEX(Data_metier!$H:$H,MATCH(K$1,Data_metier!$B:$B,0))&lt;=1),
1,
IF(INDEX(Data_metier!$H:$H,MATCH($A26,Data_metier!$B:$B,0))-INDEX(Data_metier!$H:$H,MATCH(K$1,Data_metier!$B:$B,0))&gt; 1,
2,
0)))</f>
        <v>-1</v>
      </c>
      <c r="L26">
        <f>IF(INDEX(Data_metier!$H:$H,MATCH($A26,Data_metier!$B:$B,0))-INDEX(Data_metier!$H:$H,MATCH(L$1,Data_metier!$B:$B,0))&lt; 0,-1,
IF(AND(INDEX(Data_metier!$H:$H,MATCH($A26,Data_metier!$B:$B,0))-INDEX(Data_metier!$H:$H,MATCH(L$1,Data_metier!$B:$B,0))&gt; 0,
INDEX(Data_metier!$H:$H,MATCH($A26,Data_metier!$B:$B,0))-INDEX(Data_metier!$H:$H,MATCH(L$1,Data_metier!$B:$B,0))&lt;=1),
1,
IF(INDEX(Data_metier!$H:$H,MATCH($A26,Data_metier!$B:$B,0))-INDEX(Data_metier!$H:$H,MATCH(L$1,Data_metier!$B:$B,0))&gt; 1,
2,
0)))</f>
        <v>0</v>
      </c>
      <c r="M26">
        <f>IF(INDEX(Data_metier!$H:$H,MATCH($A26,Data_metier!$B:$B,0))-INDEX(Data_metier!$H:$H,MATCH(M$1,Data_metier!$B:$B,0))&lt; 0,-1,
IF(AND(INDEX(Data_metier!$H:$H,MATCH($A26,Data_metier!$B:$B,0))-INDEX(Data_metier!$H:$H,MATCH(M$1,Data_metier!$B:$B,0))&gt; 0,
INDEX(Data_metier!$H:$H,MATCH($A26,Data_metier!$B:$B,0))-INDEX(Data_metier!$H:$H,MATCH(M$1,Data_metier!$B:$B,0))&lt;=1),
1,
IF(INDEX(Data_metier!$H:$H,MATCH($A26,Data_metier!$B:$B,0))-INDEX(Data_metier!$H:$H,MATCH(M$1,Data_metier!$B:$B,0))&gt; 1,
2,
0)))</f>
        <v>-1</v>
      </c>
      <c r="N26">
        <f>IF(INDEX(Data_metier!$H:$H,MATCH($A26,Data_metier!$B:$B,0))-INDEX(Data_metier!$H:$H,MATCH(N$1,Data_metier!$B:$B,0))&lt; 0,-1,
IF(AND(INDEX(Data_metier!$H:$H,MATCH($A26,Data_metier!$B:$B,0))-INDEX(Data_metier!$H:$H,MATCH(N$1,Data_metier!$B:$B,0))&gt; 0,
INDEX(Data_metier!$H:$H,MATCH($A26,Data_metier!$B:$B,0))-INDEX(Data_metier!$H:$H,MATCH(N$1,Data_metier!$B:$B,0))&lt;=1),
1,
IF(INDEX(Data_metier!$H:$H,MATCH($A26,Data_metier!$B:$B,0))-INDEX(Data_metier!$H:$H,MATCH(N$1,Data_metier!$B:$B,0))&gt; 1,
2,
0)))</f>
        <v>-1</v>
      </c>
      <c r="O26">
        <f>IF(INDEX(Data_metier!$H:$H,MATCH($A26,Data_metier!$B:$B,0))-INDEX(Data_metier!$H:$H,MATCH(O$1,Data_metier!$B:$B,0))&lt; 0,-1,
IF(AND(INDEX(Data_metier!$H:$H,MATCH($A26,Data_metier!$B:$B,0))-INDEX(Data_metier!$H:$H,MATCH(O$1,Data_metier!$B:$B,0))&gt; 0,
INDEX(Data_metier!$H:$H,MATCH($A26,Data_metier!$B:$B,0))-INDEX(Data_metier!$H:$H,MATCH(O$1,Data_metier!$B:$B,0))&lt;=1),
1,
IF(INDEX(Data_metier!$H:$H,MATCH($A26,Data_metier!$B:$B,0))-INDEX(Data_metier!$H:$H,MATCH(O$1,Data_metier!$B:$B,0))&gt; 1,
2,
0)))</f>
        <v>0</v>
      </c>
      <c r="P26">
        <f>IF(INDEX(Data_metier!$H:$H,MATCH($A26,Data_metier!$B:$B,0))-INDEX(Data_metier!$H:$H,MATCH(P$1,Data_metier!$B:$B,0))&lt; 0,-1,
IF(AND(INDEX(Data_metier!$H:$H,MATCH($A26,Data_metier!$B:$B,0))-INDEX(Data_metier!$H:$H,MATCH(P$1,Data_metier!$B:$B,0))&gt; 0,
INDEX(Data_metier!$H:$H,MATCH($A26,Data_metier!$B:$B,0))-INDEX(Data_metier!$H:$H,MATCH(P$1,Data_metier!$B:$B,0))&lt;=1),
1,
IF(INDEX(Data_metier!$H:$H,MATCH($A26,Data_metier!$B:$B,0))-INDEX(Data_metier!$H:$H,MATCH(P$1,Data_metier!$B:$B,0))&gt; 1,
2,
0)))</f>
        <v>0</v>
      </c>
      <c r="Q26">
        <f>IF(INDEX(Data_metier!$H:$H,MATCH($A26,Data_metier!$B:$B,0))-INDEX(Data_metier!$H:$H,MATCH(Q$1,Data_metier!$B:$B,0))&lt; 0,-1,
IF(AND(INDEX(Data_metier!$H:$H,MATCH($A26,Data_metier!$B:$B,0))-INDEX(Data_metier!$H:$H,MATCH(Q$1,Data_metier!$B:$B,0))&gt; 0,
INDEX(Data_metier!$H:$H,MATCH($A26,Data_metier!$B:$B,0))-INDEX(Data_metier!$H:$H,MATCH(Q$1,Data_metier!$B:$B,0))&lt;=1),
1,
IF(INDEX(Data_metier!$H:$H,MATCH($A26,Data_metier!$B:$B,0))-INDEX(Data_metier!$H:$H,MATCH(Q$1,Data_metier!$B:$B,0))&gt; 1,
2,
0)))</f>
        <v>-1</v>
      </c>
      <c r="R26">
        <f>IF(INDEX(Data_metier!$H:$H,MATCH($A26,Data_metier!$B:$B,0))-INDEX(Data_metier!$H:$H,MATCH(R$1,Data_metier!$B:$B,0))&lt; 0,-1,
IF(AND(INDEX(Data_metier!$H:$H,MATCH($A26,Data_metier!$B:$B,0))-INDEX(Data_metier!$H:$H,MATCH(R$1,Data_metier!$B:$B,0))&gt; 0,
INDEX(Data_metier!$H:$H,MATCH($A26,Data_metier!$B:$B,0))-INDEX(Data_metier!$H:$H,MATCH(R$1,Data_metier!$B:$B,0))&lt;=1),
1,
IF(INDEX(Data_metier!$H:$H,MATCH($A26,Data_metier!$B:$B,0))-INDEX(Data_metier!$H:$H,MATCH(R$1,Data_metier!$B:$B,0))&gt; 1,
2,
0)))</f>
        <v>-1</v>
      </c>
      <c r="S26">
        <f>IF(INDEX(Data_metier!$H:$H,MATCH($A26,Data_metier!$B:$B,0))-INDEX(Data_metier!$H:$H,MATCH(S$1,Data_metier!$B:$B,0))&lt; 0,-1,
IF(AND(INDEX(Data_metier!$H:$H,MATCH($A26,Data_metier!$B:$B,0))-INDEX(Data_metier!$H:$H,MATCH(S$1,Data_metier!$B:$B,0))&gt; 0,
INDEX(Data_metier!$H:$H,MATCH($A26,Data_metier!$B:$B,0))-INDEX(Data_metier!$H:$H,MATCH(S$1,Data_metier!$B:$B,0))&lt;=1),
1,
IF(INDEX(Data_metier!$H:$H,MATCH($A26,Data_metier!$B:$B,0))-INDEX(Data_metier!$H:$H,MATCH(S$1,Data_metier!$B:$B,0))&gt; 1,
2,
0)))</f>
        <v>0</v>
      </c>
      <c r="T26">
        <f>IF(INDEX(Data_metier!$H:$H,MATCH($A26,Data_metier!$B:$B,0))-INDEX(Data_metier!$H:$H,MATCH(T$1,Data_metier!$B:$B,0))&lt; 0,-1,
IF(AND(INDEX(Data_metier!$H:$H,MATCH($A26,Data_metier!$B:$B,0))-INDEX(Data_metier!$H:$H,MATCH(T$1,Data_metier!$B:$B,0))&gt; 0,
INDEX(Data_metier!$H:$H,MATCH($A26,Data_metier!$B:$B,0))-INDEX(Data_metier!$H:$H,MATCH(T$1,Data_metier!$B:$B,0))&lt;=1),
1,
IF(INDEX(Data_metier!$H:$H,MATCH($A26,Data_metier!$B:$B,0))-INDEX(Data_metier!$H:$H,MATCH(T$1,Data_metier!$B:$B,0))&gt; 1,
2,
0)))</f>
        <v>0</v>
      </c>
      <c r="U26">
        <f>IF(INDEX(Data_metier!$H:$H,MATCH($A26,Data_metier!$B:$B,0))-INDEX(Data_metier!$H:$H,MATCH(U$1,Data_metier!$B:$B,0))&lt; 0,-1,
IF(AND(INDEX(Data_metier!$H:$H,MATCH($A26,Data_metier!$B:$B,0))-INDEX(Data_metier!$H:$H,MATCH(U$1,Data_metier!$B:$B,0))&gt; 0,
INDEX(Data_metier!$H:$H,MATCH($A26,Data_metier!$B:$B,0))-INDEX(Data_metier!$H:$H,MATCH(U$1,Data_metier!$B:$B,0))&lt;=1),
1,
IF(INDEX(Data_metier!$H:$H,MATCH($A26,Data_metier!$B:$B,0))-INDEX(Data_metier!$H:$H,MATCH(U$1,Data_metier!$B:$B,0))&gt; 1,
2,
0)))</f>
        <v>0</v>
      </c>
      <c r="V26">
        <f>IF(INDEX(Data_metier!$H:$H,MATCH($A26,Data_metier!$B:$B,0))-INDEX(Data_metier!$H:$H,MATCH(V$1,Data_metier!$B:$B,0))&lt; 0,-1,
IF(AND(INDEX(Data_metier!$H:$H,MATCH($A26,Data_metier!$B:$B,0))-INDEX(Data_metier!$H:$H,MATCH(V$1,Data_metier!$B:$B,0))&gt; 0,
INDEX(Data_metier!$H:$H,MATCH($A26,Data_metier!$B:$B,0))-INDEX(Data_metier!$H:$H,MATCH(V$1,Data_metier!$B:$B,0))&lt;=1),
1,
IF(INDEX(Data_metier!$H:$H,MATCH($A26,Data_metier!$B:$B,0))-INDEX(Data_metier!$H:$H,MATCH(V$1,Data_metier!$B:$B,0))&gt; 1,
2,
0)))</f>
        <v>-1</v>
      </c>
      <c r="W26">
        <f>IF(INDEX(Data_metier!$H:$H,MATCH($A26,Data_metier!$B:$B,0))-INDEX(Data_metier!$H:$H,MATCH(W$1,Data_metier!$B:$B,0))&lt; 0,-1,
IF(AND(INDEX(Data_metier!$H:$H,MATCH($A26,Data_metier!$B:$B,0))-INDEX(Data_metier!$H:$H,MATCH(W$1,Data_metier!$B:$B,0))&gt; 0,
INDEX(Data_metier!$H:$H,MATCH($A26,Data_metier!$B:$B,0))-INDEX(Data_metier!$H:$H,MATCH(W$1,Data_metier!$B:$B,0))&lt;=1),
1,
IF(INDEX(Data_metier!$H:$H,MATCH($A26,Data_metier!$B:$B,0))-INDEX(Data_metier!$H:$H,MATCH(W$1,Data_metier!$B:$B,0))&gt; 1,
2,
0)))</f>
        <v>-1</v>
      </c>
      <c r="X26">
        <f>IF(INDEX(Data_metier!$H:$H,MATCH($A26,Data_metier!$B:$B,0))-INDEX(Data_metier!$H:$H,MATCH(X$1,Data_metier!$B:$B,0))&lt; 0,-1,
IF(AND(INDEX(Data_metier!$H:$H,MATCH($A26,Data_metier!$B:$B,0))-INDEX(Data_metier!$H:$H,MATCH(X$1,Data_metier!$B:$B,0))&gt; 0,
INDEX(Data_metier!$H:$H,MATCH($A26,Data_metier!$B:$B,0))-INDEX(Data_metier!$H:$H,MATCH(X$1,Data_metier!$B:$B,0))&lt;=1),
1,
IF(INDEX(Data_metier!$H:$H,MATCH($A26,Data_metier!$B:$B,0))-INDEX(Data_metier!$H:$H,MATCH(X$1,Data_metier!$B:$B,0))&gt; 1,
2,
0)))</f>
        <v>-1</v>
      </c>
      <c r="Y26">
        <f>IF(INDEX(Data_metier!$H:$H,MATCH($A26,Data_metier!$B:$B,0))-INDEX(Data_metier!$H:$H,MATCH(Y$1,Data_metier!$B:$B,0))&lt; 0,-1,
IF(AND(INDEX(Data_metier!$H:$H,MATCH($A26,Data_metier!$B:$B,0))-INDEX(Data_metier!$H:$H,MATCH(Y$1,Data_metier!$B:$B,0))&gt; 0,
INDEX(Data_metier!$H:$H,MATCH($A26,Data_metier!$B:$B,0))-INDEX(Data_metier!$H:$H,MATCH(Y$1,Data_metier!$B:$B,0))&lt;=1),
1,
IF(INDEX(Data_metier!$H:$H,MATCH($A26,Data_metier!$B:$B,0))-INDEX(Data_metier!$H:$H,MATCH(Y$1,Data_metier!$B:$B,0))&gt; 1,
2,
0)))</f>
        <v>0</v>
      </c>
      <c r="Z26">
        <f>IF(INDEX(Data_metier!$H:$H,MATCH($A26,Data_metier!$B:$B,0))-INDEX(Data_metier!$H:$H,MATCH(Z$1,Data_metier!$B:$B,0))&lt; 0,-1,
IF(AND(INDEX(Data_metier!$H:$H,MATCH($A26,Data_metier!$B:$B,0))-INDEX(Data_metier!$H:$H,MATCH(Z$1,Data_metier!$B:$B,0))&gt; 0,
INDEX(Data_metier!$H:$H,MATCH($A26,Data_metier!$B:$B,0))-INDEX(Data_metier!$H:$H,MATCH(Z$1,Data_metier!$B:$B,0))&lt;=1),
1,
IF(INDEX(Data_metier!$H:$H,MATCH($A26,Data_metier!$B:$B,0))-INDEX(Data_metier!$H:$H,MATCH(Z$1,Data_metier!$B:$B,0))&gt; 1,
2,
0)))</f>
        <v>0</v>
      </c>
      <c r="AA26">
        <f>IF(INDEX(Data_metier!$H:$H,MATCH($A26,Data_metier!$B:$B,0))-INDEX(Data_metier!$H:$H,MATCH(AA$1,Data_metier!$B:$B,0))&lt; 0,-1,
IF(AND(INDEX(Data_metier!$H:$H,MATCH($A26,Data_metier!$B:$B,0))-INDEX(Data_metier!$H:$H,MATCH(AA$1,Data_metier!$B:$B,0))&gt; 0,
INDEX(Data_metier!$H:$H,MATCH($A26,Data_metier!$B:$B,0))-INDEX(Data_metier!$H:$H,MATCH(AA$1,Data_metier!$B:$B,0))&lt;=1),
1,
IF(INDEX(Data_metier!$H:$H,MATCH($A26,Data_metier!$B:$B,0))-INDEX(Data_metier!$H:$H,MATCH(AA$1,Data_metier!$B:$B,0))&gt; 1,
2,
0)))</f>
        <v>0</v>
      </c>
      <c r="AB26">
        <f>IF(INDEX(Data_metier!$H:$H,MATCH($A26,Data_metier!$B:$B,0))-INDEX(Data_metier!$H:$H,MATCH(AB$1,Data_metier!$B:$B,0))&lt; 0,-1,
IF(AND(INDEX(Data_metier!$H:$H,MATCH($A26,Data_metier!$B:$B,0))-INDEX(Data_metier!$H:$H,MATCH(AB$1,Data_metier!$B:$B,0))&gt; 0,
INDEX(Data_metier!$H:$H,MATCH($A26,Data_metier!$B:$B,0))-INDEX(Data_metier!$H:$H,MATCH(AB$1,Data_metier!$B:$B,0))&lt;=1),
1,
IF(INDEX(Data_metier!$H:$H,MATCH($A26,Data_metier!$B:$B,0))-INDEX(Data_metier!$H:$H,MATCH(AB$1,Data_metier!$B:$B,0))&gt; 1,
2,
0)))</f>
        <v>-1</v>
      </c>
      <c r="AC26">
        <f>IF(INDEX(Data_metier!$H:$H,MATCH($A26,Data_metier!$B:$B,0))-INDEX(Data_metier!$H:$H,MATCH(AC$1,Data_metier!$B:$B,0))&lt; 0,-1,
IF(AND(INDEX(Data_metier!$H:$H,MATCH($A26,Data_metier!$B:$B,0))-INDEX(Data_metier!$H:$H,MATCH(AC$1,Data_metier!$B:$B,0))&gt; 0,
INDEX(Data_metier!$H:$H,MATCH($A26,Data_metier!$B:$B,0))-INDEX(Data_metier!$H:$H,MATCH(AC$1,Data_metier!$B:$B,0))&lt;=1),
1,
IF(INDEX(Data_metier!$H:$H,MATCH($A26,Data_metier!$B:$B,0))-INDEX(Data_metier!$H:$H,MATCH(AC$1,Data_metier!$B:$B,0))&gt; 1,
2,
0)))</f>
        <v>-1</v>
      </c>
      <c r="AD26">
        <f>IF(INDEX(Data_metier!$H:$H,MATCH($A26,Data_metier!$B:$B,0))-INDEX(Data_metier!$H:$H,MATCH(AD$1,Data_metier!$B:$B,0))&lt; 0,-1,
IF(AND(INDEX(Data_metier!$H:$H,MATCH($A26,Data_metier!$B:$B,0))-INDEX(Data_metier!$H:$H,MATCH(AD$1,Data_metier!$B:$B,0))&gt; 0,
INDEX(Data_metier!$H:$H,MATCH($A26,Data_metier!$B:$B,0))-INDEX(Data_metier!$H:$H,MATCH(AD$1,Data_metier!$B:$B,0))&lt;=1),
1,
IF(INDEX(Data_metier!$H:$H,MATCH($A26,Data_metier!$B:$B,0))-INDEX(Data_metier!$H:$H,MATCH(AD$1,Data_metier!$B:$B,0))&gt; 1,
2,
0)))</f>
        <v>-1</v>
      </c>
    </row>
    <row r="27" spans="1:30">
      <c r="A27" t="str">
        <v>Opérateur(trice) de préparation de poissons et de produits de la mer</v>
      </c>
      <c r="B27">
        <f>IF(INDEX(Data_metier!$H:$H,MATCH($A27,Data_metier!$B:$B,0))-INDEX(Data_metier!$H:$H,MATCH(B$1,Data_metier!$B:$B,0))&lt; 0,-1,
IF(AND(INDEX(Data_metier!$H:$H,MATCH($A27,Data_metier!$B:$B,0))-INDEX(Data_metier!$H:$H,MATCH(B$1,Data_metier!$B:$B,0))&gt; 0,
INDEX(Data_metier!$H:$H,MATCH($A27,Data_metier!$B:$B,0))-INDEX(Data_metier!$H:$H,MATCH(B$1,Data_metier!$B:$B,0))&lt;=1),
1,
IF(INDEX(Data_metier!$H:$H,MATCH($A27,Data_metier!$B:$B,0))-INDEX(Data_metier!$H:$H,MATCH(B$1,Data_metier!$B:$B,0))&gt; 1,
2,
0)))</f>
        <v>-1</v>
      </c>
      <c r="C27">
        <f>IF(INDEX(Data_metier!$H:$H,MATCH($A27,Data_metier!$B:$B,0))-INDEX(Data_metier!$H:$H,MATCH(C$1,Data_metier!$B:$B,0))&lt; 0,-1,
IF(AND(INDEX(Data_metier!$H:$H,MATCH($A27,Data_metier!$B:$B,0))-INDEX(Data_metier!$H:$H,MATCH(C$1,Data_metier!$B:$B,0))&gt; 0,
INDEX(Data_metier!$H:$H,MATCH($A27,Data_metier!$B:$B,0))-INDEX(Data_metier!$H:$H,MATCH(C$1,Data_metier!$B:$B,0))&lt;=1),
1,
IF(INDEX(Data_metier!$H:$H,MATCH($A27,Data_metier!$B:$B,0))-INDEX(Data_metier!$H:$H,MATCH(C$1,Data_metier!$B:$B,0))&gt; 1,
2,
0)))</f>
        <v>-1</v>
      </c>
      <c r="D27">
        <f>IF(INDEX(Data_metier!$H:$H,MATCH($A27,Data_metier!$B:$B,0))-INDEX(Data_metier!$H:$H,MATCH(D$1,Data_metier!$B:$B,0))&lt; 0,-1,
IF(AND(INDEX(Data_metier!$H:$H,MATCH($A27,Data_metier!$B:$B,0))-INDEX(Data_metier!$H:$H,MATCH(D$1,Data_metier!$B:$B,0))&gt; 0,
INDEX(Data_metier!$H:$H,MATCH($A27,Data_metier!$B:$B,0))-INDEX(Data_metier!$H:$H,MATCH(D$1,Data_metier!$B:$B,0))&lt;=1),
1,
IF(INDEX(Data_metier!$H:$H,MATCH($A27,Data_metier!$B:$B,0))-INDEX(Data_metier!$H:$H,MATCH(D$1,Data_metier!$B:$B,0))&gt; 1,
2,
0)))</f>
        <v>0</v>
      </c>
      <c r="E27">
        <f>IF(INDEX(Data_metier!$H:$H,MATCH($A27,Data_metier!$B:$B,0))-INDEX(Data_metier!$H:$H,MATCH(E$1,Data_metier!$B:$B,0))&lt; 0,-1,
IF(AND(INDEX(Data_metier!$H:$H,MATCH($A27,Data_metier!$B:$B,0))-INDEX(Data_metier!$H:$H,MATCH(E$1,Data_metier!$B:$B,0))&gt; 0,
INDEX(Data_metier!$H:$H,MATCH($A27,Data_metier!$B:$B,0))-INDEX(Data_metier!$H:$H,MATCH(E$1,Data_metier!$B:$B,0))&lt;=1),
1,
IF(INDEX(Data_metier!$H:$H,MATCH($A27,Data_metier!$B:$B,0))-INDEX(Data_metier!$H:$H,MATCH(E$1,Data_metier!$B:$B,0))&gt; 1,
2,
0)))</f>
        <v>-1</v>
      </c>
      <c r="F27">
        <f>IF(INDEX(Data_metier!$H:$H,MATCH($A27,Data_metier!$B:$B,0))-INDEX(Data_metier!$H:$H,MATCH(F$1,Data_metier!$B:$B,0))&lt; 0,-1,
IF(AND(INDEX(Data_metier!$H:$H,MATCH($A27,Data_metier!$B:$B,0))-INDEX(Data_metier!$H:$H,MATCH(F$1,Data_metier!$B:$B,0))&gt; 0,
INDEX(Data_metier!$H:$H,MATCH($A27,Data_metier!$B:$B,0))-INDEX(Data_metier!$H:$H,MATCH(F$1,Data_metier!$B:$B,0))&lt;=1),
1,
IF(INDEX(Data_metier!$H:$H,MATCH($A27,Data_metier!$B:$B,0))-INDEX(Data_metier!$H:$H,MATCH(F$1,Data_metier!$B:$B,0))&gt; 1,
2,
0)))</f>
        <v>-1</v>
      </c>
      <c r="G27">
        <f>IF(INDEX(Data_metier!$H:$H,MATCH($A27,Data_metier!$B:$B,0))-INDEX(Data_metier!$H:$H,MATCH(G$1,Data_metier!$B:$B,0))&lt; 0,-1,
IF(AND(INDEX(Data_metier!$H:$H,MATCH($A27,Data_metier!$B:$B,0))-INDEX(Data_metier!$H:$H,MATCH(G$1,Data_metier!$B:$B,0))&gt; 0,
INDEX(Data_metier!$H:$H,MATCH($A27,Data_metier!$B:$B,0))-INDEX(Data_metier!$H:$H,MATCH(G$1,Data_metier!$B:$B,0))&lt;=1),
1,
IF(INDEX(Data_metier!$H:$H,MATCH($A27,Data_metier!$B:$B,0))-INDEX(Data_metier!$H:$H,MATCH(G$1,Data_metier!$B:$B,0))&gt; 1,
2,
0)))</f>
        <v>-1</v>
      </c>
      <c r="H27">
        <f>IF(INDEX(Data_metier!$H:$H,MATCH($A27,Data_metier!$B:$B,0))-INDEX(Data_metier!$H:$H,MATCH(H$1,Data_metier!$B:$B,0))&lt; 0,-1,
IF(AND(INDEX(Data_metier!$H:$H,MATCH($A27,Data_metier!$B:$B,0))-INDEX(Data_metier!$H:$H,MATCH(H$1,Data_metier!$B:$B,0))&gt; 0,
INDEX(Data_metier!$H:$H,MATCH($A27,Data_metier!$B:$B,0))-INDEX(Data_metier!$H:$H,MATCH(H$1,Data_metier!$B:$B,0))&lt;=1),
1,
IF(INDEX(Data_metier!$H:$H,MATCH($A27,Data_metier!$B:$B,0))-INDEX(Data_metier!$H:$H,MATCH(H$1,Data_metier!$B:$B,0))&gt; 1,
2,
0)))</f>
        <v>-1</v>
      </c>
      <c r="I27">
        <f>IF(INDEX(Data_metier!$H:$H,MATCH($A27,Data_metier!$B:$B,0))-INDEX(Data_metier!$H:$H,MATCH(I$1,Data_metier!$B:$B,0))&lt; 0,-1,
IF(AND(INDEX(Data_metier!$H:$H,MATCH($A27,Data_metier!$B:$B,0))-INDEX(Data_metier!$H:$H,MATCH(I$1,Data_metier!$B:$B,0))&gt; 0,
INDEX(Data_metier!$H:$H,MATCH($A27,Data_metier!$B:$B,0))-INDEX(Data_metier!$H:$H,MATCH(I$1,Data_metier!$B:$B,0))&lt;=1),
1,
IF(INDEX(Data_metier!$H:$H,MATCH($A27,Data_metier!$B:$B,0))-INDEX(Data_metier!$H:$H,MATCH(I$1,Data_metier!$B:$B,0))&gt; 1,
2,
0)))</f>
        <v>0</v>
      </c>
      <c r="J27">
        <f>IF(INDEX(Data_metier!$H:$H,MATCH($A27,Data_metier!$B:$B,0))-INDEX(Data_metier!$H:$H,MATCH(J$1,Data_metier!$B:$B,0))&lt; 0,-1,
IF(AND(INDEX(Data_metier!$H:$H,MATCH($A27,Data_metier!$B:$B,0))-INDEX(Data_metier!$H:$H,MATCH(J$1,Data_metier!$B:$B,0))&gt; 0,
INDEX(Data_metier!$H:$H,MATCH($A27,Data_metier!$B:$B,0))-INDEX(Data_metier!$H:$H,MATCH(J$1,Data_metier!$B:$B,0))&lt;=1),
1,
IF(INDEX(Data_metier!$H:$H,MATCH($A27,Data_metier!$B:$B,0))-INDEX(Data_metier!$H:$H,MATCH(J$1,Data_metier!$B:$B,0))&gt; 1,
2,
0)))</f>
        <v>-1</v>
      </c>
      <c r="K27">
        <f>IF(INDEX(Data_metier!$H:$H,MATCH($A27,Data_metier!$B:$B,0))-INDEX(Data_metier!$H:$H,MATCH(K$1,Data_metier!$B:$B,0))&lt; 0,-1,
IF(AND(INDEX(Data_metier!$H:$H,MATCH($A27,Data_metier!$B:$B,0))-INDEX(Data_metier!$H:$H,MATCH(K$1,Data_metier!$B:$B,0))&gt; 0,
INDEX(Data_metier!$H:$H,MATCH($A27,Data_metier!$B:$B,0))-INDEX(Data_metier!$H:$H,MATCH(K$1,Data_metier!$B:$B,0))&lt;=1),
1,
IF(INDEX(Data_metier!$H:$H,MATCH($A27,Data_metier!$B:$B,0))-INDEX(Data_metier!$H:$H,MATCH(K$1,Data_metier!$B:$B,0))&gt; 1,
2,
0)))</f>
        <v>-1</v>
      </c>
      <c r="L27">
        <f>IF(INDEX(Data_metier!$H:$H,MATCH($A27,Data_metier!$B:$B,0))-INDEX(Data_metier!$H:$H,MATCH(L$1,Data_metier!$B:$B,0))&lt; 0,-1,
IF(AND(INDEX(Data_metier!$H:$H,MATCH($A27,Data_metier!$B:$B,0))-INDEX(Data_metier!$H:$H,MATCH(L$1,Data_metier!$B:$B,0))&gt; 0,
INDEX(Data_metier!$H:$H,MATCH($A27,Data_metier!$B:$B,0))-INDEX(Data_metier!$H:$H,MATCH(L$1,Data_metier!$B:$B,0))&lt;=1),
1,
IF(INDEX(Data_metier!$H:$H,MATCH($A27,Data_metier!$B:$B,0))-INDEX(Data_metier!$H:$H,MATCH(L$1,Data_metier!$B:$B,0))&gt; 1,
2,
0)))</f>
        <v>0</v>
      </c>
      <c r="M27">
        <f>IF(INDEX(Data_metier!$H:$H,MATCH($A27,Data_metier!$B:$B,0))-INDEX(Data_metier!$H:$H,MATCH(M$1,Data_metier!$B:$B,0))&lt; 0,-1,
IF(AND(INDEX(Data_metier!$H:$H,MATCH($A27,Data_metier!$B:$B,0))-INDEX(Data_metier!$H:$H,MATCH(M$1,Data_metier!$B:$B,0))&gt; 0,
INDEX(Data_metier!$H:$H,MATCH($A27,Data_metier!$B:$B,0))-INDEX(Data_metier!$H:$H,MATCH(M$1,Data_metier!$B:$B,0))&lt;=1),
1,
IF(INDEX(Data_metier!$H:$H,MATCH($A27,Data_metier!$B:$B,0))-INDEX(Data_metier!$H:$H,MATCH(M$1,Data_metier!$B:$B,0))&gt; 1,
2,
0)))</f>
        <v>-1</v>
      </c>
      <c r="N27">
        <f>IF(INDEX(Data_metier!$H:$H,MATCH($A27,Data_metier!$B:$B,0))-INDEX(Data_metier!$H:$H,MATCH(N$1,Data_metier!$B:$B,0))&lt; 0,-1,
IF(AND(INDEX(Data_metier!$H:$H,MATCH($A27,Data_metier!$B:$B,0))-INDEX(Data_metier!$H:$H,MATCH(N$1,Data_metier!$B:$B,0))&gt; 0,
INDEX(Data_metier!$H:$H,MATCH($A27,Data_metier!$B:$B,0))-INDEX(Data_metier!$H:$H,MATCH(N$1,Data_metier!$B:$B,0))&lt;=1),
1,
IF(INDEX(Data_metier!$H:$H,MATCH($A27,Data_metier!$B:$B,0))-INDEX(Data_metier!$H:$H,MATCH(N$1,Data_metier!$B:$B,0))&gt; 1,
2,
0)))</f>
        <v>-1</v>
      </c>
      <c r="O27">
        <f>IF(INDEX(Data_metier!$H:$H,MATCH($A27,Data_metier!$B:$B,0))-INDEX(Data_metier!$H:$H,MATCH(O$1,Data_metier!$B:$B,0))&lt; 0,-1,
IF(AND(INDEX(Data_metier!$H:$H,MATCH($A27,Data_metier!$B:$B,0))-INDEX(Data_metier!$H:$H,MATCH(O$1,Data_metier!$B:$B,0))&gt; 0,
INDEX(Data_metier!$H:$H,MATCH($A27,Data_metier!$B:$B,0))-INDEX(Data_metier!$H:$H,MATCH(O$1,Data_metier!$B:$B,0))&lt;=1),
1,
IF(INDEX(Data_metier!$H:$H,MATCH($A27,Data_metier!$B:$B,0))-INDEX(Data_metier!$H:$H,MATCH(O$1,Data_metier!$B:$B,0))&gt; 1,
2,
0)))</f>
        <v>0</v>
      </c>
      <c r="P27">
        <f>IF(INDEX(Data_metier!$H:$H,MATCH($A27,Data_metier!$B:$B,0))-INDEX(Data_metier!$H:$H,MATCH(P$1,Data_metier!$B:$B,0))&lt; 0,-1,
IF(AND(INDEX(Data_metier!$H:$H,MATCH($A27,Data_metier!$B:$B,0))-INDEX(Data_metier!$H:$H,MATCH(P$1,Data_metier!$B:$B,0))&gt; 0,
INDEX(Data_metier!$H:$H,MATCH($A27,Data_metier!$B:$B,0))-INDEX(Data_metier!$H:$H,MATCH(P$1,Data_metier!$B:$B,0))&lt;=1),
1,
IF(INDEX(Data_metier!$H:$H,MATCH($A27,Data_metier!$B:$B,0))-INDEX(Data_metier!$H:$H,MATCH(P$1,Data_metier!$B:$B,0))&gt; 1,
2,
0)))</f>
        <v>0</v>
      </c>
      <c r="Q27">
        <f>IF(INDEX(Data_metier!$H:$H,MATCH($A27,Data_metier!$B:$B,0))-INDEX(Data_metier!$H:$H,MATCH(Q$1,Data_metier!$B:$B,0))&lt; 0,-1,
IF(AND(INDEX(Data_metier!$H:$H,MATCH($A27,Data_metier!$B:$B,0))-INDEX(Data_metier!$H:$H,MATCH(Q$1,Data_metier!$B:$B,0))&gt; 0,
INDEX(Data_metier!$H:$H,MATCH($A27,Data_metier!$B:$B,0))-INDEX(Data_metier!$H:$H,MATCH(Q$1,Data_metier!$B:$B,0))&lt;=1),
1,
IF(INDEX(Data_metier!$H:$H,MATCH($A27,Data_metier!$B:$B,0))-INDEX(Data_metier!$H:$H,MATCH(Q$1,Data_metier!$B:$B,0))&gt; 1,
2,
0)))</f>
        <v>-1</v>
      </c>
      <c r="R27">
        <f>IF(INDEX(Data_metier!$H:$H,MATCH($A27,Data_metier!$B:$B,0))-INDEX(Data_metier!$H:$H,MATCH(R$1,Data_metier!$B:$B,0))&lt; 0,-1,
IF(AND(INDEX(Data_metier!$H:$H,MATCH($A27,Data_metier!$B:$B,0))-INDEX(Data_metier!$H:$H,MATCH(R$1,Data_metier!$B:$B,0))&gt; 0,
INDEX(Data_metier!$H:$H,MATCH($A27,Data_metier!$B:$B,0))-INDEX(Data_metier!$H:$H,MATCH(R$1,Data_metier!$B:$B,0))&lt;=1),
1,
IF(INDEX(Data_metier!$H:$H,MATCH($A27,Data_metier!$B:$B,0))-INDEX(Data_metier!$H:$H,MATCH(R$1,Data_metier!$B:$B,0))&gt; 1,
2,
0)))</f>
        <v>-1</v>
      </c>
      <c r="S27">
        <f>IF(INDEX(Data_metier!$H:$H,MATCH($A27,Data_metier!$B:$B,0))-INDEX(Data_metier!$H:$H,MATCH(S$1,Data_metier!$B:$B,0))&lt; 0,-1,
IF(AND(INDEX(Data_metier!$H:$H,MATCH($A27,Data_metier!$B:$B,0))-INDEX(Data_metier!$H:$H,MATCH(S$1,Data_metier!$B:$B,0))&gt; 0,
INDEX(Data_metier!$H:$H,MATCH($A27,Data_metier!$B:$B,0))-INDEX(Data_metier!$H:$H,MATCH(S$1,Data_metier!$B:$B,0))&lt;=1),
1,
IF(INDEX(Data_metier!$H:$H,MATCH($A27,Data_metier!$B:$B,0))-INDEX(Data_metier!$H:$H,MATCH(S$1,Data_metier!$B:$B,0))&gt; 1,
2,
0)))</f>
        <v>0</v>
      </c>
      <c r="T27">
        <f>IF(INDEX(Data_metier!$H:$H,MATCH($A27,Data_metier!$B:$B,0))-INDEX(Data_metier!$H:$H,MATCH(T$1,Data_metier!$B:$B,0))&lt; 0,-1,
IF(AND(INDEX(Data_metier!$H:$H,MATCH($A27,Data_metier!$B:$B,0))-INDEX(Data_metier!$H:$H,MATCH(T$1,Data_metier!$B:$B,0))&gt; 0,
INDEX(Data_metier!$H:$H,MATCH($A27,Data_metier!$B:$B,0))-INDEX(Data_metier!$H:$H,MATCH(T$1,Data_metier!$B:$B,0))&lt;=1),
1,
IF(INDEX(Data_metier!$H:$H,MATCH($A27,Data_metier!$B:$B,0))-INDEX(Data_metier!$H:$H,MATCH(T$1,Data_metier!$B:$B,0))&gt; 1,
2,
0)))</f>
        <v>0</v>
      </c>
      <c r="U27">
        <f>IF(INDEX(Data_metier!$H:$H,MATCH($A27,Data_metier!$B:$B,0))-INDEX(Data_metier!$H:$H,MATCH(U$1,Data_metier!$B:$B,0))&lt; 0,-1,
IF(AND(INDEX(Data_metier!$H:$H,MATCH($A27,Data_metier!$B:$B,0))-INDEX(Data_metier!$H:$H,MATCH(U$1,Data_metier!$B:$B,0))&gt; 0,
INDEX(Data_metier!$H:$H,MATCH($A27,Data_metier!$B:$B,0))-INDEX(Data_metier!$H:$H,MATCH(U$1,Data_metier!$B:$B,0))&lt;=1),
1,
IF(INDEX(Data_metier!$H:$H,MATCH($A27,Data_metier!$B:$B,0))-INDEX(Data_metier!$H:$H,MATCH(U$1,Data_metier!$B:$B,0))&gt; 1,
2,
0)))</f>
        <v>0</v>
      </c>
      <c r="V27">
        <f>IF(INDEX(Data_metier!$H:$H,MATCH($A27,Data_metier!$B:$B,0))-INDEX(Data_metier!$H:$H,MATCH(V$1,Data_metier!$B:$B,0))&lt; 0,-1,
IF(AND(INDEX(Data_metier!$H:$H,MATCH($A27,Data_metier!$B:$B,0))-INDEX(Data_metier!$H:$H,MATCH(V$1,Data_metier!$B:$B,0))&gt; 0,
INDEX(Data_metier!$H:$H,MATCH($A27,Data_metier!$B:$B,0))-INDEX(Data_metier!$H:$H,MATCH(V$1,Data_metier!$B:$B,0))&lt;=1),
1,
IF(INDEX(Data_metier!$H:$H,MATCH($A27,Data_metier!$B:$B,0))-INDEX(Data_metier!$H:$H,MATCH(V$1,Data_metier!$B:$B,0))&gt; 1,
2,
0)))</f>
        <v>-1</v>
      </c>
      <c r="W27">
        <f>IF(INDEX(Data_metier!$H:$H,MATCH($A27,Data_metier!$B:$B,0))-INDEX(Data_metier!$H:$H,MATCH(W$1,Data_metier!$B:$B,0))&lt; 0,-1,
IF(AND(INDEX(Data_metier!$H:$H,MATCH($A27,Data_metier!$B:$B,0))-INDEX(Data_metier!$H:$H,MATCH(W$1,Data_metier!$B:$B,0))&gt; 0,
INDEX(Data_metier!$H:$H,MATCH($A27,Data_metier!$B:$B,0))-INDEX(Data_metier!$H:$H,MATCH(W$1,Data_metier!$B:$B,0))&lt;=1),
1,
IF(INDEX(Data_metier!$H:$H,MATCH($A27,Data_metier!$B:$B,0))-INDEX(Data_metier!$H:$H,MATCH(W$1,Data_metier!$B:$B,0))&gt; 1,
2,
0)))</f>
        <v>-1</v>
      </c>
      <c r="X27">
        <f>IF(INDEX(Data_metier!$H:$H,MATCH($A27,Data_metier!$B:$B,0))-INDEX(Data_metier!$H:$H,MATCH(X$1,Data_metier!$B:$B,0))&lt; 0,-1,
IF(AND(INDEX(Data_metier!$H:$H,MATCH($A27,Data_metier!$B:$B,0))-INDEX(Data_metier!$H:$H,MATCH(X$1,Data_metier!$B:$B,0))&gt; 0,
INDEX(Data_metier!$H:$H,MATCH($A27,Data_metier!$B:$B,0))-INDEX(Data_metier!$H:$H,MATCH(X$1,Data_metier!$B:$B,0))&lt;=1),
1,
IF(INDEX(Data_metier!$H:$H,MATCH($A27,Data_metier!$B:$B,0))-INDEX(Data_metier!$H:$H,MATCH(X$1,Data_metier!$B:$B,0))&gt; 1,
2,
0)))</f>
        <v>-1</v>
      </c>
      <c r="Y27">
        <f>IF(INDEX(Data_metier!$H:$H,MATCH($A27,Data_metier!$B:$B,0))-INDEX(Data_metier!$H:$H,MATCH(Y$1,Data_metier!$B:$B,0))&lt; 0,-1,
IF(AND(INDEX(Data_metier!$H:$H,MATCH($A27,Data_metier!$B:$B,0))-INDEX(Data_metier!$H:$H,MATCH(Y$1,Data_metier!$B:$B,0))&gt; 0,
INDEX(Data_metier!$H:$H,MATCH($A27,Data_metier!$B:$B,0))-INDEX(Data_metier!$H:$H,MATCH(Y$1,Data_metier!$B:$B,0))&lt;=1),
1,
IF(INDEX(Data_metier!$H:$H,MATCH($A27,Data_metier!$B:$B,0))-INDEX(Data_metier!$H:$H,MATCH(Y$1,Data_metier!$B:$B,0))&gt; 1,
2,
0)))</f>
        <v>0</v>
      </c>
      <c r="Z27">
        <f>IF(INDEX(Data_metier!$H:$H,MATCH($A27,Data_metier!$B:$B,0))-INDEX(Data_metier!$H:$H,MATCH(Z$1,Data_metier!$B:$B,0))&lt; 0,-1,
IF(AND(INDEX(Data_metier!$H:$H,MATCH($A27,Data_metier!$B:$B,0))-INDEX(Data_metier!$H:$H,MATCH(Z$1,Data_metier!$B:$B,0))&gt; 0,
INDEX(Data_metier!$H:$H,MATCH($A27,Data_metier!$B:$B,0))-INDEX(Data_metier!$H:$H,MATCH(Z$1,Data_metier!$B:$B,0))&lt;=1),
1,
IF(INDEX(Data_metier!$H:$H,MATCH($A27,Data_metier!$B:$B,0))-INDEX(Data_metier!$H:$H,MATCH(Z$1,Data_metier!$B:$B,0))&gt; 1,
2,
0)))</f>
        <v>0</v>
      </c>
      <c r="AA27">
        <f>IF(INDEX(Data_metier!$H:$H,MATCH($A27,Data_metier!$B:$B,0))-INDEX(Data_metier!$H:$H,MATCH(AA$1,Data_metier!$B:$B,0))&lt; 0,-1,
IF(AND(INDEX(Data_metier!$H:$H,MATCH($A27,Data_metier!$B:$B,0))-INDEX(Data_metier!$H:$H,MATCH(AA$1,Data_metier!$B:$B,0))&gt; 0,
INDEX(Data_metier!$H:$H,MATCH($A27,Data_metier!$B:$B,0))-INDEX(Data_metier!$H:$H,MATCH(AA$1,Data_metier!$B:$B,0))&lt;=1),
1,
IF(INDEX(Data_metier!$H:$H,MATCH($A27,Data_metier!$B:$B,0))-INDEX(Data_metier!$H:$H,MATCH(AA$1,Data_metier!$B:$B,0))&gt; 1,
2,
0)))</f>
        <v>0</v>
      </c>
      <c r="AB27">
        <f>IF(INDEX(Data_metier!$H:$H,MATCH($A27,Data_metier!$B:$B,0))-INDEX(Data_metier!$H:$H,MATCH(AB$1,Data_metier!$B:$B,0))&lt; 0,-1,
IF(AND(INDEX(Data_metier!$H:$H,MATCH($A27,Data_metier!$B:$B,0))-INDEX(Data_metier!$H:$H,MATCH(AB$1,Data_metier!$B:$B,0))&gt; 0,
INDEX(Data_metier!$H:$H,MATCH($A27,Data_metier!$B:$B,0))-INDEX(Data_metier!$H:$H,MATCH(AB$1,Data_metier!$B:$B,0))&lt;=1),
1,
IF(INDEX(Data_metier!$H:$H,MATCH($A27,Data_metier!$B:$B,0))-INDEX(Data_metier!$H:$H,MATCH(AB$1,Data_metier!$B:$B,0))&gt; 1,
2,
0)))</f>
        <v>-1</v>
      </c>
      <c r="AC27">
        <f>IF(INDEX(Data_metier!$H:$H,MATCH($A27,Data_metier!$B:$B,0))-INDEX(Data_metier!$H:$H,MATCH(AC$1,Data_metier!$B:$B,0))&lt; 0,-1,
IF(AND(INDEX(Data_metier!$H:$H,MATCH($A27,Data_metier!$B:$B,0))-INDEX(Data_metier!$H:$H,MATCH(AC$1,Data_metier!$B:$B,0))&gt; 0,
INDEX(Data_metier!$H:$H,MATCH($A27,Data_metier!$B:$B,0))-INDEX(Data_metier!$H:$H,MATCH(AC$1,Data_metier!$B:$B,0))&lt;=1),
1,
IF(INDEX(Data_metier!$H:$H,MATCH($A27,Data_metier!$B:$B,0))-INDEX(Data_metier!$H:$H,MATCH(AC$1,Data_metier!$B:$B,0))&gt; 1,
2,
0)))</f>
        <v>-1</v>
      </c>
      <c r="AD27">
        <f>IF(INDEX(Data_metier!$H:$H,MATCH($A27,Data_metier!$B:$B,0))-INDEX(Data_metier!$H:$H,MATCH(AD$1,Data_metier!$B:$B,0))&lt; 0,-1,
IF(AND(INDEX(Data_metier!$H:$H,MATCH($A27,Data_metier!$B:$B,0))-INDEX(Data_metier!$H:$H,MATCH(AD$1,Data_metier!$B:$B,0))&gt; 0,
INDEX(Data_metier!$H:$H,MATCH($A27,Data_metier!$B:$B,0))-INDEX(Data_metier!$H:$H,MATCH(AD$1,Data_metier!$B:$B,0))&lt;=1),
1,
IF(INDEX(Data_metier!$H:$H,MATCH($A27,Data_metier!$B:$B,0))-INDEX(Data_metier!$H:$H,MATCH(AD$1,Data_metier!$B:$B,0))&gt; 1,
2,
0)))</f>
        <v>-1</v>
      </c>
    </row>
    <row r="28" spans="1:30">
      <c r="A28" t="str">
        <v>Mécanicien(ne) de maintenance industrielle</v>
      </c>
      <c r="B28">
        <f>IF(INDEX(Data_metier!$H:$H,MATCH($A28,Data_metier!$B:$B,0))-INDEX(Data_metier!$H:$H,MATCH(B$1,Data_metier!$B:$B,0))&lt; 0,-1,
IF(AND(INDEX(Data_metier!$H:$H,MATCH($A28,Data_metier!$B:$B,0))-INDEX(Data_metier!$H:$H,MATCH(B$1,Data_metier!$B:$B,0))&gt; 0,
INDEX(Data_metier!$H:$H,MATCH($A28,Data_metier!$B:$B,0))-INDEX(Data_metier!$H:$H,MATCH(B$1,Data_metier!$B:$B,0))&lt;=1),
1,
IF(INDEX(Data_metier!$H:$H,MATCH($A28,Data_metier!$B:$B,0))-INDEX(Data_metier!$H:$H,MATCH(B$1,Data_metier!$B:$B,0))&gt; 1,
2,
0)))</f>
        <v>0</v>
      </c>
      <c r="C28">
        <f>IF(INDEX(Data_metier!$H:$H,MATCH($A28,Data_metier!$B:$B,0))-INDEX(Data_metier!$H:$H,MATCH(C$1,Data_metier!$B:$B,0))&lt; 0,-1,
IF(AND(INDEX(Data_metier!$H:$H,MATCH($A28,Data_metier!$B:$B,0))-INDEX(Data_metier!$H:$H,MATCH(C$1,Data_metier!$B:$B,0))&gt; 0,
INDEX(Data_metier!$H:$H,MATCH($A28,Data_metier!$B:$B,0))-INDEX(Data_metier!$H:$H,MATCH(C$1,Data_metier!$B:$B,0))&lt;=1),
1,
IF(INDEX(Data_metier!$H:$H,MATCH($A28,Data_metier!$B:$B,0))-INDEX(Data_metier!$H:$H,MATCH(C$1,Data_metier!$B:$B,0))&gt; 1,
2,
0)))</f>
        <v>0</v>
      </c>
      <c r="D28">
        <f>IF(INDEX(Data_metier!$H:$H,MATCH($A28,Data_metier!$B:$B,0))-INDEX(Data_metier!$H:$H,MATCH(D$1,Data_metier!$B:$B,0))&lt; 0,-1,
IF(AND(INDEX(Data_metier!$H:$H,MATCH($A28,Data_metier!$B:$B,0))-INDEX(Data_metier!$H:$H,MATCH(D$1,Data_metier!$B:$B,0))&gt; 0,
INDEX(Data_metier!$H:$H,MATCH($A28,Data_metier!$B:$B,0))-INDEX(Data_metier!$H:$H,MATCH(D$1,Data_metier!$B:$B,0))&lt;=1),
1,
IF(INDEX(Data_metier!$H:$H,MATCH($A28,Data_metier!$B:$B,0))-INDEX(Data_metier!$H:$H,MATCH(D$1,Data_metier!$B:$B,0))&gt; 1,
2,
0)))</f>
        <v>1</v>
      </c>
      <c r="E28">
        <f>IF(INDEX(Data_metier!$H:$H,MATCH($A28,Data_metier!$B:$B,0))-INDEX(Data_metier!$H:$H,MATCH(E$1,Data_metier!$B:$B,0))&lt; 0,-1,
IF(AND(INDEX(Data_metier!$H:$H,MATCH($A28,Data_metier!$B:$B,0))-INDEX(Data_metier!$H:$H,MATCH(E$1,Data_metier!$B:$B,0))&gt; 0,
INDEX(Data_metier!$H:$H,MATCH($A28,Data_metier!$B:$B,0))-INDEX(Data_metier!$H:$H,MATCH(E$1,Data_metier!$B:$B,0))&lt;=1),
1,
IF(INDEX(Data_metier!$H:$H,MATCH($A28,Data_metier!$B:$B,0))-INDEX(Data_metier!$H:$H,MATCH(E$1,Data_metier!$B:$B,0))&gt; 1,
2,
0)))</f>
        <v>-1</v>
      </c>
      <c r="F28">
        <f>IF(INDEX(Data_metier!$H:$H,MATCH($A28,Data_metier!$B:$B,0))-INDEX(Data_metier!$H:$H,MATCH(F$1,Data_metier!$B:$B,0))&lt; 0,-1,
IF(AND(INDEX(Data_metier!$H:$H,MATCH($A28,Data_metier!$B:$B,0))-INDEX(Data_metier!$H:$H,MATCH(F$1,Data_metier!$B:$B,0))&gt; 0,
INDEX(Data_metier!$H:$H,MATCH($A28,Data_metier!$B:$B,0))-INDEX(Data_metier!$H:$H,MATCH(F$1,Data_metier!$B:$B,0))&lt;=1),
1,
IF(INDEX(Data_metier!$H:$H,MATCH($A28,Data_metier!$B:$B,0))-INDEX(Data_metier!$H:$H,MATCH(F$1,Data_metier!$B:$B,0))&gt; 1,
2,
0)))</f>
        <v>-1</v>
      </c>
      <c r="G28">
        <f>IF(INDEX(Data_metier!$H:$H,MATCH($A28,Data_metier!$B:$B,0))-INDEX(Data_metier!$H:$H,MATCH(G$1,Data_metier!$B:$B,0))&lt; 0,-1,
IF(AND(INDEX(Data_metier!$H:$H,MATCH($A28,Data_metier!$B:$B,0))-INDEX(Data_metier!$H:$H,MATCH(G$1,Data_metier!$B:$B,0))&gt; 0,
INDEX(Data_metier!$H:$H,MATCH($A28,Data_metier!$B:$B,0))-INDEX(Data_metier!$H:$H,MATCH(G$1,Data_metier!$B:$B,0))&lt;=1),
1,
IF(INDEX(Data_metier!$H:$H,MATCH($A28,Data_metier!$B:$B,0))-INDEX(Data_metier!$H:$H,MATCH(G$1,Data_metier!$B:$B,0))&gt; 1,
2,
0)))</f>
        <v>-1</v>
      </c>
      <c r="H28">
        <f>IF(INDEX(Data_metier!$H:$H,MATCH($A28,Data_metier!$B:$B,0))-INDEX(Data_metier!$H:$H,MATCH(H$1,Data_metier!$B:$B,0))&lt; 0,-1,
IF(AND(INDEX(Data_metier!$H:$H,MATCH($A28,Data_metier!$B:$B,0))-INDEX(Data_metier!$H:$H,MATCH(H$1,Data_metier!$B:$B,0))&gt; 0,
INDEX(Data_metier!$H:$H,MATCH($A28,Data_metier!$B:$B,0))-INDEX(Data_metier!$H:$H,MATCH(H$1,Data_metier!$B:$B,0))&lt;=1),
1,
IF(INDEX(Data_metier!$H:$H,MATCH($A28,Data_metier!$B:$B,0))-INDEX(Data_metier!$H:$H,MATCH(H$1,Data_metier!$B:$B,0))&gt; 1,
2,
0)))</f>
        <v>-1</v>
      </c>
      <c r="I28">
        <f>IF(INDEX(Data_metier!$H:$H,MATCH($A28,Data_metier!$B:$B,0))-INDEX(Data_metier!$H:$H,MATCH(I$1,Data_metier!$B:$B,0))&lt; 0,-1,
IF(AND(INDEX(Data_metier!$H:$H,MATCH($A28,Data_metier!$B:$B,0))-INDEX(Data_metier!$H:$H,MATCH(I$1,Data_metier!$B:$B,0))&gt; 0,
INDEX(Data_metier!$H:$H,MATCH($A28,Data_metier!$B:$B,0))-INDEX(Data_metier!$H:$H,MATCH(I$1,Data_metier!$B:$B,0))&lt;=1),
1,
IF(INDEX(Data_metier!$H:$H,MATCH($A28,Data_metier!$B:$B,0))-INDEX(Data_metier!$H:$H,MATCH(I$1,Data_metier!$B:$B,0))&gt; 1,
2,
0)))</f>
        <v>1</v>
      </c>
      <c r="J28">
        <f>IF(INDEX(Data_metier!$H:$H,MATCH($A28,Data_metier!$B:$B,0))-INDEX(Data_metier!$H:$H,MATCH(J$1,Data_metier!$B:$B,0))&lt; 0,-1,
IF(AND(INDEX(Data_metier!$H:$H,MATCH($A28,Data_metier!$B:$B,0))-INDEX(Data_metier!$H:$H,MATCH(J$1,Data_metier!$B:$B,0))&gt; 0,
INDEX(Data_metier!$H:$H,MATCH($A28,Data_metier!$B:$B,0))-INDEX(Data_metier!$H:$H,MATCH(J$1,Data_metier!$B:$B,0))&lt;=1),
1,
IF(INDEX(Data_metier!$H:$H,MATCH($A28,Data_metier!$B:$B,0))-INDEX(Data_metier!$H:$H,MATCH(J$1,Data_metier!$B:$B,0))&gt; 1,
2,
0)))</f>
        <v>-1</v>
      </c>
      <c r="K28">
        <f>IF(INDEX(Data_metier!$H:$H,MATCH($A28,Data_metier!$B:$B,0))-INDEX(Data_metier!$H:$H,MATCH(K$1,Data_metier!$B:$B,0))&lt; 0,-1,
IF(AND(INDEX(Data_metier!$H:$H,MATCH($A28,Data_metier!$B:$B,0))-INDEX(Data_metier!$H:$H,MATCH(K$1,Data_metier!$B:$B,0))&gt; 0,
INDEX(Data_metier!$H:$H,MATCH($A28,Data_metier!$B:$B,0))-INDEX(Data_metier!$H:$H,MATCH(K$1,Data_metier!$B:$B,0))&lt;=1),
1,
IF(INDEX(Data_metier!$H:$H,MATCH($A28,Data_metier!$B:$B,0))-INDEX(Data_metier!$H:$H,MATCH(K$1,Data_metier!$B:$B,0))&gt; 1,
2,
0)))</f>
        <v>-1</v>
      </c>
      <c r="L28">
        <f>IF(INDEX(Data_metier!$H:$H,MATCH($A28,Data_metier!$B:$B,0))-INDEX(Data_metier!$H:$H,MATCH(L$1,Data_metier!$B:$B,0))&lt; 0,-1,
IF(AND(INDEX(Data_metier!$H:$H,MATCH($A28,Data_metier!$B:$B,0))-INDEX(Data_metier!$H:$H,MATCH(L$1,Data_metier!$B:$B,0))&gt; 0,
INDEX(Data_metier!$H:$H,MATCH($A28,Data_metier!$B:$B,0))-INDEX(Data_metier!$H:$H,MATCH(L$1,Data_metier!$B:$B,0))&lt;=1),
1,
IF(INDEX(Data_metier!$H:$H,MATCH($A28,Data_metier!$B:$B,0))-INDEX(Data_metier!$H:$H,MATCH(L$1,Data_metier!$B:$B,0))&gt; 1,
2,
0)))</f>
        <v>1</v>
      </c>
      <c r="M28">
        <f>IF(INDEX(Data_metier!$H:$H,MATCH($A28,Data_metier!$B:$B,0))-INDEX(Data_metier!$H:$H,MATCH(M$1,Data_metier!$B:$B,0))&lt; 0,-1,
IF(AND(INDEX(Data_metier!$H:$H,MATCH($A28,Data_metier!$B:$B,0))-INDEX(Data_metier!$H:$H,MATCH(M$1,Data_metier!$B:$B,0))&gt; 0,
INDEX(Data_metier!$H:$H,MATCH($A28,Data_metier!$B:$B,0))-INDEX(Data_metier!$H:$H,MATCH(M$1,Data_metier!$B:$B,0))&lt;=1),
1,
IF(INDEX(Data_metier!$H:$H,MATCH($A28,Data_metier!$B:$B,0))-INDEX(Data_metier!$H:$H,MATCH(M$1,Data_metier!$B:$B,0))&gt; 1,
2,
0)))</f>
        <v>0</v>
      </c>
      <c r="N28">
        <f>IF(INDEX(Data_metier!$H:$H,MATCH($A28,Data_metier!$B:$B,0))-INDEX(Data_metier!$H:$H,MATCH(N$1,Data_metier!$B:$B,0))&lt; 0,-1,
IF(AND(INDEX(Data_metier!$H:$H,MATCH($A28,Data_metier!$B:$B,0))-INDEX(Data_metier!$H:$H,MATCH(N$1,Data_metier!$B:$B,0))&gt; 0,
INDEX(Data_metier!$H:$H,MATCH($A28,Data_metier!$B:$B,0))-INDEX(Data_metier!$H:$H,MATCH(N$1,Data_metier!$B:$B,0))&lt;=1),
1,
IF(INDEX(Data_metier!$H:$H,MATCH($A28,Data_metier!$B:$B,0))-INDEX(Data_metier!$H:$H,MATCH(N$1,Data_metier!$B:$B,0))&gt; 1,
2,
0)))</f>
        <v>-1</v>
      </c>
      <c r="O28">
        <f>IF(INDEX(Data_metier!$H:$H,MATCH($A28,Data_metier!$B:$B,0))-INDEX(Data_metier!$H:$H,MATCH(O$1,Data_metier!$B:$B,0))&lt; 0,-1,
IF(AND(INDEX(Data_metier!$H:$H,MATCH($A28,Data_metier!$B:$B,0))-INDEX(Data_metier!$H:$H,MATCH(O$1,Data_metier!$B:$B,0))&gt; 0,
INDEX(Data_metier!$H:$H,MATCH($A28,Data_metier!$B:$B,0))-INDEX(Data_metier!$H:$H,MATCH(O$1,Data_metier!$B:$B,0))&lt;=1),
1,
IF(INDEX(Data_metier!$H:$H,MATCH($A28,Data_metier!$B:$B,0))-INDEX(Data_metier!$H:$H,MATCH(O$1,Data_metier!$B:$B,0))&gt; 1,
2,
0)))</f>
        <v>1</v>
      </c>
      <c r="P28">
        <f>IF(INDEX(Data_metier!$H:$H,MATCH($A28,Data_metier!$B:$B,0))-INDEX(Data_metier!$H:$H,MATCH(P$1,Data_metier!$B:$B,0))&lt; 0,-1,
IF(AND(INDEX(Data_metier!$H:$H,MATCH($A28,Data_metier!$B:$B,0))-INDEX(Data_metier!$H:$H,MATCH(P$1,Data_metier!$B:$B,0))&gt; 0,
INDEX(Data_metier!$H:$H,MATCH($A28,Data_metier!$B:$B,0))-INDEX(Data_metier!$H:$H,MATCH(P$1,Data_metier!$B:$B,0))&lt;=1),
1,
IF(INDEX(Data_metier!$H:$H,MATCH($A28,Data_metier!$B:$B,0))-INDEX(Data_metier!$H:$H,MATCH(P$1,Data_metier!$B:$B,0))&gt; 1,
2,
0)))</f>
        <v>1</v>
      </c>
      <c r="Q28">
        <f>IF(INDEX(Data_metier!$H:$H,MATCH($A28,Data_metier!$B:$B,0))-INDEX(Data_metier!$H:$H,MATCH(Q$1,Data_metier!$B:$B,0))&lt; 0,-1,
IF(AND(INDEX(Data_metier!$H:$H,MATCH($A28,Data_metier!$B:$B,0))-INDEX(Data_metier!$H:$H,MATCH(Q$1,Data_metier!$B:$B,0))&gt; 0,
INDEX(Data_metier!$H:$H,MATCH($A28,Data_metier!$B:$B,0))-INDEX(Data_metier!$H:$H,MATCH(Q$1,Data_metier!$B:$B,0))&lt;=1),
1,
IF(INDEX(Data_metier!$H:$H,MATCH($A28,Data_metier!$B:$B,0))-INDEX(Data_metier!$H:$H,MATCH(Q$1,Data_metier!$B:$B,0))&gt; 1,
2,
0)))</f>
        <v>-1</v>
      </c>
      <c r="R28">
        <f>IF(INDEX(Data_metier!$H:$H,MATCH($A28,Data_metier!$B:$B,0))-INDEX(Data_metier!$H:$H,MATCH(R$1,Data_metier!$B:$B,0))&lt; 0,-1,
IF(AND(INDEX(Data_metier!$H:$H,MATCH($A28,Data_metier!$B:$B,0))-INDEX(Data_metier!$H:$H,MATCH(R$1,Data_metier!$B:$B,0))&gt; 0,
INDEX(Data_metier!$H:$H,MATCH($A28,Data_metier!$B:$B,0))-INDEX(Data_metier!$H:$H,MATCH(R$1,Data_metier!$B:$B,0))&lt;=1),
1,
IF(INDEX(Data_metier!$H:$H,MATCH($A28,Data_metier!$B:$B,0))-INDEX(Data_metier!$H:$H,MATCH(R$1,Data_metier!$B:$B,0))&gt; 1,
2,
0)))</f>
        <v>-1</v>
      </c>
      <c r="S28">
        <f>IF(INDEX(Data_metier!$H:$H,MATCH($A28,Data_metier!$B:$B,0))-INDEX(Data_metier!$H:$H,MATCH(S$1,Data_metier!$B:$B,0))&lt; 0,-1,
IF(AND(INDEX(Data_metier!$H:$H,MATCH($A28,Data_metier!$B:$B,0))-INDEX(Data_metier!$H:$H,MATCH(S$1,Data_metier!$B:$B,0))&gt; 0,
INDEX(Data_metier!$H:$H,MATCH($A28,Data_metier!$B:$B,0))-INDEX(Data_metier!$H:$H,MATCH(S$1,Data_metier!$B:$B,0))&lt;=1),
1,
IF(INDEX(Data_metier!$H:$H,MATCH($A28,Data_metier!$B:$B,0))-INDEX(Data_metier!$H:$H,MATCH(S$1,Data_metier!$B:$B,0))&gt; 1,
2,
0)))</f>
        <v>1</v>
      </c>
      <c r="T28">
        <f>IF(INDEX(Data_metier!$H:$H,MATCH($A28,Data_metier!$B:$B,0))-INDEX(Data_metier!$H:$H,MATCH(T$1,Data_metier!$B:$B,0))&lt; 0,-1,
IF(AND(INDEX(Data_metier!$H:$H,MATCH($A28,Data_metier!$B:$B,0))-INDEX(Data_metier!$H:$H,MATCH(T$1,Data_metier!$B:$B,0))&gt; 0,
INDEX(Data_metier!$H:$H,MATCH($A28,Data_metier!$B:$B,0))-INDEX(Data_metier!$H:$H,MATCH(T$1,Data_metier!$B:$B,0))&lt;=1),
1,
IF(INDEX(Data_metier!$H:$H,MATCH($A28,Data_metier!$B:$B,0))-INDEX(Data_metier!$H:$H,MATCH(T$1,Data_metier!$B:$B,0))&gt; 1,
2,
0)))</f>
        <v>1</v>
      </c>
      <c r="U28">
        <f>IF(INDEX(Data_metier!$H:$H,MATCH($A28,Data_metier!$B:$B,0))-INDEX(Data_metier!$H:$H,MATCH(U$1,Data_metier!$B:$B,0))&lt; 0,-1,
IF(AND(INDEX(Data_metier!$H:$H,MATCH($A28,Data_metier!$B:$B,0))-INDEX(Data_metier!$H:$H,MATCH(U$1,Data_metier!$B:$B,0))&gt; 0,
INDEX(Data_metier!$H:$H,MATCH($A28,Data_metier!$B:$B,0))-INDEX(Data_metier!$H:$H,MATCH(U$1,Data_metier!$B:$B,0))&lt;=1),
1,
IF(INDEX(Data_metier!$H:$H,MATCH($A28,Data_metier!$B:$B,0))-INDEX(Data_metier!$H:$H,MATCH(U$1,Data_metier!$B:$B,0))&gt; 1,
2,
0)))</f>
        <v>1</v>
      </c>
      <c r="V28">
        <f>IF(INDEX(Data_metier!$H:$H,MATCH($A28,Data_metier!$B:$B,0))-INDEX(Data_metier!$H:$H,MATCH(V$1,Data_metier!$B:$B,0))&lt; 0,-1,
IF(AND(INDEX(Data_metier!$H:$H,MATCH($A28,Data_metier!$B:$B,0))-INDEX(Data_metier!$H:$H,MATCH(V$1,Data_metier!$B:$B,0))&gt; 0,
INDEX(Data_metier!$H:$H,MATCH($A28,Data_metier!$B:$B,0))-INDEX(Data_metier!$H:$H,MATCH(V$1,Data_metier!$B:$B,0))&lt;=1),
1,
IF(INDEX(Data_metier!$H:$H,MATCH($A28,Data_metier!$B:$B,0))-INDEX(Data_metier!$H:$H,MATCH(V$1,Data_metier!$B:$B,0))&gt; 1,
2,
0)))</f>
        <v>0</v>
      </c>
      <c r="W28">
        <f>IF(INDEX(Data_metier!$H:$H,MATCH($A28,Data_metier!$B:$B,0))-INDEX(Data_metier!$H:$H,MATCH(W$1,Data_metier!$B:$B,0))&lt; 0,-1,
IF(AND(INDEX(Data_metier!$H:$H,MATCH($A28,Data_metier!$B:$B,0))-INDEX(Data_metier!$H:$H,MATCH(W$1,Data_metier!$B:$B,0))&gt; 0,
INDEX(Data_metier!$H:$H,MATCH($A28,Data_metier!$B:$B,0))-INDEX(Data_metier!$H:$H,MATCH(W$1,Data_metier!$B:$B,0))&lt;=1),
1,
IF(INDEX(Data_metier!$H:$H,MATCH($A28,Data_metier!$B:$B,0))-INDEX(Data_metier!$H:$H,MATCH(W$1,Data_metier!$B:$B,0))&gt; 1,
2,
0)))</f>
        <v>0</v>
      </c>
      <c r="X28">
        <f>IF(INDEX(Data_metier!$H:$H,MATCH($A28,Data_metier!$B:$B,0))-INDEX(Data_metier!$H:$H,MATCH(X$1,Data_metier!$B:$B,0))&lt; 0,-1,
IF(AND(INDEX(Data_metier!$H:$H,MATCH($A28,Data_metier!$B:$B,0))-INDEX(Data_metier!$H:$H,MATCH(X$1,Data_metier!$B:$B,0))&gt; 0,
INDEX(Data_metier!$H:$H,MATCH($A28,Data_metier!$B:$B,0))-INDEX(Data_metier!$H:$H,MATCH(X$1,Data_metier!$B:$B,0))&lt;=1),
1,
IF(INDEX(Data_metier!$H:$H,MATCH($A28,Data_metier!$B:$B,0))-INDEX(Data_metier!$H:$H,MATCH(X$1,Data_metier!$B:$B,0))&gt; 1,
2,
0)))</f>
        <v>-1</v>
      </c>
      <c r="Y28">
        <f>IF(INDEX(Data_metier!$H:$H,MATCH($A28,Data_metier!$B:$B,0))-INDEX(Data_metier!$H:$H,MATCH(Y$1,Data_metier!$B:$B,0))&lt; 0,-1,
IF(AND(INDEX(Data_metier!$H:$H,MATCH($A28,Data_metier!$B:$B,0))-INDEX(Data_metier!$H:$H,MATCH(Y$1,Data_metier!$B:$B,0))&gt; 0,
INDEX(Data_metier!$H:$H,MATCH($A28,Data_metier!$B:$B,0))-INDEX(Data_metier!$H:$H,MATCH(Y$1,Data_metier!$B:$B,0))&lt;=1),
1,
IF(INDEX(Data_metier!$H:$H,MATCH($A28,Data_metier!$B:$B,0))-INDEX(Data_metier!$H:$H,MATCH(Y$1,Data_metier!$B:$B,0))&gt; 1,
2,
0)))</f>
        <v>1</v>
      </c>
      <c r="Z28">
        <f>IF(INDEX(Data_metier!$H:$H,MATCH($A28,Data_metier!$B:$B,0))-INDEX(Data_metier!$H:$H,MATCH(Z$1,Data_metier!$B:$B,0))&lt; 0,-1,
IF(AND(INDEX(Data_metier!$H:$H,MATCH($A28,Data_metier!$B:$B,0))-INDEX(Data_metier!$H:$H,MATCH(Z$1,Data_metier!$B:$B,0))&gt; 0,
INDEX(Data_metier!$H:$H,MATCH($A28,Data_metier!$B:$B,0))-INDEX(Data_metier!$H:$H,MATCH(Z$1,Data_metier!$B:$B,0))&lt;=1),
1,
IF(INDEX(Data_metier!$H:$H,MATCH($A28,Data_metier!$B:$B,0))-INDEX(Data_metier!$H:$H,MATCH(Z$1,Data_metier!$B:$B,0))&gt; 1,
2,
0)))</f>
        <v>1</v>
      </c>
      <c r="AA28">
        <f>IF(INDEX(Data_metier!$H:$H,MATCH($A28,Data_metier!$B:$B,0))-INDEX(Data_metier!$H:$H,MATCH(AA$1,Data_metier!$B:$B,0))&lt; 0,-1,
IF(AND(INDEX(Data_metier!$H:$H,MATCH($A28,Data_metier!$B:$B,0))-INDEX(Data_metier!$H:$H,MATCH(AA$1,Data_metier!$B:$B,0))&gt; 0,
INDEX(Data_metier!$H:$H,MATCH($A28,Data_metier!$B:$B,0))-INDEX(Data_metier!$H:$H,MATCH(AA$1,Data_metier!$B:$B,0))&lt;=1),
1,
IF(INDEX(Data_metier!$H:$H,MATCH($A28,Data_metier!$B:$B,0))-INDEX(Data_metier!$H:$H,MATCH(AA$1,Data_metier!$B:$B,0))&gt; 1,
2,
0)))</f>
        <v>1</v>
      </c>
      <c r="AB28">
        <f>IF(INDEX(Data_metier!$H:$H,MATCH($A28,Data_metier!$B:$B,0))-INDEX(Data_metier!$H:$H,MATCH(AB$1,Data_metier!$B:$B,0))&lt; 0,-1,
IF(AND(INDEX(Data_metier!$H:$H,MATCH($A28,Data_metier!$B:$B,0))-INDEX(Data_metier!$H:$H,MATCH(AB$1,Data_metier!$B:$B,0))&gt; 0,
INDEX(Data_metier!$H:$H,MATCH($A28,Data_metier!$B:$B,0))-INDEX(Data_metier!$H:$H,MATCH(AB$1,Data_metier!$B:$B,0))&lt;=1),
1,
IF(INDEX(Data_metier!$H:$H,MATCH($A28,Data_metier!$B:$B,0))-INDEX(Data_metier!$H:$H,MATCH(AB$1,Data_metier!$B:$B,0))&gt; 1,
2,
0)))</f>
        <v>0</v>
      </c>
      <c r="AC28">
        <f>IF(INDEX(Data_metier!$H:$H,MATCH($A28,Data_metier!$B:$B,0))-INDEX(Data_metier!$H:$H,MATCH(AC$1,Data_metier!$B:$B,0))&lt; 0,-1,
IF(AND(INDEX(Data_metier!$H:$H,MATCH($A28,Data_metier!$B:$B,0))-INDEX(Data_metier!$H:$H,MATCH(AC$1,Data_metier!$B:$B,0))&gt; 0,
INDEX(Data_metier!$H:$H,MATCH($A28,Data_metier!$B:$B,0))-INDEX(Data_metier!$H:$H,MATCH(AC$1,Data_metier!$B:$B,0))&lt;=1),
1,
IF(INDEX(Data_metier!$H:$H,MATCH($A28,Data_metier!$B:$B,0))-INDEX(Data_metier!$H:$H,MATCH(AC$1,Data_metier!$B:$B,0))&gt; 1,
2,
0)))</f>
        <v>0</v>
      </c>
      <c r="AD28">
        <f>IF(INDEX(Data_metier!$H:$H,MATCH($A28,Data_metier!$B:$B,0))-INDEX(Data_metier!$H:$H,MATCH(AD$1,Data_metier!$B:$B,0))&lt; 0,-1,
IF(AND(INDEX(Data_metier!$H:$H,MATCH($A28,Data_metier!$B:$B,0))-INDEX(Data_metier!$H:$H,MATCH(AD$1,Data_metier!$B:$B,0))&gt; 0,
INDEX(Data_metier!$H:$H,MATCH($A28,Data_metier!$B:$B,0))-INDEX(Data_metier!$H:$H,MATCH(AD$1,Data_metier!$B:$B,0))&lt;=1),
1,
IF(INDEX(Data_metier!$H:$H,MATCH($A28,Data_metier!$B:$B,0))-INDEX(Data_metier!$H:$H,MATCH(AD$1,Data_metier!$B:$B,0))&gt; 1,
2,
0)))</f>
        <v>-1</v>
      </c>
    </row>
    <row r="29" spans="1:30">
      <c r="A29" t="str">
        <v>Mécanicien(ne)-sertisseur(euse)</v>
      </c>
      <c r="B29">
        <f>IF(INDEX(Data_metier!$H:$H,MATCH($A29,Data_metier!$B:$B,0))-INDEX(Data_metier!$H:$H,MATCH(B$1,Data_metier!$B:$B,0))&lt; 0,-1,
IF(AND(INDEX(Data_metier!$H:$H,MATCH($A29,Data_metier!$B:$B,0))-INDEX(Data_metier!$H:$H,MATCH(B$1,Data_metier!$B:$B,0))&gt; 0,
INDEX(Data_metier!$H:$H,MATCH($A29,Data_metier!$B:$B,0))-INDEX(Data_metier!$H:$H,MATCH(B$1,Data_metier!$B:$B,0))&lt;=1),
1,
IF(INDEX(Data_metier!$H:$H,MATCH($A29,Data_metier!$B:$B,0))-INDEX(Data_metier!$H:$H,MATCH(B$1,Data_metier!$B:$B,0))&gt; 1,
2,
0)))</f>
        <v>0</v>
      </c>
      <c r="C29">
        <f>IF(INDEX(Data_metier!$H:$H,MATCH($A29,Data_metier!$B:$B,0))-INDEX(Data_metier!$H:$H,MATCH(C$1,Data_metier!$B:$B,0))&lt; 0,-1,
IF(AND(INDEX(Data_metier!$H:$H,MATCH($A29,Data_metier!$B:$B,0))-INDEX(Data_metier!$H:$H,MATCH(C$1,Data_metier!$B:$B,0))&gt; 0,
INDEX(Data_metier!$H:$H,MATCH($A29,Data_metier!$B:$B,0))-INDEX(Data_metier!$H:$H,MATCH(C$1,Data_metier!$B:$B,0))&lt;=1),
1,
IF(INDEX(Data_metier!$H:$H,MATCH($A29,Data_metier!$B:$B,0))-INDEX(Data_metier!$H:$H,MATCH(C$1,Data_metier!$B:$B,0))&gt; 1,
2,
0)))</f>
        <v>0</v>
      </c>
      <c r="D29">
        <f>IF(INDEX(Data_metier!$H:$H,MATCH($A29,Data_metier!$B:$B,0))-INDEX(Data_metier!$H:$H,MATCH(D$1,Data_metier!$B:$B,0))&lt; 0,-1,
IF(AND(INDEX(Data_metier!$H:$H,MATCH($A29,Data_metier!$B:$B,0))-INDEX(Data_metier!$H:$H,MATCH(D$1,Data_metier!$B:$B,0))&gt; 0,
INDEX(Data_metier!$H:$H,MATCH($A29,Data_metier!$B:$B,0))-INDEX(Data_metier!$H:$H,MATCH(D$1,Data_metier!$B:$B,0))&lt;=1),
1,
IF(INDEX(Data_metier!$H:$H,MATCH($A29,Data_metier!$B:$B,0))-INDEX(Data_metier!$H:$H,MATCH(D$1,Data_metier!$B:$B,0))&gt; 1,
2,
0)))</f>
        <v>1</v>
      </c>
      <c r="E29">
        <f>IF(INDEX(Data_metier!$H:$H,MATCH($A29,Data_metier!$B:$B,0))-INDEX(Data_metier!$H:$H,MATCH(E$1,Data_metier!$B:$B,0))&lt; 0,-1,
IF(AND(INDEX(Data_metier!$H:$H,MATCH($A29,Data_metier!$B:$B,0))-INDEX(Data_metier!$H:$H,MATCH(E$1,Data_metier!$B:$B,0))&gt; 0,
INDEX(Data_metier!$H:$H,MATCH($A29,Data_metier!$B:$B,0))-INDEX(Data_metier!$H:$H,MATCH(E$1,Data_metier!$B:$B,0))&lt;=1),
1,
IF(INDEX(Data_metier!$H:$H,MATCH($A29,Data_metier!$B:$B,0))-INDEX(Data_metier!$H:$H,MATCH(E$1,Data_metier!$B:$B,0))&gt; 1,
2,
0)))</f>
        <v>-1</v>
      </c>
      <c r="F29">
        <f>IF(INDEX(Data_metier!$H:$H,MATCH($A29,Data_metier!$B:$B,0))-INDEX(Data_metier!$H:$H,MATCH(F$1,Data_metier!$B:$B,0))&lt; 0,-1,
IF(AND(INDEX(Data_metier!$H:$H,MATCH($A29,Data_metier!$B:$B,0))-INDEX(Data_metier!$H:$H,MATCH(F$1,Data_metier!$B:$B,0))&gt; 0,
INDEX(Data_metier!$H:$H,MATCH($A29,Data_metier!$B:$B,0))-INDEX(Data_metier!$H:$H,MATCH(F$1,Data_metier!$B:$B,0))&lt;=1),
1,
IF(INDEX(Data_metier!$H:$H,MATCH($A29,Data_metier!$B:$B,0))-INDEX(Data_metier!$H:$H,MATCH(F$1,Data_metier!$B:$B,0))&gt; 1,
2,
0)))</f>
        <v>-1</v>
      </c>
      <c r="G29">
        <f>IF(INDEX(Data_metier!$H:$H,MATCH($A29,Data_metier!$B:$B,0))-INDEX(Data_metier!$H:$H,MATCH(G$1,Data_metier!$B:$B,0))&lt; 0,-1,
IF(AND(INDEX(Data_metier!$H:$H,MATCH($A29,Data_metier!$B:$B,0))-INDEX(Data_metier!$H:$H,MATCH(G$1,Data_metier!$B:$B,0))&gt; 0,
INDEX(Data_metier!$H:$H,MATCH($A29,Data_metier!$B:$B,0))-INDEX(Data_metier!$H:$H,MATCH(G$1,Data_metier!$B:$B,0))&lt;=1),
1,
IF(INDEX(Data_metier!$H:$H,MATCH($A29,Data_metier!$B:$B,0))-INDEX(Data_metier!$H:$H,MATCH(G$1,Data_metier!$B:$B,0))&gt; 1,
2,
0)))</f>
        <v>-1</v>
      </c>
      <c r="H29">
        <f>IF(INDEX(Data_metier!$H:$H,MATCH($A29,Data_metier!$B:$B,0))-INDEX(Data_metier!$H:$H,MATCH(H$1,Data_metier!$B:$B,0))&lt; 0,-1,
IF(AND(INDEX(Data_metier!$H:$H,MATCH($A29,Data_metier!$B:$B,0))-INDEX(Data_metier!$H:$H,MATCH(H$1,Data_metier!$B:$B,0))&gt; 0,
INDEX(Data_metier!$H:$H,MATCH($A29,Data_metier!$B:$B,0))-INDEX(Data_metier!$H:$H,MATCH(H$1,Data_metier!$B:$B,0))&lt;=1),
1,
IF(INDEX(Data_metier!$H:$H,MATCH($A29,Data_metier!$B:$B,0))-INDEX(Data_metier!$H:$H,MATCH(H$1,Data_metier!$B:$B,0))&gt; 1,
2,
0)))</f>
        <v>-1</v>
      </c>
      <c r="I29">
        <f>IF(INDEX(Data_metier!$H:$H,MATCH($A29,Data_metier!$B:$B,0))-INDEX(Data_metier!$H:$H,MATCH(I$1,Data_metier!$B:$B,0))&lt; 0,-1,
IF(AND(INDEX(Data_metier!$H:$H,MATCH($A29,Data_metier!$B:$B,0))-INDEX(Data_metier!$H:$H,MATCH(I$1,Data_metier!$B:$B,0))&gt; 0,
INDEX(Data_metier!$H:$H,MATCH($A29,Data_metier!$B:$B,0))-INDEX(Data_metier!$H:$H,MATCH(I$1,Data_metier!$B:$B,0))&lt;=1),
1,
IF(INDEX(Data_metier!$H:$H,MATCH($A29,Data_metier!$B:$B,0))-INDEX(Data_metier!$H:$H,MATCH(I$1,Data_metier!$B:$B,0))&gt; 1,
2,
0)))</f>
        <v>1</v>
      </c>
      <c r="J29">
        <f>IF(INDEX(Data_metier!$H:$H,MATCH($A29,Data_metier!$B:$B,0))-INDEX(Data_metier!$H:$H,MATCH(J$1,Data_metier!$B:$B,0))&lt; 0,-1,
IF(AND(INDEX(Data_metier!$H:$H,MATCH($A29,Data_metier!$B:$B,0))-INDEX(Data_metier!$H:$H,MATCH(J$1,Data_metier!$B:$B,0))&gt; 0,
INDEX(Data_metier!$H:$H,MATCH($A29,Data_metier!$B:$B,0))-INDEX(Data_metier!$H:$H,MATCH(J$1,Data_metier!$B:$B,0))&lt;=1),
1,
IF(INDEX(Data_metier!$H:$H,MATCH($A29,Data_metier!$B:$B,0))-INDEX(Data_metier!$H:$H,MATCH(J$1,Data_metier!$B:$B,0))&gt; 1,
2,
0)))</f>
        <v>-1</v>
      </c>
      <c r="K29">
        <f>IF(INDEX(Data_metier!$H:$H,MATCH($A29,Data_metier!$B:$B,0))-INDEX(Data_metier!$H:$H,MATCH(K$1,Data_metier!$B:$B,0))&lt; 0,-1,
IF(AND(INDEX(Data_metier!$H:$H,MATCH($A29,Data_metier!$B:$B,0))-INDEX(Data_metier!$H:$H,MATCH(K$1,Data_metier!$B:$B,0))&gt; 0,
INDEX(Data_metier!$H:$H,MATCH($A29,Data_metier!$B:$B,0))-INDEX(Data_metier!$H:$H,MATCH(K$1,Data_metier!$B:$B,0))&lt;=1),
1,
IF(INDEX(Data_metier!$H:$H,MATCH($A29,Data_metier!$B:$B,0))-INDEX(Data_metier!$H:$H,MATCH(K$1,Data_metier!$B:$B,0))&gt; 1,
2,
0)))</f>
        <v>-1</v>
      </c>
      <c r="L29">
        <f>IF(INDEX(Data_metier!$H:$H,MATCH($A29,Data_metier!$B:$B,0))-INDEX(Data_metier!$H:$H,MATCH(L$1,Data_metier!$B:$B,0))&lt; 0,-1,
IF(AND(INDEX(Data_metier!$H:$H,MATCH($A29,Data_metier!$B:$B,0))-INDEX(Data_metier!$H:$H,MATCH(L$1,Data_metier!$B:$B,0))&gt; 0,
INDEX(Data_metier!$H:$H,MATCH($A29,Data_metier!$B:$B,0))-INDEX(Data_metier!$H:$H,MATCH(L$1,Data_metier!$B:$B,0))&lt;=1),
1,
IF(INDEX(Data_metier!$H:$H,MATCH($A29,Data_metier!$B:$B,0))-INDEX(Data_metier!$H:$H,MATCH(L$1,Data_metier!$B:$B,0))&gt; 1,
2,
0)))</f>
        <v>1</v>
      </c>
      <c r="M29">
        <f>IF(INDEX(Data_metier!$H:$H,MATCH($A29,Data_metier!$B:$B,0))-INDEX(Data_metier!$H:$H,MATCH(M$1,Data_metier!$B:$B,0))&lt; 0,-1,
IF(AND(INDEX(Data_metier!$H:$H,MATCH($A29,Data_metier!$B:$B,0))-INDEX(Data_metier!$H:$H,MATCH(M$1,Data_metier!$B:$B,0))&gt; 0,
INDEX(Data_metier!$H:$H,MATCH($A29,Data_metier!$B:$B,0))-INDEX(Data_metier!$H:$H,MATCH(M$1,Data_metier!$B:$B,0))&lt;=1),
1,
IF(INDEX(Data_metier!$H:$H,MATCH($A29,Data_metier!$B:$B,0))-INDEX(Data_metier!$H:$H,MATCH(M$1,Data_metier!$B:$B,0))&gt; 1,
2,
0)))</f>
        <v>0</v>
      </c>
      <c r="N29">
        <f>IF(INDEX(Data_metier!$H:$H,MATCH($A29,Data_metier!$B:$B,0))-INDEX(Data_metier!$H:$H,MATCH(N$1,Data_metier!$B:$B,0))&lt; 0,-1,
IF(AND(INDEX(Data_metier!$H:$H,MATCH($A29,Data_metier!$B:$B,0))-INDEX(Data_metier!$H:$H,MATCH(N$1,Data_metier!$B:$B,0))&gt; 0,
INDEX(Data_metier!$H:$H,MATCH($A29,Data_metier!$B:$B,0))-INDEX(Data_metier!$H:$H,MATCH(N$1,Data_metier!$B:$B,0))&lt;=1),
1,
IF(INDEX(Data_metier!$H:$H,MATCH($A29,Data_metier!$B:$B,0))-INDEX(Data_metier!$H:$H,MATCH(N$1,Data_metier!$B:$B,0))&gt; 1,
2,
0)))</f>
        <v>-1</v>
      </c>
      <c r="O29">
        <f>IF(INDEX(Data_metier!$H:$H,MATCH($A29,Data_metier!$B:$B,0))-INDEX(Data_metier!$H:$H,MATCH(O$1,Data_metier!$B:$B,0))&lt; 0,-1,
IF(AND(INDEX(Data_metier!$H:$H,MATCH($A29,Data_metier!$B:$B,0))-INDEX(Data_metier!$H:$H,MATCH(O$1,Data_metier!$B:$B,0))&gt; 0,
INDEX(Data_metier!$H:$H,MATCH($A29,Data_metier!$B:$B,0))-INDEX(Data_metier!$H:$H,MATCH(O$1,Data_metier!$B:$B,0))&lt;=1),
1,
IF(INDEX(Data_metier!$H:$H,MATCH($A29,Data_metier!$B:$B,0))-INDEX(Data_metier!$H:$H,MATCH(O$1,Data_metier!$B:$B,0))&gt; 1,
2,
0)))</f>
        <v>1</v>
      </c>
      <c r="P29">
        <f>IF(INDEX(Data_metier!$H:$H,MATCH($A29,Data_metier!$B:$B,0))-INDEX(Data_metier!$H:$H,MATCH(P$1,Data_metier!$B:$B,0))&lt; 0,-1,
IF(AND(INDEX(Data_metier!$H:$H,MATCH($A29,Data_metier!$B:$B,0))-INDEX(Data_metier!$H:$H,MATCH(P$1,Data_metier!$B:$B,0))&gt; 0,
INDEX(Data_metier!$H:$H,MATCH($A29,Data_metier!$B:$B,0))-INDEX(Data_metier!$H:$H,MATCH(P$1,Data_metier!$B:$B,0))&lt;=1),
1,
IF(INDEX(Data_metier!$H:$H,MATCH($A29,Data_metier!$B:$B,0))-INDEX(Data_metier!$H:$H,MATCH(P$1,Data_metier!$B:$B,0))&gt; 1,
2,
0)))</f>
        <v>1</v>
      </c>
      <c r="Q29">
        <f>IF(INDEX(Data_metier!$H:$H,MATCH($A29,Data_metier!$B:$B,0))-INDEX(Data_metier!$H:$H,MATCH(Q$1,Data_metier!$B:$B,0))&lt; 0,-1,
IF(AND(INDEX(Data_metier!$H:$H,MATCH($A29,Data_metier!$B:$B,0))-INDEX(Data_metier!$H:$H,MATCH(Q$1,Data_metier!$B:$B,0))&gt; 0,
INDEX(Data_metier!$H:$H,MATCH($A29,Data_metier!$B:$B,0))-INDEX(Data_metier!$H:$H,MATCH(Q$1,Data_metier!$B:$B,0))&lt;=1),
1,
IF(INDEX(Data_metier!$H:$H,MATCH($A29,Data_metier!$B:$B,0))-INDEX(Data_metier!$H:$H,MATCH(Q$1,Data_metier!$B:$B,0))&gt; 1,
2,
0)))</f>
        <v>-1</v>
      </c>
      <c r="R29">
        <f>IF(INDEX(Data_metier!$H:$H,MATCH($A29,Data_metier!$B:$B,0))-INDEX(Data_metier!$H:$H,MATCH(R$1,Data_metier!$B:$B,0))&lt; 0,-1,
IF(AND(INDEX(Data_metier!$H:$H,MATCH($A29,Data_metier!$B:$B,0))-INDEX(Data_metier!$H:$H,MATCH(R$1,Data_metier!$B:$B,0))&gt; 0,
INDEX(Data_metier!$H:$H,MATCH($A29,Data_metier!$B:$B,0))-INDEX(Data_metier!$H:$H,MATCH(R$1,Data_metier!$B:$B,0))&lt;=1),
1,
IF(INDEX(Data_metier!$H:$H,MATCH($A29,Data_metier!$B:$B,0))-INDEX(Data_metier!$H:$H,MATCH(R$1,Data_metier!$B:$B,0))&gt; 1,
2,
0)))</f>
        <v>-1</v>
      </c>
      <c r="S29">
        <f>IF(INDEX(Data_metier!$H:$H,MATCH($A29,Data_metier!$B:$B,0))-INDEX(Data_metier!$H:$H,MATCH(S$1,Data_metier!$B:$B,0))&lt; 0,-1,
IF(AND(INDEX(Data_metier!$H:$H,MATCH($A29,Data_metier!$B:$B,0))-INDEX(Data_metier!$H:$H,MATCH(S$1,Data_metier!$B:$B,0))&gt; 0,
INDEX(Data_metier!$H:$H,MATCH($A29,Data_metier!$B:$B,0))-INDEX(Data_metier!$H:$H,MATCH(S$1,Data_metier!$B:$B,0))&lt;=1),
1,
IF(INDEX(Data_metier!$H:$H,MATCH($A29,Data_metier!$B:$B,0))-INDEX(Data_metier!$H:$H,MATCH(S$1,Data_metier!$B:$B,0))&gt; 1,
2,
0)))</f>
        <v>1</v>
      </c>
      <c r="T29">
        <f>IF(INDEX(Data_metier!$H:$H,MATCH($A29,Data_metier!$B:$B,0))-INDEX(Data_metier!$H:$H,MATCH(T$1,Data_metier!$B:$B,0))&lt; 0,-1,
IF(AND(INDEX(Data_metier!$H:$H,MATCH($A29,Data_metier!$B:$B,0))-INDEX(Data_metier!$H:$H,MATCH(T$1,Data_metier!$B:$B,0))&gt; 0,
INDEX(Data_metier!$H:$H,MATCH($A29,Data_metier!$B:$B,0))-INDEX(Data_metier!$H:$H,MATCH(T$1,Data_metier!$B:$B,0))&lt;=1),
1,
IF(INDEX(Data_metier!$H:$H,MATCH($A29,Data_metier!$B:$B,0))-INDEX(Data_metier!$H:$H,MATCH(T$1,Data_metier!$B:$B,0))&gt; 1,
2,
0)))</f>
        <v>1</v>
      </c>
      <c r="U29">
        <f>IF(INDEX(Data_metier!$H:$H,MATCH($A29,Data_metier!$B:$B,0))-INDEX(Data_metier!$H:$H,MATCH(U$1,Data_metier!$B:$B,0))&lt; 0,-1,
IF(AND(INDEX(Data_metier!$H:$H,MATCH($A29,Data_metier!$B:$B,0))-INDEX(Data_metier!$H:$H,MATCH(U$1,Data_metier!$B:$B,0))&gt; 0,
INDEX(Data_metier!$H:$H,MATCH($A29,Data_metier!$B:$B,0))-INDEX(Data_metier!$H:$H,MATCH(U$1,Data_metier!$B:$B,0))&lt;=1),
1,
IF(INDEX(Data_metier!$H:$H,MATCH($A29,Data_metier!$B:$B,0))-INDEX(Data_metier!$H:$H,MATCH(U$1,Data_metier!$B:$B,0))&gt; 1,
2,
0)))</f>
        <v>1</v>
      </c>
      <c r="V29">
        <f>IF(INDEX(Data_metier!$H:$H,MATCH($A29,Data_metier!$B:$B,0))-INDEX(Data_metier!$H:$H,MATCH(V$1,Data_metier!$B:$B,0))&lt; 0,-1,
IF(AND(INDEX(Data_metier!$H:$H,MATCH($A29,Data_metier!$B:$B,0))-INDEX(Data_metier!$H:$H,MATCH(V$1,Data_metier!$B:$B,0))&gt; 0,
INDEX(Data_metier!$H:$H,MATCH($A29,Data_metier!$B:$B,0))-INDEX(Data_metier!$H:$H,MATCH(V$1,Data_metier!$B:$B,0))&lt;=1),
1,
IF(INDEX(Data_metier!$H:$H,MATCH($A29,Data_metier!$B:$B,0))-INDEX(Data_metier!$H:$H,MATCH(V$1,Data_metier!$B:$B,0))&gt; 1,
2,
0)))</f>
        <v>0</v>
      </c>
      <c r="W29">
        <f>IF(INDEX(Data_metier!$H:$H,MATCH($A29,Data_metier!$B:$B,0))-INDEX(Data_metier!$H:$H,MATCH(W$1,Data_metier!$B:$B,0))&lt; 0,-1,
IF(AND(INDEX(Data_metier!$H:$H,MATCH($A29,Data_metier!$B:$B,0))-INDEX(Data_metier!$H:$H,MATCH(W$1,Data_metier!$B:$B,0))&gt; 0,
INDEX(Data_metier!$H:$H,MATCH($A29,Data_metier!$B:$B,0))-INDEX(Data_metier!$H:$H,MATCH(W$1,Data_metier!$B:$B,0))&lt;=1),
1,
IF(INDEX(Data_metier!$H:$H,MATCH($A29,Data_metier!$B:$B,0))-INDEX(Data_metier!$H:$H,MATCH(W$1,Data_metier!$B:$B,0))&gt; 1,
2,
0)))</f>
        <v>0</v>
      </c>
      <c r="X29">
        <f>IF(INDEX(Data_metier!$H:$H,MATCH($A29,Data_metier!$B:$B,0))-INDEX(Data_metier!$H:$H,MATCH(X$1,Data_metier!$B:$B,0))&lt; 0,-1,
IF(AND(INDEX(Data_metier!$H:$H,MATCH($A29,Data_metier!$B:$B,0))-INDEX(Data_metier!$H:$H,MATCH(X$1,Data_metier!$B:$B,0))&gt; 0,
INDEX(Data_metier!$H:$H,MATCH($A29,Data_metier!$B:$B,0))-INDEX(Data_metier!$H:$H,MATCH(X$1,Data_metier!$B:$B,0))&lt;=1),
1,
IF(INDEX(Data_metier!$H:$H,MATCH($A29,Data_metier!$B:$B,0))-INDEX(Data_metier!$H:$H,MATCH(X$1,Data_metier!$B:$B,0))&gt; 1,
2,
0)))</f>
        <v>-1</v>
      </c>
      <c r="Y29">
        <f>IF(INDEX(Data_metier!$H:$H,MATCH($A29,Data_metier!$B:$B,0))-INDEX(Data_metier!$H:$H,MATCH(Y$1,Data_metier!$B:$B,0))&lt; 0,-1,
IF(AND(INDEX(Data_metier!$H:$H,MATCH($A29,Data_metier!$B:$B,0))-INDEX(Data_metier!$H:$H,MATCH(Y$1,Data_metier!$B:$B,0))&gt; 0,
INDEX(Data_metier!$H:$H,MATCH($A29,Data_metier!$B:$B,0))-INDEX(Data_metier!$H:$H,MATCH(Y$1,Data_metier!$B:$B,0))&lt;=1),
1,
IF(INDEX(Data_metier!$H:$H,MATCH($A29,Data_metier!$B:$B,0))-INDEX(Data_metier!$H:$H,MATCH(Y$1,Data_metier!$B:$B,0))&gt; 1,
2,
0)))</f>
        <v>1</v>
      </c>
      <c r="Z29">
        <f>IF(INDEX(Data_metier!$H:$H,MATCH($A29,Data_metier!$B:$B,0))-INDEX(Data_metier!$H:$H,MATCH(Z$1,Data_metier!$B:$B,0))&lt; 0,-1,
IF(AND(INDEX(Data_metier!$H:$H,MATCH($A29,Data_metier!$B:$B,0))-INDEX(Data_metier!$H:$H,MATCH(Z$1,Data_metier!$B:$B,0))&gt; 0,
INDEX(Data_metier!$H:$H,MATCH($A29,Data_metier!$B:$B,0))-INDEX(Data_metier!$H:$H,MATCH(Z$1,Data_metier!$B:$B,0))&lt;=1),
1,
IF(INDEX(Data_metier!$H:$H,MATCH($A29,Data_metier!$B:$B,0))-INDEX(Data_metier!$H:$H,MATCH(Z$1,Data_metier!$B:$B,0))&gt; 1,
2,
0)))</f>
        <v>1</v>
      </c>
      <c r="AA29">
        <f>IF(INDEX(Data_metier!$H:$H,MATCH($A29,Data_metier!$B:$B,0))-INDEX(Data_metier!$H:$H,MATCH(AA$1,Data_metier!$B:$B,0))&lt; 0,-1,
IF(AND(INDEX(Data_metier!$H:$H,MATCH($A29,Data_metier!$B:$B,0))-INDEX(Data_metier!$H:$H,MATCH(AA$1,Data_metier!$B:$B,0))&gt; 0,
INDEX(Data_metier!$H:$H,MATCH($A29,Data_metier!$B:$B,0))-INDEX(Data_metier!$H:$H,MATCH(AA$1,Data_metier!$B:$B,0))&lt;=1),
1,
IF(INDEX(Data_metier!$H:$H,MATCH($A29,Data_metier!$B:$B,0))-INDEX(Data_metier!$H:$H,MATCH(AA$1,Data_metier!$B:$B,0))&gt; 1,
2,
0)))</f>
        <v>1</v>
      </c>
      <c r="AB29">
        <f>IF(INDEX(Data_metier!$H:$H,MATCH($A29,Data_metier!$B:$B,0))-INDEX(Data_metier!$H:$H,MATCH(AB$1,Data_metier!$B:$B,0))&lt; 0,-1,
IF(AND(INDEX(Data_metier!$H:$H,MATCH($A29,Data_metier!$B:$B,0))-INDEX(Data_metier!$H:$H,MATCH(AB$1,Data_metier!$B:$B,0))&gt; 0,
INDEX(Data_metier!$H:$H,MATCH($A29,Data_metier!$B:$B,0))-INDEX(Data_metier!$H:$H,MATCH(AB$1,Data_metier!$B:$B,0))&lt;=1),
1,
IF(INDEX(Data_metier!$H:$H,MATCH($A29,Data_metier!$B:$B,0))-INDEX(Data_metier!$H:$H,MATCH(AB$1,Data_metier!$B:$B,0))&gt; 1,
2,
0)))</f>
        <v>0</v>
      </c>
      <c r="AC29">
        <f>IF(INDEX(Data_metier!$H:$H,MATCH($A29,Data_metier!$B:$B,0))-INDEX(Data_metier!$H:$H,MATCH(AC$1,Data_metier!$B:$B,0))&lt; 0,-1,
IF(AND(INDEX(Data_metier!$H:$H,MATCH($A29,Data_metier!$B:$B,0))-INDEX(Data_metier!$H:$H,MATCH(AC$1,Data_metier!$B:$B,0))&gt; 0,
INDEX(Data_metier!$H:$H,MATCH($A29,Data_metier!$B:$B,0))-INDEX(Data_metier!$H:$H,MATCH(AC$1,Data_metier!$B:$B,0))&lt;=1),
1,
IF(INDEX(Data_metier!$H:$H,MATCH($A29,Data_metier!$B:$B,0))-INDEX(Data_metier!$H:$H,MATCH(AC$1,Data_metier!$B:$B,0))&gt; 1,
2,
0)))</f>
        <v>0</v>
      </c>
      <c r="AD29">
        <f>IF(INDEX(Data_metier!$H:$H,MATCH($A29,Data_metier!$B:$B,0))-INDEX(Data_metier!$H:$H,MATCH(AD$1,Data_metier!$B:$B,0))&lt; 0,-1,
IF(AND(INDEX(Data_metier!$H:$H,MATCH($A29,Data_metier!$B:$B,0))-INDEX(Data_metier!$H:$H,MATCH(AD$1,Data_metier!$B:$B,0))&gt; 0,
INDEX(Data_metier!$H:$H,MATCH($A29,Data_metier!$B:$B,0))-INDEX(Data_metier!$H:$H,MATCH(AD$1,Data_metier!$B:$B,0))&lt;=1),
1,
IF(INDEX(Data_metier!$H:$H,MATCH($A29,Data_metier!$B:$B,0))-INDEX(Data_metier!$H:$H,MATCH(AD$1,Data_metier!$B:$B,0))&gt; 1,
2,
0)))</f>
        <v>-1</v>
      </c>
    </row>
    <row r="30" spans="1:30">
      <c r="A30" t="str">
        <v>Electromécanicien(ne) de maintenance industrielle</v>
      </c>
      <c r="B30">
        <f>IF(INDEX(Data_metier!$H:$H,MATCH($A30,Data_metier!$B:$B,0))-INDEX(Data_metier!$H:$H,MATCH(B$1,Data_metier!$B:$B,0))&lt; 0,-1,
IF(AND(INDEX(Data_metier!$H:$H,MATCH($A30,Data_metier!$B:$B,0))-INDEX(Data_metier!$H:$H,MATCH(B$1,Data_metier!$B:$B,0))&gt; 0,
INDEX(Data_metier!$H:$H,MATCH($A30,Data_metier!$B:$B,0))-INDEX(Data_metier!$H:$H,MATCH(B$1,Data_metier!$B:$B,0))&lt;=1),
1,
IF(INDEX(Data_metier!$H:$H,MATCH($A30,Data_metier!$B:$B,0))-INDEX(Data_metier!$H:$H,MATCH(B$1,Data_metier!$B:$B,0))&gt; 1,
2,
0)))</f>
        <v>1</v>
      </c>
      <c r="C30">
        <f>IF(INDEX(Data_metier!$H:$H,MATCH($A30,Data_metier!$B:$B,0))-INDEX(Data_metier!$H:$H,MATCH(C$1,Data_metier!$B:$B,0))&lt; 0,-1,
IF(AND(INDEX(Data_metier!$H:$H,MATCH($A30,Data_metier!$B:$B,0))-INDEX(Data_metier!$H:$H,MATCH(C$1,Data_metier!$B:$B,0))&gt; 0,
INDEX(Data_metier!$H:$H,MATCH($A30,Data_metier!$B:$B,0))-INDEX(Data_metier!$H:$H,MATCH(C$1,Data_metier!$B:$B,0))&lt;=1),
1,
IF(INDEX(Data_metier!$H:$H,MATCH($A30,Data_metier!$B:$B,0))-INDEX(Data_metier!$H:$H,MATCH(C$1,Data_metier!$B:$B,0))&gt; 1,
2,
0)))</f>
        <v>1</v>
      </c>
      <c r="D30">
        <f>IF(INDEX(Data_metier!$H:$H,MATCH($A30,Data_metier!$B:$B,0))-INDEX(Data_metier!$H:$H,MATCH(D$1,Data_metier!$B:$B,0))&lt; 0,-1,
IF(AND(INDEX(Data_metier!$H:$H,MATCH($A30,Data_metier!$B:$B,0))-INDEX(Data_metier!$H:$H,MATCH(D$1,Data_metier!$B:$B,0))&gt; 0,
INDEX(Data_metier!$H:$H,MATCH($A30,Data_metier!$B:$B,0))-INDEX(Data_metier!$H:$H,MATCH(D$1,Data_metier!$B:$B,0))&lt;=1),
1,
IF(INDEX(Data_metier!$H:$H,MATCH($A30,Data_metier!$B:$B,0))-INDEX(Data_metier!$H:$H,MATCH(D$1,Data_metier!$B:$B,0))&gt; 1,
2,
0)))</f>
        <v>2</v>
      </c>
      <c r="E30">
        <f>IF(INDEX(Data_metier!$H:$H,MATCH($A30,Data_metier!$B:$B,0))-INDEX(Data_metier!$H:$H,MATCH(E$1,Data_metier!$B:$B,0))&lt; 0,-1,
IF(AND(INDEX(Data_metier!$H:$H,MATCH($A30,Data_metier!$B:$B,0))-INDEX(Data_metier!$H:$H,MATCH(E$1,Data_metier!$B:$B,0))&gt; 0,
INDEX(Data_metier!$H:$H,MATCH($A30,Data_metier!$B:$B,0))-INDEX(Data_metier!$H:$H,MATCH(E$1,Data_metier!$B:$B,0))&lt;=1),
1,
IF(INDEX(Data_metier!$H:$H,MATCH($A30,Data_metier!$B:$B,0))-INDEX(Data_metier!$H:$H,MATCH(E$1,Data_metier!$B:$B,0))&gt; 1,
2,
0)))</f>
        <v>-1</v>
      </c>
      <c r="F30">
        <f>IF(INDEX(Data_metier!$H:$H,MATCH($A30,Data_metier!$B:$B,0))-INDEX(Data_metier!$H:$H,MATCH(F$1,Data_metier!$B:$B,0))&lt; 0,-1,
IF(AND(INDEX(Data_metier!$H:$H,MATCH($A30,Data_metier!$B:$B,0))-INDEX(Data_metier!$H:$H,MATCH(F$1,Data_metier!$B:$B,0))&gt; 0,
INDEX(Data_metier!$H:$H,MATCH($A30,Data_metier!$B:$B,0))-INDEX(Data_metier!$H:$H,MATCH(F$1,Data_metier!$B:$B,0))&lt;=1),
1,
IF(INDEX(Data_metier!$H:$H,MATCH($A30,Data_metier!$B:$B,0))-INDEX(Data_metier!$H:$H,MATCH(F$1,Data_metier!$B:$B,0))&gt; 1,
2,
0)))</f>
        <v>-1</v>
      </c>
      <c r="G30">
        <f>IF(INDEX(Data_metier!$H:$H,MATCH($A30,Data_metier!$B:$B,0))-INDEX(Data_metier!$H:$H,MATCH(G$1,Data_metier!$B:$B,0))&lt; 0,-1,
IF(AND(INDEX(Data_metier!$H:$H,MATCH($A30,Data_metier!$B:$B,0))-INDEX(Data_metier!$H:$H,MATCH(G$1,Data_metier!$B:$B,0))&gt; 0,
INDEX(Data_metier!$H:$H,MATCH($A30,Data_metier!$B:$B,0))-INDEX(Data_metier!$H:$H,MATCH(G$1,Data_metier!$B:$B,0))&lt;=1),
1,
IF(INDEX(Data_metier!$H:$H,MATCH($A30,Data_metier!$B:$B,0))-INDEX(Data_metier!$H:$H,MATCH(G$1,Data_metier!$B:$B,0))&gt; 1,
2,
0)))</f>
        <v>-1</v>
      </c>
      <c r="H30">
        <f>IF(INDEX(Data_metier!$H:$H,MATCH($A30,Data_metier!$B:$B,0))-INDEX(Data_metier!$H:$H,MATCH(H$1,Data_metier!$B:$B,0))&lt; 0,-1,
IF(AND(INDEX(Data_metier!$H:$H,MATCH($A30,Data_metier!$B:$B,0))-INDEX(Data_metier!$H:$H,MATCH(H$1,Data_metier!$B:$B,0))&gt; 0,
INDEX(Data_metier!$H:$H,MATCH($A30,Data_metier!$B:$B,0))-INDEX(Data_metier!$H:$H,MATCH(H$1,Data_metier!$B:$B,0))&lt;=1),
1,
IF(INDEX(Data_metier!$H:$H,MATCH($A30,Data_metier!$B:$B,0))-INDEX(Data_metier!$H:$H,MATCH(H$1,Data_metier!$B:$B,0))&gt; 1,
2,
0)))</f>
        <v>-1</v>
      </c>
      <c r="I30">
        <f>IF(INDEX(Data_metier!$H:$H,MATCH($A30,Data_metier!$B:$B,0))-INDEX(Data_metier!$H:$H,MATCH(I$1,Data_metier!$B:$B,0))&lt; 0,-1,
IF(AND(INDEX(Data_metier!$H:$H,MATCH($A30,Data_metier!$B:$B,0))-INDEX(Data_metier!$H:$H,MATCH(I$1,Data_metier!$B:$B,0))&gt; 0,
INDEX(Data_metier!$H:$H,MATCH($A30,Data_metier!$B:$B,0))-INDEX(Data_metier!$H:$H,MATCH(I$1,Data_metier!$B:$B,0))&lt;=1),
1,
IF(INDEX(Data_metier!$H:$H,MATCH($A30,Data_metier!$B:$B,0))-INDEX(Data_metier!$H:$H,MATCH(I$1,Data_metier!$B:$B,0))&gt; 1,
2,
0)))</f>
        <v>2</v>
      </c>
      <c r="J30">
        <f>IF(INDEX(Data_metier!$H:$H,MATCH($A30,Data_metier!$B:$B,0))-INDEX(Data_metier!$H:$H,MATCH(J$1,Data_metier!$B:$B,0))&lt; 0,-1,
IF(AND(INDEX(Data_metier!$H:$H,MATCH($A30,Data_metier!$B:$B,0))-INDEX(Data_metier!$H:$H,MATCH(J$1,Data_metier!$B:$B,0))&gt; 0,
INDEX(Data_metier!$H:$H,MATCH($A30,Data_metier!$B:$B,0))-INDEX(Data_metier!$H:$H,MATCH(J$1,Data_metier!$B:$B,0))&lt;=1),
1,
IF(INDEX(Data_metier!$H:$H,MATCH($A30,Data_metier!$B:$B,0))-INDEX(Data_metier!$H:$H,MATCH(J$1,Data_metier!$B:$B,0))&gt; 1,
2,
0)))</f>
        <v>-1</v>
      </c>
      <c r="K30">
        <f>IF(INDEX(Data_metier!$H:$H,MATCH($A30,Data_metier!$B:$B,0))-INDEX(Data_metier!$H:$H,MATCH(K$1,Data_metier!$B:$B,0))&lt; 0,-1,
IF(AND(INDEX(Data_metier!$H:$H,MATCH($A30,Data_metier!$B:$B,0))-INDEX(Data_metier!$H:$H,MATCH(K$1,Data_metier!$B:$B,0))&gt; 0,
INDEX(Data_metier!$H:$H,MATCH($A30,Data_metier!$B:$B,0))-INDEX(Data_metier!$H:$H,MATCH(K$1,Data_metier!$B:$B,0))&lt;=1),
1,
IF(INDEX(Data_metier!$H:$H,MATCH($A30,Data_metier!$B:$B,0))-INDEX(Data_metier!$H:$H,MATCH(K$1,Data_metier!$B:$B,0))&gt; 1,
2,
0)))</f>
        <v>-1</v>
      </c>
      <c r="L30">
        <f>IF(INDEX(Data_metier!$H:$H,MATCH($A30,Data_metier!$B:$B,0))-INDEX(Data_metier!$H:$H,MATCH(L$1,Data_metier!$B:$B,0))&lt; 0,-1,
IF(AND(INDEX(Data_metier!$H:$H,MATCH($A30,Data_metier!$B:$B,0))-INDEX(Data_metier!$H:$H,MATCH(L$1,Data_metier!$B:$B,0))&gt; 0,
INDEX(Data_metier!$H:$H,MATCH($A30,Data_metier!$B:$B,0))-INDEX(Data_metier!$H:$H,MATCH(L$1,Data_metier!$B:$B,0))&lt;=1),
1,
IF(INDEX(Data_metier!$H:$H,MATCH($A30,Data_metier!$B:$B,0))-INDEX(Data_metier!$H:$H,MATCH(L$1,Data_metier!$B:$B,0))&gt; 1,
2,
0)))</f>
        <v>2</v>
      </c>
      <c r="M30">
        <f>IF(INDEX(Data_metier!$H:$H,MATCH($A30,Data_metier!$B:$B,0))-INDEX(Data_metier!$H:$H,MATCH(M$1,Data_metier!$B:$B,0))&lt; 0,-1,
IF(AND(INDEX(Data_metier!$H:$H,MATCH($A30,Data_metier!$B:$B,0))-INDEX(Data_metier!$H:$H,MATCH(M$1,Data_metier!$B:$B,0))&gt; 0,
INDEX(Data_metier!$H:$H,MATCH($A30,Data_metier!$B:$B,0))-INDEX(Data_metier!$H:$H,MATCH(M$1,Data_metier!$B:$B,0))&lt;=1),
1,
IF(INDEX(Data_metier!$H:$H,MATCH($A30,Data_metier!$B:$B,0))-INDEX(Data_metier!$H:$H,MATCH(M$1,Data_metier!$B:$B,0))&gt; 1,
2,
0)))</f>
        <v>1</v>
      </c>
      <c r="N30">
        <f>IF(INDEX(Data_metier!$H:$H,MATCH($A30,Data_metier!$B:$B,0))-INDEX(Data_metier!$H:$H,MATCH(N$1,Data_metier!$B:$B,0))&lt; 0,-1,
IF(AND(INDEX(Data_metier!$H:$H,MATCH($A30,Data_metier!$B:$B,0))-INDEX(Data_metier!$H:$H,MATCH(N$1,Data_metier!$B:$B,0))&gt; 0,
INDEX(Data_metier!$H:$H,MATCH($A30,Data_metier!$B:$B,0))-INDEX(Data_metier!$H:$H,MATCH(N$1,Data_metier!$B:$B,0))&lt;=1),
1,
IF(INDEX(Data_metier!$H:$H,MATCH($A30,Data_metier!$B:$B,0))-INDEX(Data_metier!$H:$H,MATCH(N$1,Data_metier!$B:$B,0))&gt; 1,
2,
0)))</f>
        <v>-1</v>
      </c>
      <c r="O30">
        <f>IF(INDEX(Data_metier!$H:$H,MATCH($A30,Data_metier!$B:$B,0))-INDEX(Data_metier!$H:$H,MATCH(O$1,Data_metier!$B:$B,0))&lt; 0,-1,
IF(AND(INDEX(Data_metier!$H:$H,MATCH($A30,Data_metier!$B:$B,0))-INDEX(Data_metier!$H:$H,MATCH(O$1,Data_metier!$B:$B,0))&gt; 0,
INDEX(Data_metier!$H:$H,MATCH($A30,Data_metier!$B:$B,0))-INDEX(Data_metier!$H:$H,MATCH(O$1,Data_metier!$B:$B,0))&lt;=1),
1,
IF(INDEX(Data_metier!$H:$H,MATCH($A30,Data_metier!$B:$B,0))-INDEX(Data_metier!$H:$H,MATCH(O$1,Data_metier!$B:$B,0))&gt; 1,
2,
0)))</f>
        <v>2</v>
      </c>
      <c r="P30">
        <f>IF(INDEX(Data_metier!$H:$H,MATCH($A30,Data_metier!$B:$B,0))-INDEX(Data_metier!$H:$H,MATCH(P$1,Data_metier!$B:$B,0))&lt; 0,-1,
IF(AND(INDEX(Data_metier!$H:$H,MATCH($A30,Data_metier!$B:$B,0))-INDEX(Data_metier!$H:$H,MATCH(P$1,Data_metier!$B:$B,0))&gt; 0,
INDEX(Data_metier!$H:$H,MATCH($A30,Data_metier!$B:$B,0))-INDEX(Data_metier!$H:$H,MATCH(P$1,Data_metier!$B:$B,0))&lt;=1),
1,
IF(INDEX(Data_metier!$H:$H,MATCH($A30,Data_metier!$B:$B,0))-INDEX(Data_metier!$H:$H,MATCH(P$1,Data_metier!$B:$B,0))&gt; 1,
2,
0)))</f>
        <v>2</v>
      </c>
      <c r="Q30">
        <f>IF(INDEX(Data_metier!$H:$H,MATCH($A30,Data_metier!$B:$B,0))-INDEX(Data_metier!$H:$H,MATCH(Q$1,Data_metier!$B:$B,0))&lt; 0,-1,
IF(AND(INDEX(Data_metier!$H:$H,MATCH($A30,Data_metier!$B:$B,0))-INDEX(Data_metier!$H:$H,MATCH(Q$1,Data_metier!$B:$B,0))&gt; 0,
INDEX(Data_metier!$H:$H,MATCH($A30,Data_metier!$B:$B,0))-INDEX(Data_metier!$H:$H,MATCH(Q$1,Data_metier!$B:$B,0))&lt;=1),
1,
IF(INDEX(Data_metier!$H:$H,MATCH($A30,Data_metier!$B:$B,0))-INDEX(Data_metier!$H:$H,MATCH(Q$1,Data_metier!$B:$B,0))&gt; 1,
2,
0)))</f>
        <v>-1</v>
      </c>
      <c r="R30">
        <f>IF(INDEX(Data_metier!$H:$H,MATCH($A30,Data_metier!$B:$B,0))-INDEX(Data_metier!$H:$H,MATCH(R$1,Data_metier!$B:$B,0))&lt; 0,-1,
IF(AND(INDEX(Data_metier!$H:$H,MATCH($A30,Data_metier!$B:$B,0))-INDEX(Data_metier!$H:$H,MATCH(R$1,Data_metier!$B:$B,0))&gt; 0,
INDEX(Data_metier!$H:$H,MATCH($A30,Data_metier!$B:$B,0))-INDEX(Data_metier!$H:$H,MATCH(R$1,Data_metier!$B:$B,0))&lt;=1),
1,
IF(INDEX(Data_metier!$H:$H,MATCH($A30,Data_metier!$B:$B,0))-INDEX(Data_metier!$H:$H,MATCH(R$1,Data_metier!$B:$B,0))&gt; 1,
2,
0)))</f>
        <v>-1</v>
      </c>
      <c r="S30">
        <f>IF(INDEX(Data_metier!$H:$H,MATCH($A30,Data_metier!$B:$B,0))-INDEX(Data_metier!$H:$H,MATCH(S$1,Data_metier!$B:$B,0))&lt; 0,-1,
IF(AND(INDEX(Data_metier!$H:$H,MATCH($A30,Data_metier!$B:$B,0))-INDEX(Data_metier!$H:$H,MATCH(S$1,Data_metier!$B:$B,0))&gt; 0,
INDEX(Data_metier!$H:$H,MATCH($A30,Data_metier!$B:$B,0))-INDEX(Data_metier!$H:$H,MATCH(S$1,Data_metier!$B:$B,0))&lt;=1),
1,
IF(INDEX(Data_metier!$H:$H,MATCH($A30,Data_metier!$B:$B,0))-INDEX(Data_metier!$H:$H,MATCH(S$1,Data_metier!$B:$B,0))&gt; 1,
2,
0)))</f>
        <v>2</v>
      </c>
      <c r="T30">
        <f>IF(INDEX(Data_metier!$H:$H,MATCH($A30,Data_metier!$B:$B,0))-INDEX(Data_metier!$H:$H,MATCH(T$1,Data_metier!$B:$B,0))&lt; 0,-1,
IF(AND(INDEX(Data_metier!$H:$H,MATCH($A30,Data_metier!$B:$B,0))-INDEX(Data_metier!$H:$H,MATCH(T$1,Data_metier!$B:$B,0))&gt; 0,
INDEX(Data_metier!$H:$H,MATCH($A30,Data_metier!$B:$B,0))-INDEX(Data_metier!$H:$H,MATCH(T$1,Data_metier!$B:$B,0))&lt;=1),
1,
IF(INDEX(Data_metier!$H:$H,MATCH($A30,Data_metier!$B:$B,0))-INDEX(Data_metier!$H:$H,MATCH(T$1,Data_metier!$B:$B,0))&gt; 1,
2,
0)))</f>
        <v>2</v>
      </c>
      <c r="U30">
        <f>IF(INDEX(Data_metier!$H:$H,MATCH($A30,Data_metier!$B:$B,0))-INDEX(Data_metier!$H:$H,MATCH(U$1,Data_metier!$B:$B,0))&lt; 0,-1,
IF(AND(INDEX(Data_metier!$H:$H,MATCH($A30,Data_metier!$B:$B,0))-INDEX(Data_metier!$H:$H,MATCH(U$1,Data_metier!$B:$B,0))&gt; 0,
INDEX(Data_metier!$H:$H,MATCH($A30,Data_metier!$B:$B,0))-INDEX(Data_metier!$H:$H,MATCH(U$1,Data_metier!$B:$B,0))&lt;=1),
1,
IF(INDEX(Data_metier!$H:$H,MATCH($A30,Data_metier!$B:$B,0))-INDEX(Data_metier!$H:$H,MATCH(U$1,Data_metier!$B:$B,0))&gt; 1,
2,
0)))</f>
        <v>2</v>
      </c>
      <c r="V30">
        <f>IF(INDEX(Data_metier!$H:$H,MATCH($A30,Data_metier!$B:$B,0))-INDEX(Data_metier!$H:$H,MATCH(V$1,Data_metier!$B:$B,0))&lt; 0,-1,
IF(AND(INDEX(Data_metier!$H:$H,MATCH($A30,Data_metier!$B:$B,0))-INDEX(Data_metier!$H:$H,MATCH(V$1,Data_metier!$B:$B,0))&gt; 0,
INDEX(Data_metier!$H:$H,MATCH($A30,Data_metier!$B:$B,0))-INDEX(Data_metier!$H:$H,MATCH(V$1,Data_metier!$B:$B,0))&lt;=1),
1,
IF(INDEX(Data_metier!$H:$H,MATCH($A30,Data_metier!$B:$B,0))-INDEX(Data_metier!$H:$H,MATCH(V$1,Data_metier!$B:$B,0))&gt; 1,
2,
0)))</f>
        <v>1</v>
      </c>
      <c r="W30">
        <f>IF(INDEX(Data_metier!$H:$H,MATCH($A30,Data_metier!$B:$B,0))-INDEX(Data_metier!$H:$H,MATCH(W$1,Data_metier!$B:$B,0))&lt; 0,-1,
IF(AND(INDEX(Data_metier!$H:$H,MATCH($A30,Data_metier!$B:$B,0))-INDEX(Data_metier!$H:$H,MATCH(W$1,Data_metier!$B:$B,0))&gt; 0,
INDEX(Data_metier!$H:$H,MATCH($A30,Data_metier!$B:$B,0))-INDEX(Data_metier!$H:$H,MATCH(W$1,Data_metier!$B:$B,0))&lt;=1),
1,
IF(INDEX(Data_metier!$H:$H,MATCH($A30,Data_metier!$B:$B,0))-INDEX(Data_metier!$H:$H,MATCH(W$1,Data_metier!$B:$B,0))&gt; 1,
2,
0)))</f>
        <v>1</v>
      </c>
      <c r="X30">
        <f>IF(INDEX(Data_metier!$H:$H,MATCH($A30,Data_metier!$B:$B,0))-INDEX(Data_metier!$H:$H,MATCH(X$1,Data_metier!$B:$B,0))&lt; 0,-1,
IF(AND(INDEX(Data_metier!$H:$H,MATCH($A30,Data_metier!$B:$B,0))-INDEX(Data_metier!$H:$H,MATCH(X$1,Data_metier!$B:$B,0))&gt; 0,
INDEX(Data_metier!$H:$H,MATCH($A30,Data_metier!$B:$B,0))-INDEX(Data_metier!$H:$H,MATCH(X$1,Data_metier!$B:$B,0))&lt;=1),
1,
IF(INDEX(Data_metier!$H:$H,MATCH($A30,Data_metier!$B:$B,0))-INDEX(Data_metier!$H:$H,MATCH(X$1,Data_metier!$B:$B,0))&gt; 1,
2,
0)))</f>
        <v>-1</v>
      </c>
      <c r="Y30">
        <f>IF(INDEX(Data_metier!$H:$H,MATCH($A30,Data_metier!$B:$B,0))-INDEX(Data_metier!$H:$H,MATCH(Y$1,Data_metier!$B:$B,0))&lt; 0,-1,
IF(AND(INDEX(Data_metier!$H:$H,MATCH($A30,Data_metier!$B:$B,0))-INDEX(Data_metier!$H:$H,MATCH(Y$1,Data_metier!$B:$B,0))&gt; 0,
INDEX(Data_metier!$H:$H,MATCH($A30,Data_metier!$B:$B,0))-INDEX(Data_metier!$H:$H,MATCH(Y$1,Data_metier!$B:$B,0))&lt;=1),
1,
IF(INDEX(Data_metier!$H:$H,MATCH($A30,Data_metier!$B:$B,0))-INDEX(Data_metier!$H:$H,MATCH(Y$1,Data_metier!$B:$B,0))&gt; 1,
2,
0)))</f>
        <v>2</v>
      </c>
      <c r="Z30">
        <f>IF(INDEX(Data_metier!$H:$H,MATCH($A30,Data_metier!$B:$B,0))-INDEX(Data_metier!$H:$H,MATCH(Z$1,Data_metier!$B:$B,0))&lt; 0,-1,
IF(AND(INDEX(Data_metier!$H:$H,MATCH($A30,Data_metier!$B:$B,0))-INDEX(Data_metier!$H:$H,MATCH(Z$1,Data_metier!$B:$B,0))&gt; 0,
INDEX(Data_metier!$H:$H,MATCH($A30,Data_metier!$B:$B,0))-INDEX(Data_metier!$H:$H,MATCH(Z$1,Data_metier!$B:$B,0))&lt;=1),
1,
IF(INDEX(Data_metier!$H:$H,MATCH($A30,Data_metier!$B:$B,0))-INDEX(Data_metier!$H:$H,MATCH(Z$1,Data_metier!$B:$B,0))&gt; 1,
2,
0)))</f>
        <v>2</v>
      </c>
      <c r="AA30">
        <f>IF(INDEX(Data_metier!$H:$H,MATCH($A30,Data_metier!$B:$B,0))-INDEX(Data_metier!$H:$H,MATCH(AA$1,Data_metier!$B:$B,0))&lt; 0,-1,
IF(AND(INDEX(Data_metier!$H:$H,MATCH($A30,Data_metier!$B:$B,0))-INDEX(Data_metier!$H:$H,MATCH(AA$1,Data_metier!$B:$B,0))&gt; 0,
INDEX(Data_metier!$H:$H,MATCH($A30,Data_metier!$B:$B,0))-INDEX(Data_metier!$H:$H,MATCH(AA$1,Data_metier!$B:$B,0))&lt;=1),
1,
IF(INDEX(Data_metier!$H:$H,MATCH($A30,Data_metier!$B:$B,0))-INDEX(Data_metier!$H:$H,MATCH(AA$1,Data_metier!$B:$B,0))&gt; 1,
2,
0)))</f>
        <v>2</v>
      </c>
      <c r="AB30">
        <f>IF(INDEX(Data_metier!$H:$H,MATCH($A30,Data_metier!$B:$B,0))-INDEX(Data_metier!$H:$H,MATCH(AB$1,Data_metier!$B:$B,0))&lt; 0,-1,
IF(AND(INDEX(Data_metier!$H:$H,MATCH($A30,Data_metier!$B:$B,0))-INDEX(Data_metier!$H:$H,MATCH(AB$1,Data_metier!$B:$B,0))&gt; 0,
INDEX(Data_metier!$H:$H,MATCH($A30,Data_metier!$B:$B,0))-INDEX(Data_metier!$H:$H,MATCH(AB$1,Data_metier!$B:$B,0))&lt;=1),
1,
IF(INDEX(Data_metier!$H:$H,MATCH($A30,Data_metier!$B:$B,0))-INDEX(Data_metier!$H:$H,MATCH(AB$1,Data_metier!$B:$B,0))&gt; 1,
2,
0)))</f>
        <v>1</v>
      </c>
      <c r="AC30">
        <f>IF(INDEX(Data_metier!$H:$H,MATCH($A30,Data_metier!$B:$B,0))-INDEX(Data_metier!$H:$H,MATCH(AC$1,Data_metier!$B:$B,0))&lt; 0,-1,
IF(AND(INDEX(Data_metier!$H:$H,MATCH($A30,Data_metier!$B:$B,0))-INDEX(Data_metier!$H:$H,MATCH(AC$1,Data_metier!$B:$B,0))&gt; 0,
INDEX(Data_metier!$H:$H,MATCH($A30,Data_metier!$B:$B,0))-INDEX(Data_metier!$H:$H,MATCH(AC$1,Data_metier!$B:$B,0))&lt;=1),
1,
IF(INDEX(Data_metier!$H:$H,MATCH($A30,Data_metier!$B:$B,0))-INDEX(Data_metier!$H:$H,MATCH(AC$1,Data_metier!$B:$B,0))&gt; 1,
2,
0)))</f>
        <v>1</v>
      </c>
      <c r="AD30">
        <f>IF(INDEX(Data_metier!$H:$H,MATCH($A30,Data_metier!$B:$B,0))-INDEX(Data_metier!$H:$H,MATCH(AD$1,Data_metier!$B:$B,0))&lt; 0,-1,
IF(AND(INDEX(Data_metier!$H:$H,MATCH($A30,Data_metier!$B:$B,0))-INDEX(Data_metier!$H:$H,MATCH(AD$1,Data_metier!$B:$B,0))&gt; 0,
INDEX(Data_metier!$H:$H,MATCH($A30,Data_metier!$B:$B,0))-INDEX(Data_metier!$H:$H,MATCH(AD$1,Data_metier!$B:$B,0))&lt;=1),
1,
IF(INDEX(Data_metier!$H:$H,MATCH($A30,Data_metier!$B:$B,0))-INDEX(Data_metier!$H:$H,MATCH(AD$1,Data_metier!$B:$B,0))&gt; 1,
2,
0)))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5D8B-9C49-4F62-BD99-EEEF4AFC7888}">
  <sheetPr codeName="Feuil6"/>
  <dimension ref="A1:AD30"/>
  <sheetViews>
    <sheetView workbookViewId="0">
      <selection activeCell="B2" sqref="B2"/>
    </sheetView>
  </sheetViews>
  <sheetFormatPr defaultColWidth="11.42578125" defaultRowHeight="15"/>
  <sheetData>
    <row r="1" spans="1:30">
      <c r="B1" t="str" cm="1">
        <f t="array" ref="B1:AD1">TRANSPOSE(Tableau1[INT_METIER])</f>
        <v>Caviste</v>
      </c>
      <c r="C1" t="str">
        <v>Agent de silo</v>
      </c>
      <c r="D1" t="str">
        <v>Opérateur(trice) logistique</v>
      </c>
      <c r="E1" t="str">
        <v>Manager(euse) logistique</v>
      </c>
      <c r="F1" t="str">
        <v>Maître(sse) de chai</v>
      </c>
      <c r="G1" t="str">
        <v>Superviseur(se) de production (fabrication / conditionnement)</v>
      </c>
      <c r="H1" t="str">
        <v>Spécialiste planning / ordonnancement</v>
      </c>
      <c r="I1" t="str">
        <v>Opérateur(trice) logistique</v>
      </c>
      <c r="J1" t="str">
        <v>Logisticien(ne) approvisionneur(se)</v>
      </c>
      <c r="K1" t="str">
        <v>Responsable de production de produits alimentaires (fabrication / conditionnement)</v>
      </c>
      <c r="L1" t="str">
        <v>Chauffeur(se) livreur(se)</v>
      </c>
      <c r="M1" t="str">
        <v>Régleur(se)</v>
      </c>
      <c r="N1" t="str">
        <v>Spécialiste procédés et installations de production alimentaire</v>
      </c>
      <c r="O1" t="str">
        <v>Conducteur(trice) de livraison et de collecte</v>
      </c>
      <c r="P1" t="str">
        <v>Opérateur(trice) hygiène / sanitation</v>
      </c>
      <c r="Q1" t="str">
        <v>Chef(fe) de silo</v>
      </c>
      <c r="R1" t="str">
        <v>Acheteur(se) / négociateur(trice) de matières premières</v>
      </c>
      <c r="S1" t="str">
        <v>Opérateur(trice) de production alimentaire</v>
      </c>
      <c r="T1" t="str">
        <v>Conducteur(trice) de machine(s) de production alimentaire (fabrication / conditionnement)</v>
      </c>
      <c r="U1" t="str">
        <v>Boulanger(ère)/pâtissier(ère) industriel(le)</v>
      </c>
      <c r="V1" t="str">
        <v>Conducteur(trice) de ligne(s)de production alimentaire (fabrication/conditionnement)</v>
      </c>
      <c r="W1" t="str">
        <v>Conducteur(trice) de process de production alimentaire</v>
      </c>
      <c r="X1" t="str">
        <v>Responsable de plateforme/ d’exploitation logistique</v>
      </c>
      <c r="Y1" t="str">
        <v>Opérateur(trice) de transformation des viandes</v>
      </c>
      <c r="Z1" t="str">
        <v>Fromager(ère) industriel(le)</v>
      </c>
      <c r="AA1" t="str">
        <v>Opérateur(trice) de préparation de poissons et de produits de la mer</v>
      </c>
      <c r="AB1" t="str">
        <v>Mécanicien(ne) de maintenance industrielle</v>
      </c>
      <c r="AC1" t="str">
        <v>Mécanicien(ne)-sertisseur(euse)</v>
      </c>
      <c r="AD1" t="str">
        <v>Electromécanicien(ne) de maintenance industrielle</v>
      </c>
    </row>
    <row r="2" spans="1:30">
      <c r="A2" t="str" cm="1">
        <f t="array" ref="A2:A30">Tableau1[INT_METIER]</f>
        <v>Caviste</v>
      </c>
      <c r="B2">
        <f>IF(AND(INDEX(Data_metier!$F:$F,MATCH(B$1,Data_metier!$B:$B,0))="Non significatif",
    INDEX(Data_metier!$F:$F,MATCH($A2,Data_metier!$B:$B,0))="Significatif"),
DE_niv_form!B2+0.5,
DE_niv_form!B2)</f>
        <v>0</v>
      </c>
      <c r="C2">
        <f>IF(AND(INDEX(Data_metier!$F:$F,MATCH(C$1,Data_metier!$B:$B,0))="Non significatif",
    INDEX(Data_metier!$F:$F,MATCH($A2,Data_metier!$B:$B,0))="Significatif"),
DE_niv_form!C2+0.5,
DE_niv_form!C2)</f>
        <v>0</v>
      </c>
      <c r="D2">
        <f>IF(AND(INDEX(Data_metier!$F:$F,MATCH(D$1,Data_metier!$B:$B,0))="Non significatif",
    INDEX(Data_metier!$F:$F,MATCH($A2,Data_metier!$B:$B,0))="Significatif"),
DE_niv_form!D2+0.5,
DE_niv_form!D2)</f>
        <v>1</v>
      </c>
      <c r="E2">
        <f>IF(AND(INDEX(Data_metier!$F:$F,MATCH(E$1,Data_metier!$B:$B,0))="Non significatif",
    INDEX(Data_metier!$F:$F,MATCH($A2,Data_metier!$B:$B,0))="Significatif"),
DE_niv_form!E2+0.5,
DE_niv_form!E2)</f>
        <v>-1</v>
      </c>
      <c r="F2">
        <f>IF(AND(INDEX(Data_metier!$F:$F,MATCH(F$1,Data_metier!$B:$B,0))="Non significatif",
    INDEX(Data_metier!$F:$F,MATCH($A2,Data_metier!$B:$B,0))="Significatif"),
DE_niv_form!F2+0.5,
DE_niv_form!F2)</f>
        <v>-1</v>
      </c>
      <c r="G2">
        <f>IF(AND(INDEX(Data_metier!$F:$F,MATCH(G$1,Data_metier!$B:$B,0))="Non significatif",
    INDEX(Data_metier!$F:$F,MATCH($A2,Data_metier!$B:$B,0))="Significatif"),
DE_niv_form!G2+0.5,
DE_niv_form!G2)</f>
        <v>-1</v>
      </c>
      <c r="H2">
        <f>IF(AND(INDEX(Data_metier!$F:$F,MATCH(H$1,Data_metier!$B:$B,0))="Non significatif",
    INDEX(Data_metier!$F:$F,MATCH($A2,Data_metier!$B:$B,0))="Significatif"),
DE_niv_form!H2+0.5,
DE_niv_form!H2)</f>
        <v>-1</v>
      </c>
      <c r="I2">
        <f>IF(AND(INDEX(Data_metier!$F:$F,MATCH(I$1,Data_metier!$B:$B,0))="Non significatif",
    INDEX(Data_metier!$F:$F,MATCH($A2,Data_metier!$B:$B,0))="Significatif"),
DE_niv_form!I2+0.5,
DE_niv_form!I2)</f>
        <v>1</v>
      </c>
      <c r="J2">
        <f>IF(AND(INDEX(Data_metier!$F:$F,MATCH(J$1,Data_metier!$B:$B,0))="Non significatif",
    INDEX(Data_metier!$F:$F,MATCH($A2,Data_metier!$B:$B,0))="Significatif"),
DE_niv_form!J2+0.5,
DE_niv_form!J2)</f>
        <v>-1</v>
      </c>
      <c r="K2">
        <f>IF(AND(INDEX(Data_metier!$F:$F,MATCH(K$1,Data_metier!$B:$B,0))="Non significatif",
    INDEX(Data_metier!$F:$F,MATCH($A2,Data_metier!$B:$B,0))="Significatif"),
DE_niv_form!K2+0.5,
DE_niv_form!K2)</f>
        <v>-1</v>
      </c>
      <c r="L2">
        <f>IF(AND(INDEX(Data_metier!$F:$F,MATCH(L$1,Data_metier!$B:$B,0))="Non significatif",
    INDEX(Data_metier!$F:$F,MATCH($A2,Data_metier!$B:$B,0))="Significatif"),
DE_niv_form!L2+0.5,
DE_niv_form!L2)</f>
        <v>1</v>
      </c>
      <c r="M2">
        <f>IF(AND(INDEX(Data_metier!$F:$F,MATCH(M$1,Data_metier!$B:$B,0))="Non significatif",
    INDEX(Data_metier!$F:$F,MATCH($A2,Data_metier!$B:$B,0))="Significatif"),
DE_niv_form!M2+0.5,
DE_niv_form!M2)</f>
        <v>0</v>
      </c>
      <c r="N2">
        <f>IF(AND(INDEX(Data_metier!$F:$F,MATCH(N$1,Data_metier!$B:$B,0))="Non significatif",
    INDEX(Data_metier!$F:$F,MATCH($A2,Data_metier!$B:$B,0))="Significatif"),
DE_niv_form!N2+0.5,
DE_niv_form!N2)</f>
        <v>-1</v>
      </c>
      <c r="O2">
        <f>IF(AND(INDEX(Data_metier!$F:$F,MATCH(O$1,Data_metier!$B:$B,0))="Non significatif",
    INDEX(Data_metier!$F:$F,MATCH($A2,Data_metier!$B:$B,0))="Significatif"),
DE_niv_form!O2+0.5,
DE_niv_form!O2)</f>
        <v>1</v>
      </c>
      <c r="P2">
        <f>IF(AND(INDEX(Data_metier!$F:$F,MATCH(P$1,Data_metier!$B:$B,0))="Non significatif",
    INDEX(Data_metier!$F:$F,MATCH($A2,Data_metier!$B:$B,0))="Significatif"),
DE_niv_form!P2+0.5,
DE_niv_form!P2)</f>
        <v>1</v>
      </c>
      <c r="Q2">
        <f>IF(AND(INDEX(Data_metier!$F:$F,MATCH(Q$1,Data_metier!$B:$B,0))="Non significatif",
    INDEX(Data_metier!$F:$F,MATCH($A2,Data_metier!$B:$B,0))="Significatif"),
DE_niv_form!Q2+0.5,
DE_niv_form!Q2)</f>
        <v>-1</v>
      </c>
      <c r="R2">
        <f>IF(AND(INDEX(Data_metier!$F:$F,MATCH(R$1,Data_metier!$B:$B,0))="Non significatif",
    INDEX(Data_metier!$F:$F,MATCH($A2,Data_metier!$B:$B,0))="Significatif"),
DE_niv_form!R2+0.5,
DE_niv_form!R2)</f>
        <v>-1</v>
      </c>
      <c r="S2">
        <f>IF(AND(INDEX(Data_metier!$F:$F,MATCH(S$1,Data_metier!$B:$B,0))="Non significatif",
    INDEX(Data_metier!$F:$F,MATCH($A2,Data_metier!$B:$B,0))="Significatif"),
DE_niv_form!S2+0.5,
DE_niv_form!S2)</f>
        <v>1</v>
      </c>
      <c r="T2">
        <f>IF(AND(INDEX(Data_metier!$F:$F,MATCH(T$1,Data_metier!$B:$B,0))="Non significatif",
    INDEX(Data_metier!$F:$F,MATCH($A2,Data_metier!$B:$B,0))="Significatif"),
DE_niv_form!T2+0.5,
DE_niv_form!T2)</f>
        <v>1</v>
      </c>
      <c r="U2">
        <f>IF(AND(INDEX(Data_metier!$F:$F,MATCH(U$1,Data_metier!$B:$B,0))="Non significatif",
    INDEX(Data_metier!$F:$F,MATCH($A2,Data_metier!$B:$B,0))="Significatif"),
DE_niv_form!U2+0.5,
DE_niv_form!U2)</f>
        <v>1</v>
      </c>
      <c r="V2">
        <f>IF(AND(INDEX(Data_metier!$F:$F,MATCH(V$1,Data_metier!$B:$B,0))="Non significatif",
    INDEX(Data_metier!$F:$F,MATCH($A2,Data_metier!$B:$B,0))="Significatif"),
DE_niv_form!V2+0.5,
DE_niv_form!V2)</f>
        <v>0</v>
      </c>
      <c r="W2">
        <f>IF(AND(INDEX(Data_metier!$F:$F,MATCH(W$1,Data_metier!$B:$B,0))="Non significatif",
    INDEX(Data_metier!$F:$F,MATCH($A2,Data_metier!$B:$B,0))="Significatif"),
DE_niv_form!W2+0.5,
DE_niv_form!W2)</f>
        <v>0</v>
      </c>
      <c r="X2">
        <f>IF(AND(INDEX(Data_metier!$F:$F,MATCH(X$1,Data_metier!$B:$B,0))="Non significatif",
    INDEX(Data_metier!$F:$F,MATCH($A2,Data_metier!$B:$B,0))="Significatif"),
DE_niv_form!X2+0.5,
DE_niv_form!X2)</f>
        <v>-1</v>
      </c>
      <c r="Y2">
        <f>IF(AND(INDEX(Data_metier!$F:$F,MATCH(Y$1,Data_metier!$B:$B,0))="Non significatif",
    INDEX(Data_metier!$F:$F,MATCH($A2,Data_metier!$B:$B,0))="Significatif"),
DE_niv_form!Y2+0.5,
DE_niv_form!Y2)</f>
        <v>1</v>
      </c>
      <c r="Z2">
        <f>IF(AND(INDEX(Data_metier!$F:$F,MATCH(Z$1,Data_metier!$B:$B,0))="Non significatif",
    INDEX(Data_metier!$F:$F,MATCH($A2,Data_metier!$B:$B,0))="Significatif"),
DE_niv_form!Z2+0.5,
DE_niv_form!Z2)</f>
        <v>1</v>
      </c>
      <c r="AA2">
        <f>IF(AND(INDEX(Data_metier!$F:$F,MATCH(AA$1,Data_metier!$B:$B,0))="Non significatif",
    INDEX(Data_metier!$F:$F,MATCH($A2,Data_metier!$B:$B,0))="Significatif"),
DE_niv_form!AA2+0.5,
DE_niv_form!AA2)</f>
        <v>1</v>
      </c>
      <c r="AB2">
        <f>IF(AND(INDEX(Data_metier!$F:$F,MATCH(AB$1,Data_metier!$B:$B,0))="Non significatif",
    INDEX(Data_metier!$F:$F,MATCH($A2,Data_metier!$B:$B,0))="Significatif"),
DE_niv_form!AB2+0.5,
DE_niv_form!AB2)</f>
        <v>0</v>
      </c>
      <c r="AC2">
        <f>IF(AND(INDEX(Data_metier!$F:$F,MATCH(AC$1,Data_metier!$B:$B,0))="Non significatif",
    INDEX(Data_metier!$F:$F,MATCH($A2,Data_metier!$B:$B,0))="Significatif"),
DE_niv_form!AC2+0.5,
DE_niv_form!AC2)</f>
        <v>0</v>
      </c>
      <c r="AD2">
        <f>IF(AND(INDEX(Data_metier!$F:$F,MATCH(AD$1,Data_metier!$B:$B,0))="Non significatif",
    INDEX(Data_metier!$F:$F,MATCH($A2,Data_metier!$B:$B,0))="Significatif"),
DE_niv_form!AD2+0.5,
DE_niv_form!AD2)</f>
        <v>-1</v>
      </c>
    </row>
    <row r="3" spans="1:30">
      <c r="A3" t="str">
        <v>Agent de silo</v>
      </c>
      <c r="B3">
        <f>IF(AND(INDEX(Data_metier!$F:$F,MATCH(B$1,Data_metier!$B:$B,0))="Non significatif",
    INDEX(Data_metier!$F:$F,MATCH($A3,Data_metier!$B:$B,0))="Significatif"),
DE_niv_form!B3+0.5,
DE_niv_form!B3)</f>
        <v>0</v>
      </c>
      <c r="C3">
        <f>IF(AND(INDEX(Data_metier!$F:$F,MATCH(C$1,Data_metier!$B:$B,0))="Non significatif",
    INDEX(Data_metier!$F:$F,MATCH($A3,Data_metier!$B:$B,0))="Significatif"),
DE_niv_form!C3+0.5,
DE_niv_form!C3)</f>
        <v>0</v>
      </c>
      <c r="D3">
        <f>IF(AND(INDEX(Data_metier!$F:$F,MATCH(D$1,Data_metier!$B:$B,0))="Non significatif",
    INDEX(Data_metier!$F:$F,MATCH($A3,Data_metier!$B:$B,0))="Significatif"),
DE_niv_form!D3+0.5,
DE_niv_form!D3)</f>
        <v>1</v>
      </c>
      <c r="E3">
        <f>IF(AND(INDEX(Data_metier!$F:$F,MATCH(E$1,Data_metier!$B:$B,0))="Non significatif",
    INDEX(Data_metier!$F:$F,MATCH($A3,Data_metier!$B:$B,0))="Significatif"),
DE_niv_form!E3+0.5,
DE_niv_form!E3)</f>
        <v>-1</v>
      </c>
      <c r="F3">
        <f>IF(AND(INDEX(Data_metier!$F:$F,MATCH(F$1,Data_metier!$B:$B,0))="Non significatif",
    INDEX(Data_metier!$F:$F,MATCH($A3,Data_metier!$B:$B,0))="Significatif"),
DE_niv_form!F3+0.5,
DE_niv_form!F3)</f>
        <v>-1</v>
      </c>
      <c r="G3">
        <f>IF(AND(INDEX(Data_metier!$F:$F,MATCH(G$1,Data_metier!$B:$B,0))="Non significatif",
    INDEX(Data_metier!$F:$F,MATCH($A3,Data_metier!$B:$B,0))="Significatif"),
DE_niv_form!G3+0.5,
DE_niv_form!G3)</f>
        <v>-1</v>
      </c>
      <c r="H3">
        <f>IF(AND(INDEX(Data_metier!$F:$F,MATCH(H$1,Data_metier!$B:$B,0))="Non significatif",
    INDEX(Data_metier!$F:$F,MATCH($A3,Data_metier!$B:$B,0))="Significatif"),
DE_niv_form!H3+0.5,
DE_niv_form!H3)</f>
        <v>-1</v>
      </c>
      <c r="I3">
        <f>IF(AND(INDEX(Data_metier!$F:$F,MATCH(I$1,Data_metier!$B:$B,0))="Non significatif",
    INDEX(Data_metier!$F:$F,MATCH($A3,Data_metier!$B:$B,0))="Significatif"),
DE_niv_form!I3+0.5,
DE_niv_form!I3)</f>
        <v>1</v>
      </c>
      <c r="J3">
        <f>IF(AND(INDEX(Data_metier!$F:$F,MATCH(J$1,Data_metier!$B:$B,0))="Non significatif",
    INDEX(Data_metier!$F:$F,MATCH($A3,Data_metier!$B:$B,0))="Significatif"),
DE_niv_form!J3+0.5,
DE_niv_form!J3)</f>
        <v>-1</v>
      </c>
      <c r="K3">
        <f>IF(AND(INDEX(Data_metier!$F:$F,MATCH(K$1,Data_metier!$B:$B,0))="Non significatif",
    INDEX(Data_metier!$F:$F,MATCH($A3,Data_metier!$B:$B,0))="Significatif"),
DE_niv_form!K3+0.5,
DE_niv_form!K3)</f>
        <v>-1</v>
      </c>
      <c r="L3">
        <f>IF(AND(INDEX(Data_metier!$F:$F,MATCH(L$1,Data_metier!$B:$B,0))="Non significatif",
    INDEX(Data_metier!$F:$F,MATCH($A3,Data_metier!$B:$B,0))="Significatif"),
DE_niv_form!L3+0.5,
DE_niv_form!L3)</f>
        <v>1</v>
      </c>
      <c r="M3">
        <f>IF(AND(INDEX(Data_metier!$F:$F,MATCH(M$1,Data_metier!$B:$B,0))="Non significatif",
    INDEX(Data_metier!$F:$F,MATCH($A3,Data_metier!$B:$B,0))="Significatif"),
DE_niv_form!M3+0.5,
DE_niv_form!M3)</f>
        <v>0</v>
      </c>
      <c r="N3">
        <f>IF(AND(INDEX(Data_metier!$F:$F,MATCH(N$1,Data_metier!$B:$B,0))="Non significatif",
    INDEX(Data_metier!$F:$F,MATCH($A3,Data_metier!$B:$B,0))="Significatif"),
DE_niv_form!N3+0.5,
DE_niv_form!N3)</f>
        <v>-1</v>
      </c>
      <c r="O3">
        <f>IF(AND(INDEX(Data_metier!$F:$F,MATCH(O$1,Data_metier!$B:$B,0))="Non significatif",
    INDEX(Data_metier!$F:$F,MATCH($A3,Data_metier!$B:$B,0))="Significatif"),
DE_niv_form!O3+0.5,
DE_niv_form!O3)</f>
        <v>1</v>
      </c>
      <c r="P3">
        <f>IF(AND(INDEX(Data_metier!$F:$F,MATCH(P$1,Data_metier!$B:$B,0))="Non significatif",
    INDEX(Data_metier!$F:$F,MATCH($A3,Data_metier!$B:$B,0))="Significatif"),
DE_niv_form!P3+0.5,
DE_niv_form!P3)</f>
        <v>1</v>
      </c>
      <c r="Q3">
        <f>IF(AND(INDEX(Data_metier!$F:$F,MATCH(Q$1,Data_metier!$B:$B,0))="Non significatif",
    INDEX(Data_metier!$F:$F,MATCH($A3,Data_metier!$B:$B,0))="Significatif"),
DE_niv_form!Q3+0.5,
DE_niv_form!Q3)</f>
        <v>-1</v>
      </c>
      <c r="R3">
        <f>IF(AND(INDEX(Data_metier!$F:$F,MATCH(R$1,Data_metier!$B:$B,0))="Non significatif",
    INDEX(Data_metier!$F:$F,MATCH($A3,Data_metier!$B:$B,0))="Significatif"),
DE_niv_form!R3+0.5,
DE_niv_form!R3)</f>
        <v>-1</v>
      </c>
      <c r="S3">
        <f>IF(AND(INDEX(Data_metier!$F:$F,MATCH(S$1,Data_metier!$B:$B,0))="Non significatif",
    INDEX(Data_metier!$F:$F,MATCH($A3,Data_metier!$B:$B,0))="Significatif"),
DE_niv_form!S3+0.5,
DE_niv_form!S3)</f>
        <v>1</v>
      </c>
      <c r="T3">
        <f>IF(AND(INDEX(Data_metier!$F:$F,MATCH(T$1,Data_metier!$B:$B,0))="Non significatif",
    INDEX(Data_metier!$F:$F,MATCH($A3,Data_metier!$B:$B,0))="Significatif"),
DE_niv_form!T3+0.5,
DE_niv_form!T3)</f>
        <v>1</v>
      </c>
      <c r="U3">
        <f>IF(AND(INDEX(Data_metier!$F:$F,MATCH(U$1,Data_metier!$B:$B,0))="Non significatif",
    INDEX(Data_metier!$F:$F,MATCH($A3,Data_metier!$B:$B,0))="Significatif"),
DE_niv_form!U3+0.5,
DE_niv_form!U3)</f>
        <v>1</v>
      </c>
      <c r="V3">
        <f>IF(AND(INDEX(Data_metier!$F:$F,MATCH(V$1,Data_metier!$B:$B,0))="Non significatif",
    INDEX(Data_metier!$F:$F,MATCH($A3,Data_metier!$B:$B,0))="Significatif"),
DE_niv_form!V3+0.5,
DE_niv_form!V3)</f>
        <v>0</v>
      </c>
      <c r="W3">
        <f>IF(AND(INDEX(Data_metier!$F:$F,MATCH(W$1,Data_metier!$B:$B,0))="Non significatif",
    INDEX(Data_metier!$F:$F,MATCH($A3,Data_metier!$B:$B,0))="Significatif"),
DE_niv_form!W3+0.5,
DE_niv_form!W3)</f>
        <v>0</v>
      </c>
      <c r="X3">
        <f>IF(AND(INDEX(Data_metier!$F:$F,MATCH(X$1,Data_metier!$B:$B,0))="Non significatif",
    INDEX(Data_metier!$F:$F,MATCH($A3,Data_metier!$B:$B,0))="Significatif"),
DE_niv_form!X3+0.5,
DE_niv_form!X3)</f>
        <v>-1</v>
      </c>
      <c r="Y3">
        <f>IF(AND(INDEX(Data_metier!$F:$F,MATCH(Y$1,Data_metier!$B:$B,0))="Non significatif",
    INDEX(Data_metier!$F:$F,MATCH($A3,Data_metier!$B:$B,0))="Significatif"),
DE_niv_form!Y3+0.5,
DE_niv_form!Y3)</f>
        <v>1</v>
      </c>
      <c r="Z3">
        <f>IF(AND(INDEX(Data_metier!$F:$F,MATCH(Z$1,Data_metier!$B:$B,0))="Non significatif",
    INDEX(Data_metier!$F:$F,MATCH($A3,Data_metier!$B:$B,0))="Significatif"),
DE_niv_form!Z3+0.5,
DE_niv_form!Z3)</f>
        <v>1</v>
      </c>
      <c r="AA3">
        <f>IF(AND(INDEX(Data_metier!$F:$F,MATCH(AA$1,Data_metier!$B:$B,0))="Non significatif",
    INDEX(Data_metier!$F:$F,MATCH($A3,Data_metier!$B:$B,0))="Significatif"),
DE_niv_form!AA3+0.5,
DE_niv_form!AA3)</f>
        <v>1</v>
      </c>
      <c r="AB3">
        <f>IF(AND(INDEX(Data_metier!$F:$F,MATCH(AB$1,Data_metier!$B:$B,0))="Non significatif",
    INDEX(Data_metier!$F:$F,MATCH($A3,Data_metier!$B:$B,0))="Significatif"),
DE_niv_form!AB3+0.5,
DE_niv_form!AB3)</f>
        <v>0</v>
      </c>
      <c r="AC3">
        <f>IF(AND(INDEX(Data_metier!$F:$F,MATCH(AC$1,Data_metier!$B:$B,0))="Non significatif",
    INDEX(Data_metier!$F:$F,MATCH($A3,Data_metier!$B:$B,0))="Significatif"),
DE_niv_form!AC3+0.5,
DE_niv_form!AC3)</f>
        <v>0</v>
      </c>
      <c r="AD3">
        <f>IF(AND(INDEX(Data_metier!$F:$F,MATCH(AD$1,Data_metier!$B:$B,0))="Non significatif",
    INDEX(Data_metier!$F:$F,MATCH($A3,Data_metier!$B:$B,0))="Significatif"),
DE_niv_form!AD3+0.5,
DE_niv_form!AD3)</f>
        <v>-1</v>
      </c>
    </row>
    <row r="4" spans="1:30">
      <c r="A4" t="str">
        <v>Opérateur(trice) logistique</v>
      </c>
      <c r="B4">
        <f>IF(AND(INDEX(Data_metier!$F:$F,MATCH(B$1,Data_metier!$B:$B,0))="Non significatif",
    INDEX(Data_metier!$F:$F,MATCH($A4,Data_metier!$B:$B,0))="Significatif"),
DE_niv_form!B4+0.5,
DE_niv_form!B4)</f>
        <v>-1</v>
      </c>
      <c r="C4">
        <f>IF(AND(INDEX(Data_metier!$F:$F,MATCH(C$1,Data_metier!$B:$B,0))="Non significatif",
    INDEX(Data_metier!$F:$F,MATCH($A4,Data_metier!$B:$B,0))="Significatif"),
DE_niv_form!C4+0.5,
DE_niv_form!C4)</f>
        <v>-1</v>
      </c>
      <c r="D4">
        <f>IF(AND(INDEX(Data_metier!$F:$F,MATCH(D$1,Data_metier!$B:$B,0))="Non significatif",
    INDEX(Data_metier!$F:$F,MATCH($A4,Data_metier!$B:$B,0))="Significatif"),
DE_niv_form!D4+0.5,
DE_niv_form!D4)</f>
        <v>0</v>
      </c>
      <c r="E4">
        <f>IF(AND(INDEX(Data_metier!$F:$F,MATCH(E$1,Data_metier!$B:$B,0))="Non significatif",
    INDEX(Data_metier!$F:$F,MATCH($A4,Data_metier!$B:$B,0))="Significatif"),
DE_niv_form!E4+0.5,
DE_niv_form!E4)</f>
        <v>-1</v>
      </c>
      <c r="F4">
        <f>IF(AND(INDEX(Data_metier!$F:$F,MATCH(F$1,Data_metier!$B:$B,0))="Non significatif",
    INDEX(Data_metier!$F:$F,MATCH($A4,Data_metier!$B:$B,0))="Significatif"),
DE_niv_form!F4+0.5,
DE_niv_form!F4)</f>
        <v>-1</v>
      </c>
      <c r="G4">
        <f>IF(AND(INDEX(Data_metier!$F:$F,MATCH(G$1,Data_metier!$B:$B,0))="Non significatif",
    INDEX(Data_metier!$F:$F,MATCH($A4,Data_metier!$B:$B,0))="Significatif"),
DE_niv_form!G4+0.5,
DE_niv_form!G4)</f>
        <v>-1</v>
      </c>
      <c r="H4">
        <f>IF(AND(INDEX(Data_metier!$F:$F,MATCH(H$1,Data_metier!$B:$B,0))="Non significatif",
    INDEX(Data_metier!$F:$F,MATCH($A4,Data_metier!$B:$B,0))="Significatif"),
DE_niv_form!H4+0.5,
DE_niv_form!H4)</f>
        <v>-1</v>
      </c>
      <c r="I4">
        <f>IF(AND(INDEX(Data_metier!$F:$F,MATCH(I$1,Data_metier!$B:$B,0))="Non significatif",
    INDEX(Data_metier!$F:$F,MATCH($A4,Data_metier!$B:$B,0))="Significatif"),
DE_niv_form!I4+0.5,
DE_niv_form!I4)</f>
        <v>0</v>
      </c>
      <c r="J4">
        <f>IF(AND(INDEX(Data_metier!$F:$F,MATCH(J$1,Data_metier!$B:$B,0))="Non significatif",
    INDEX(Data_metier!$F:$F,MATCH($A4,Data_metier!$B:$B,0))="Significatif"),
DE_niv_form!J4+0.5,
DE_niv_form!J4)</f>
        <v>-1</v>
      </c>
      <c r="K4">
        <f>IF(AND(INDEX(Data_metier!$F:$F,MATCH(K$1,Data_metier!$B:$B,0))="Non significatif",
    INDEX(Data_metier!$F:$F,MATCH($A4,Data_metier!$B:$B,0))="Significatif"),
DE_niv_form!K4+0.5,
DE_niv_form!K4)</f>
        <v>-1</v>
      </c>
      <c r="L4">
        <f>IF(AND(INDEX(Data_metier!$F:$F,MATCH(L$1,Data_metier!$B:$B,0))="Non significatif",
    INDEX(Data_metier!$F:$F,MATCH($A4,Data_metier!$B:$B,0))="Significatif"),
DE_niv_form!L4+0.5,
DE_niv_form!L4)</f>
        <v>0</v>
      </c>
      <c r="M4">
        <f>IF(AND(INDEX(Data_metier!$F:$F,MATCH(M$1,Data_metier!$B:$B,0))="Non significatif",
    INDEX(Data_metier!$F:$F,MATCH($A4,Data_metier!$B:$B,0))="Significatif"),
DE_niv_form!M4+0.5,
DE_niv_form!M4)</f>
        <v>-1</v>
      </c>
      <c r="N4">
        <f>IF(AND(INDEX(Data_metier!$F:$F,MATCH(N$1,Data_metier!$B:$B,0))="Non significatif",
    INDEX(Data_metier!$F:$F,MATCH($A4,Data_metier!$B:$B,0))="Significatif"),
DE_niv_form!N4+0.5,
DE_niv_form!N4)</f>
        <v>-1</v>
      </c>
      <c r="O4">
        <f>IF(AND(INDEX(Data_metier!$F:$F,MATCH(O$1,Data_metier!$B:$B,0))="Non significatif",
    INDEX(Data_metier!$F:$F,MATCH($A4,Data_metier!$B:$B,0))="Significatif"),
DE_niv_form!O4+0.5,
DE_niv_form!O4)</f>
        <v>0</v>
      </c>
      <c r="P4">
        <f>IF(AND(INDEX(Data_metier!$F:$F,MATCH(P$1,Data_metier!$B:$B,0))="Non significatif",
    INDEX(Data_metier!$F:$F,MATCH($A4,Data_metier!$B:$B,0))="Significatif"),
DE_niv_form!P4+0.5,
DE_niv_form!P4)</f>
        <v>0</v>
      </c>
      <c r="Q4">
        <f>IF(AND(INDEX(Data_metier!$F:$F,MATCH(Q$1,Data_metier!$B:$B,0))="Non significatif",
    INDEX(Data_metier!$F:$F,MATCH($A4,Data_metier!$B:$B,0))="Significatif"),
DE_niv_form!Q4+0.5,
DE_niv_form!Q4)</f>
        <v>-1</v>
      </c>
      <c r="R4">
        <f>IF(AND(INDEX(Data_metier!$F:$F,MATCH(R$1,Data_metier!$B:$B,0))="Non significatif",
    INDEX(Data_metier!$F:$F,MATCH($A4,Data_metier!$B:$B,0))="Significatif"),
DE_niv_form!R4+0.5,
DE_niv_form!R4)</f>
        <v>-1</v>
      </c>
      <c r="S4">
        <f>IF(AND(INDEX(Data_metier!$F:$F,MATCH(S$1,Data_metier!$B:$B,0))="Non significatif",
    INDEX(Data_metier!$F:$F,MATCH($A4,Data_metier!$B:$B,0))="Significatif"),
DE_niv_form!S4+0.5,
DE_niv_form!S4)</f>
        <v>0</v>
      </c>
      <c r="T4">
        <f>IF(AND(INDEX(Data_metier!$F:$F,MATCH(T$1,Data_metier!$B:$B,0))="Non significatif",
    INDEX(Data_metier!$F:$F,MATCH($A4,Data_metier!$B:$B,0))="Significatif"),
DE_niv_form!T4+0.5,
DE_niv_form!T4)</f>
        <v>0</v>
      </c>
      <c r="U4">
        <f>IF(AND(INDEX(Data_metier!$F:$F,MATCH(U$1,Data_metier!$B:$B,0))="Non significatif",
    INDEX(Data_metier!$F:$F,MATCH($A4,Data_metier!$B:$B,0))="Significatif"),
DE_niv_form!U4+0.5,
DE_niv_form!U4)</f>
        <v>0</v>
      </c>
      <c r="V4">
        <f>IF(AND(INDEX(Data_metier!$F:$F,MATCH(V$1,Data_metier!$B:$B,0))="Non significatif",
    INDEX(Data_metier!$F:$F,MATCH($A4,Data_metier!$B:$B,0))="Significatif"),
DE_niv_form!V4+0.5,
DE_niv_form!V4)</f>
        <v>-1</v>
      </c>
      <c r="W4">
        <f>IF(AND(INDEX(Data_metier!$F:$F,MATCH(W$1,Data_metier!$B:$B,0))="Non significatif",
    INDEX(Data_metier!$F:$F,MATCH($A4,Data_metier!$B:$B,0))="Significatif"),
DE_niv_form!W4+0.5,
DE_niv_form!W4)</f>
        <v>-1</v>
      </c>
      <c r="X4">
        <f>IF(AND(INDEX(Data_metier!$F:$F,MATCH(X$1,Data_metier!$B:$B,0))="Non significatif",
    INDEX(Data_metier!$F:$F,MATCH($A4,Data_metier!$B:$B,0))="Significatif"),
DE_niv_form!X4+0.5,
DE_niv_form!X4)</f>
        <v>-1</v>
      </c>
      <c r="Y4">
        <f>IF(AND(INDEX(Data_metier!$F:$F,MATCH(Y$1,Data_metier!$B:$B,0))="Non significatif",
    INDEX(Data_metier!$F:$F,MATCH($A4,Data_metier!$B:$B,0))="Significatif"),
DE_niv_form!Y4+0.5,
DE_niv_form!Y4)</f>
        <v>0</v>
      </c>
      <c r="Z4">
        <f>IF(AND(INDEX(Data_metier!$F:$F,MATCH(Z$1,Data_metier!$B:$B,0))="Non significatif",
    INDEX(Data_metier!$F:$F,MATCH($A4,Data_metier!$B:$B,0))="Significatif"),
DE_niv_form!Z4+0.5,
DE_niv_form!Z4)</f>
        <v>0</v>
      </c>
      <c r="AA4">
        <f>IF(AND(INDEX(Data_metier!$F:$F,MATCH(AA$1,Data_metier!$B:$B,0))="Non significatif",
    INDEX(Data_metier!$F:$F,MATCH($A4,Data_metier!$B:$B,0))="Significatif"),
DE_niv_form!AA4+0.5,
DE_niv_form!AA4)</f>
        <v>0</v>
      </c>
      <c r="AB4">
        <f>IF(AND(INDEX(Data_metier!$F:$F,MATCH(AB$1,Data_metier!$B:$B,0))="Non significatif",
    INDEX(Data_metier!$F:$F,MATCH($A4,Data_metier!$B:$B,0))="Significatif"),
DE_niv_form!AB4+0.5,
DE_niv_form!AB4)</f>
        <v>-1</v>
      </c>
      <c r="AC4">
        <f>IF(AND(INDEX(Data_metier!$F:$F,MATCH(AC$1,Data_metier!$B:$B,0))="Non significatif",
    INDEX(Data_metier!$F:$F,MATCH($A4,Data_metier!$B:$B,0))="Significatif"),
DE_niv_form!AC4+0.5,
DE_niv_form!AC4)</f>
        <v>-1</v>
      </c>
      <c r="AD4">
        <f>IF(AND(INDEX(Data_metier!$F:$F,MATCH(AD$1,Data_metier!$B:$B,0))="Non significatif",
    INDEX(Data_metier!$F:$F,MATCH($A4,Data_metier!$B:$B,0))="Significatif"),
DE_niv_form!AD4+0.5,
DE_niv_form!AD4)</f>
        <v>-1</v>
      </c>
    </row>
    <row r="5" spans="1:30">
      <c r="A5" t="str">
        <v>Manager(euse) logistique</v>
      </c>
      <c r="B5">
        <f>IF(AND(INDEX(Data_metier!$F:$F,MATCH(B$1,Data_metier!$B:$B,0))="Non significatif",
    INDEX(Data_metier!$F:$F,MATCH($A5,Data_metier!$B:$B,0))="Significatif"),
DE_niv_form!B5+0.5,
DE_niv_form!B5)</f>
        <v>2.5</v>
      </c>
      <c r="C5">
        <f>IF(AND(INDEX(Data_metier!$F:$F,MATCH(C$1,Data_metier!$B:$B,0))="Non significatif",
    INDEX(Data_metier!$F:$F,MATCH($A5,Data_metier!$B:$B,0))="Significatif"),
DE_niv_form!C5+0.5,
DE_niv_form!C5)</f>
        <v>2.5</v>
      </c>
      <c r="D5">
        <f>IF(AND(INDEX(Data_metier!$F:$F,MATCH(D$1,Data_metier!$B:$B,0))="Non significatif",
    INDEX(Data_metier!$F:$F,MATCH($A5,Data_metier!$B:$B,0))="Significatif"),
DE_niv_form!D5+0.5,
DE_niv_form!D5)</f>
        <v>2.5</v>
      </c>
      <c r="E5">
        <f>IF(AND(INDEX(Data_metier!$F:$F,MATCH(E$1,Data_metier!$B:$B,0))="Non significatif",
    INDEX(Data_metier!$F:$F,MATCH($A5,Data_metier!$B:$B,0))="Significatif"),
DE_niv_form!E5+0.5,
DE_niv_form!E5)</f>
        <v>0</v>
      </c>
      <c r="F5">
        <f>IF(AND(INDEX(Data_metier!$F:$F,MATCH(F$1,Data_metier!$B:$B,0))="Non significatif",
    INDEX(Data_metier!$F:$F,MATCH($A5,Data_metier!$B:$B,0))="Significatif"),
DE_niv_form!F5+0.5,
DE_niv_form!F5)</f>
        <v>-0.5</v>
      </c>
      <c r="G5">
        <f>IF(AND(INDEX(Data_metier!$F:$F,MATCH(G$1,Data_metier!$B:$B,0))="Non significatif",
    INDEX(Data_metier!$F:$F,MATCH($A5,Data_metier!$B:$B,0))="Significatif"),
DE_niv_form!G5+0.5,
DE_niv_form!G5)</f>
        <v>-1</v>
      </c>
      <c r="H5">
        <f>IF(AND(INDEX(Data_metier!$F:$F,MATCH(H$1,Data_metier!$B:$B,0))="Non significatif",
    INDEX(Data_metier!$F:$F,MATCH($A5,Data_metier!$B:$B,0))="Significatif"),
DE_niv_form!H5+0.5,
DE_niv_form!H5)</f>
        <v>-1</v>
      </c>
      <c r="I5">
        <f>IF(AND(INDEX(Data_metier!$F:$F,MATCH(I$1,Data_metier!$B:$B,0))="Non significatif",
    INDEX(Data_metier!$F:$F,MATCH($A5,Data_metier!$B:$B,0))="Significatif"),
DE_niv_form!I5+0.5,
DE_niv_form!I5)</f>
        <v>2.5</v>
      </c>
      <c r="J5">
        <f>IF(AND(INDEX(Data_metier!$F:$F,MATCH(J$1,Data_metier!$B:$B,0))="Non significatif",
    INDEX(Data_metier!$F:$F,MATCH($A5,Data_metier!$B:$B,0))="Significatif"),
DE_niv_form!J5+0.5,
DE_niv_form!J5)</f>
        <v>0.5</v>
      </c>
      <c r="K5">
        <f>IF(AND(INDEX(Data_metier!$F:$F,MATCH(K$1,Data_metier!$B:$B,0))="Non significatif",
    INDEX(Data_metier!$F:$F,MATCH($A5,Data_metier!$B:$B,0))="Significatif"),
DE_niv_form!K5+0.5,
DE_niv_form!K5)</f>
        <v>-1</v>
      </c>
      <c r="L5">
        <f>IF(AND(INDEX(Data_metier!$F:$F,MATCH(L$1,Data_metier!$B:$B,0))="Non significatif",
    INDEX(Data_metier!$F:$F,MATCH($A5,Data_metier!$B:$B,0))="Significatif"),
DE_niv_form!L5+0.5,
DE_niv_form!L5)</f>
        <v>2.5</v>
      </c>
      <c r="M5">
        <f>IF(AND(INDEX(Data_metier!$F:$F,MATCH(M$1,Data_metier!$B:$B,0))="Non significatif",
    INDEX(Data_metier!$F:$F,MATCH($A5,Data_metier!$B:$B,0))="Significatif"),
DE_niv_form!M5+0.5,
DE_niv_form!M5)</f>
        <v>2.5</v>
      </c>
      <c r="N5">
        <f>IF(AND(INDEX(Data_metier!$F:$F,MATCH(N$1,Data_metier!$B:$B,0))="Non significatif",
    INDEX(Data_metier!$F:$F,MATCH($A5,Data_metier!$B:$B,0))="Significatif"),
DE_niv_form!N5+0.5,
DE_niv_form!N5)</f>
        <v>1</v>
      </c>
      <c r="O5">
        <f>IF(AND(INDEX(Data_metier!$F:$F,MATCH(O$1,Data_metier!$B:$B,0))="Non significatif",
    INDEX(Data_metier!$F:$F,MATCH($A5,Data_metier!$B:$B,0))="Significatif"),
DE_niv_form!O5+0.5,
DE_niv_form!O5)</f>
        <v>2.5</v>
      </c>
      <c r="P5">
        <f>IF(AND(INDEX(Data_metier!$F:$F,MATCH(P$1,Data_metier!$B:$B,0))="Non significatif",
    INDEX(Data_metier!$F:$F,MATCH($A5,Data_metier!$B:$B,0))="Significatif"),
DE_niv_form!P5+0.5,
DE_niv_form!P5)</f>
        <v>2.5</v>
      </c>
      <c r="Q5">
        <f>IF(AND(INDEX(Data_metier!$F:$F,MATCH(Q$1,Data_metier!$B:$B,0))="Non significatif",
    INDEX(Data_metier!$F:$F,MATCH($A5,Data_metier!$B:$B,0))="Significatif"),
DE_niv_form!Q5+0.5,
DE_niv_form!Q5)</f>
        <v>0</v>
      </c>
      <c r="R5">
        <f>IF(AND(INDEX(Data_metier!$F:$F,MATCH(R$1,Data_metier!$B:$B,0))="Non significatif",
    INDEX(Data_metier!$F:$F,MATCH($A5,Data_metier!$B:$B,0))="Significatif"),
DE_niv_form!R5+0.5,
DE_niv_form!R5)</f>
        <v>-1</v>
      </c>
      <c r="S5">
        <f>IF(AND(INDEX(Data_metier!$F:$F,MATCH(S$1,Data_metier!$B:$B,0))="Non significatif",
    INDEX(Data_metier!$F:$F,MATCH($A5,Data_metier!$B:$B,0))="Significatif"),
DE_niv_form!S5+0.5,
DE_niv_form!S5)</f>
        <v>2.5</v>
      </c>
      <c r="T5">
        <f>IF(AND(INDEX(Data_metier!$F:$F,MATCH(T$1,Data_metier!$B:$B,0))="Non significatif",
    INDEX(Data_metier!$F:$F,MATCH($A5,Data_metier!$B:$B,0))="Significatif"),
DE_niv_form!T5+0.5,
DE_niv_form!T5)</f>
        <v>2.5</v>
      </c>
      <c r="U5">
        <f>IF(AND(INDEX(Data_metier!$F:$F,MATCH(U$1,Data_metier!$B:$B,0))="Non significatif",
    INDEX(Data_metier!$F:$F,MATCH($A5,Data_metier!$B:$B,0))="Significatif"),
DE_niv_form!U5+0.5,
DE_niv_form!U5)</f>
        <v>2.5</v>
      </c>
      <c r="V5">
        <f>IF(AND(INDEX(Data_metier!$F:$F,MATCH(V$1,Data_metier!$B:$B,0))="Non significatif",
    INDEX(Data_metier!$F:$F,MATCH($A5,Data_metier!$B:$B,0))="Significatif"),
DE_niv_form!V5+0.5,
DE_niv_form!V5)</f>
        <v>2.5</v>
      </c>
      <c r="W5">
        <f>IF(AND(INDEX(Data_metier!$F:$F,MATCH(W$1,Data_metier!$B:$B,0))="Non significatif",
    INDEX(Data_metier!$F:$F,MATCH($A5,Data_metier!$B:$B,0))="Significatif"),
DE_niv_form!W5+0.5,
DE_niv_form!W5)</f>
        <v>2</v>
      </c>
      <c r="X5">
        <f>IF(AND(INDEX(Data_metier!$F:$F,MATCH(X$1,Data_metier!$B:$B,0))="Non significatif",
    INDEX(Data_metier!$F:$F,MATCH($A5,Data_metier!$B:$B,0))="Significatif"),
DE_niv_form!X5+0.5,
DE_niv_form!X5)</f>
        <v>-1</v>
      </c>
      <c r="Y5">
        <f>IF(AND(INDEX(Data_metier!$F:$F,MATCH(Y$1,Data_metier!$B:$B,0))="Non significatif",
    INDEX(Data_metier!$F:$F,MATCH($A5,Data_metier!$B:$B,0))="Significatif"),
DE_niv_form!Y5+0.5,
DE_niv_form!Y5)</f>
        <v>2.5</v>
      </c>
      <c r="Z5">
        <f>IF(AND(INDEX(Data_metier!$F:$F,MATCH(Z$1,Data_metier!$B:$B,0))="Non significatif",
    INDEX(Data_metier!$F:$F,MATCH($A5,Data_metier!$B:$B,0))="Significatif"),
DE_niv_form!Z5+0.5,
DE_niv_form!Z5)</f>
        <v>2.5</v>
      </c>
      <c r="AA5">
        <f>IF(AND(INDEX(Data_metier!$F:$F,MATCH(AA$1,Data_metier!$B:$B,0))="Non significatif",
    INDEX(Data_metier!$F:$F,MATCH($A5,Data_metier!$B:$B,0))="Significatif"),
DE_niv_form!AA5+0.5,
DE_niv_form!AA5)</f>
        <v>2.5</v>
      </c>
      <c r="AB5">
        <f>IF(AND(INDEX(Data_metier!$F:$F,MATCH(AB$1,Data_metier!$B:$B,0))="Non significatif",
    INDEX(Data_metier!$F:$F,MATCH($A5,Data_metier!$B:$B,0))="Significatif"),
DE_niv_form!AB5+0.5,
DE_niv_form!AB5)</f>
        <v>2.5</v>
      </c>
      <c r="AC5">
        <f>IF(AND(INDEX(Data_metier!$F:$F,MATCH(AC$1,Data_metier!$B:$B,0))="Non significatif",
    INDEX(Data_metier!$F:$F,MATCH($A5,Data_metier!$B:$B,0))="Significatif"),
DE_niv_form!AC5+0.5,
DE_niv_form!AC5)</f>
        <v>2.5</v>
      </c>
      <c r="AD5">
        <f>IF(AND(INDEX(Data_metier!$F:$F,MATCH(AD$1,Data_metier!$B:$B,0))="Non significatif",
    INDEX(Data_metier!$F:$F,MATCH($A5,Data_metier!$B:$B,0))="Significatif"),
DE_niv_form!AD5+0.5,
DE_niv_form!AD5)</f>
        <v>1.5</v>
      </c>
    </row>
    <row r="6" spans="1:30">
      <c r="A6" t="str">
        <v>Maître(sse) de chai</v>
      </c>
      <c r="B6">
        <f>IF(AND(INDEX(Data_metier!$F:$F,MATCH(B$1,Data_metier!$B:$B,0))="Non significatif",
    INDEX(Data_metier!$F:$F,MATCH($A6,Data_metier!$B:$B,0))="Significatif"),
DE_niv_form!B6+0.5,
DE_niv_form!B6)</f>
        <v>2</v>
      </c>
      <c r="C6">
        <f>IF(AND(INDEX(Data_metier!$F:$F,MATCH(C$1,Data_metier!$B:$B,0))="Non significatif",
    INDEX(Data_metier!$F:$F,MATCH($A6,Data_metier!$B:$B,0))="Significatif"),
DE_niv_form!C6+0.5,
DE_niv_form!C6)</f>
        <v>2</v>
      </c>
      <c r="D6">
        <f>IF(AND(INDEX(Data_metier!$F:$F,MATCH(D$1,Data_metier!$B:$B,0))="Non significatif",
    INDEX(Data_metier!$F:$F,MATCH($A6,Data_metier!$B:$B,0))="Significatif"),
DE_niv_form!D6+0.5,
DE_niv_form!D6)</f>
        <v>2</v>
      </c>
      <c r="E6">
        <f>IF(AND(INDEX(Data_metier!$F:$F,MATCH(E$1,Data_metier!$B:$B,0))="Non significatif",
    INDEX(Data_metier!$F:$F,MATCH($A6,Data_metier!$B:$B,0))="Significatif"),
DE_niv_form!E6+0.5,
DE_niv_form!E6)</f>
        <v>1</v>
      </c>
      <c r="F6">
        <f>IF(AND(INDEX(Data_metier!$F:$F,MATCH(F$1,Data_metier!$B:$B,0))="Non significatif",
    INDEX(Data_metier!$F:$F,MATCH($A6,Data_metier!$B:$B,0))="Significatif"),
DE_niv_form!F6+0.5,
DE_niv_form!F6)</f>
        <v>0</v>
      </c>
      <c r="G6">
        <f>IF(AND(INDEX(Data_metier!$F:$F,MATCH(G$1,Data_metier!$B:$B,0))="Non significatif",
    INDEX(Data_metier!$F:$F,MATCH($A6,Data_metier!$B:$B,0))="Significatif"),
DE_niv_form!G6+0.5,
DE_niv_form!G6)</f>
        <v>0</v>
      </c>
      <c r="H6">
        <f>IF(AND(INDEX(Data_metier!$F:$F,MATCH(H$1,Data_metier!$B:$B,0))="Non significatif",
    INDEX(Data_metier!$F:$F,MATCH($A6,Data_metier!$B:$B,0))="Significatif"),
DE_niv_form!H6+0.5,
DE_niv_form!H6)</f>
        <v>0</v>
      </c>
      <c r="I6">
        <f>IF(AND(INDEX(Data_metier!$F:$F,MATCH(I$1,Data_metier!$B:$B,0))="Non significatif",
    INDEX(Data_metier!$F:$F,MATCH($A6,Data_metier!$B:$B,0))="Significatif"),
DE_niv_form!I6+0.5,
DE_niv_form!I6)</f>
        <v>2</v>
      </c>
      <c r="J6">
        <f>IF(AND(INDEX(Data_metier!$F:$F,MATCH(J$1,Data_metier!$B:$B,0))="Non significatif",
    INDEX(Data_metier!$F:$F,MATCH($A6,Data_metier!$B:$B,0))="Significatif"),
DE_niv_form!J6+0.5,
DE_niv_form!J6)</f>
        <v>1</v>
      </c>
      <c r="K6">
        <f>IF(AND(INDEX(Data_metier!$F:$F,MATCH(K$1,Data_metier!$B:$B,0))="Non significatif",
    INDEX(Data_metier!$F:$F,MATCH($A6,Data_metier!$B:$B,0))="Significatif"),
DE_niv_form!K6+0.5,
DE_niv_form!K6)</f>
        <v>-1</v>
      </c>
      <c r="L6">
        <f>IF(AND(INDEX(Data_metier!$F:$F,MATCH(L$1,Data_metier!$B:$B,0))="Non significatif",
    INDEX(Data_metier!$F:$F,MATCH($A6,Data_metier!$B:$B,0))="Significatif"),
DE_niv_form!L6+0.5,
DE_niv_form!L6)</f>
        <v>2</v>
      </c>
      <c r="M6">
        <f>IF(AND(INDEX(Data_metier!$F:$F,MATCH(M$1,Data_metier!$B:$B,0))="Non significatif",
    INDEX(Data_metier!$F:$F,MATCH($A6,Data_metier!$B:$B,0))="Significatif"),
DE_niv_form!M6+0.5,
DE_niv_form!M6)</f>
        <v>2</v>
      </c>
      <c r="N6">
        <f>IF(AND(INDEX(Data_metier!$F:$F,MATCH(N$1,Data_metier!$B:$B,0))="Non significatif",
    INDEX(Data_metier!$F:$F,MATCH($A6,Data_metier!$B:$B,0))="Significatif"),
DE_niv_form!N6+0.5,
DE_niv_form!N6)</f>
        <v>1</v>
      </c>
      <c r="O6">
        <f>IF(AND(INDEX(Data_metier!$F:$F,MATCH(O$1,Data_metier!$B:$B,0))="Non significatif",
    INDEX(Data_metier!$F:$F,MATCH($A6,Data_metier!$B:$B,0))="Significatif"),
DE_niv_form!O6+0.5,
DE_niv_form!O6)</f>
        <v>2</v>
      </c>
      <c r="P6">
        <f>IF(AND(INDEX(Data_metier!$F:$F,MATCH(P$1,Data_metier!$B:$B,0))="Non significatif",
    INDEX(Data_metier!$F:$F,MATCH($A6,Data_metier!$B:$B,0))="Significatif"),
DE_niv_form!P6+0.5,
DE_niv_form!P6)</f>
        <v>2</v>
      </c>
      <c r="Q6">
        <f>IF(AND(INDEX(Data_metier!$F:$F,MATCH(Q$1,Data_metier!$B:$B,0))="Non significatif",
    INDEX(Data_metier!$F:$F,MATCH($A6,Data_metier!$B:$B,0))="Significatif"),
DE_niv_form!Q6+0.5,
DE_niv_form!Q6)</f>
        <v>1</v>
      </c>
      <c r="R6">
        <f>IF(AND(INDEX(Data_metier!$F:$F,MATCH(R$1,Data_metier!$B:$B,0))="Non significatif",
    INDEX(Data_metier!$F:$F,MATCH($A6,Data_metier!$B:$B,0))="Significatif"),
DE_niv_form!R6+0.5,
DE_niv_form!R6)</f>
        <v>-1</v>
      </c>
      <c r="S6">
        <f>IF(AND(INDEX(Data_metier!$F:$F,MATCH(S$1,Data_metier!$B:$B,0))="Non significatif",
    INDEX(Data_metier!$F:$F,MATCH($A6,Data_metier!$B:$B,0))="Significatif"),
DE_niv_form!S6+0.5,
DE_niv_form!S6)</f>
        <v>2</v>
      </c>
      <c r="T6">
        <f>IF(AND(INDEX(Data_metier!$F:$F,MATCH(T$1,Data_metier!$B:$B,0))="Non significatif",
    INDEX(Data_metier!$F:$F,MATCH($A6,Data_metier!$B:$B,0))="Significatif"),
DE_niv_form!T6+0.5,
DE_niv_form!T6)</f>
        <v>2</v>
      </c>
      <c r="U6">
        <f>IF(AND(INDEX(Data_metier!$F:$F,MATCH(U$1,Data_metier!$B:$B,0))="Non significatif",
    INDEX(Data_metier!$F:$F,MATCH($A6,Data_metier!$B:$B,0))="Significatif"),
DE_niv_form!U6+0.5,
DE_niv_form!U6)</f>
        <v>2</v>
      </c>
      <c r="V6">
        <f>IF(AND(INDEX(Data_metier!$F:$F,MATCH(V$1,Data_metier!$B:$B,0))="Non significatif",
    INDEX(Data_metier!$F:$F,MATCH($A6,Data_metier!$B:$B,0))="Significatif"),
DE_niv_form!V6+0.5,
DE_niv_form!V6)</f>
        <v>2</v>
      </c>
      <c r="W6">
        <f>IF(AND(INDEX(Data_metier!$F:$F,MATCH(W$1,Data_metier!$B:$B,0))="Non significatif",
    INDEX(Data_metier!$F:$F,MATCH($A6,Data_metier!$B:$B,0))="Significatif"),
DE_niv_form!W6+0.5,
DE_niv_form!W6)</f>
        <v>2</v>
      </c>
      <c r="X6">
        <f>IF(AND(INDEX(Data_metier!$F:$F,MATCH(X$1,Data_metier!$B:$B,0))="Non significatif",
    INDEX(Data_metier!$F:$F,MATCH($A6,Data_metier!$B:$B,0))="Significatif"),
DE_niv_form!X6+0.5,
DE_niv_form!X6)</f>
        <v>0</v>
      </c>
      <c r="Y6">
        <f>IF(AND(INDEX(Data_metier!$F:$F,MATCH(Y$1,Data_metier!$B:$B,0))="Non significatif",
    INDEX(Data_metier!$F:$F,MATCH($A6,Data_metier!$B:$B,0))="Significatif"),
DE_niv_form!Y6+0.5,
DE_niv_form!Y6)</f>
        <v>2</v>
      </c>
      <c r="Z6">
        <f>IF(AND(INDEX(Data_metier!$F:$F,MATCH(Z$1,Data_metier!$B:$B,0))="Non significatif",
    INDEX(Data_metier!$F:$F,MATCH($A6,Data_metier!$B:$B,0))="Significatif"),
DE_niv_form!Z6+0.5,
DE_niv_form!Z6)</f>
        <v>2</v>
      </c>
      <c r="AA6">
        <f>IF(AND(INDEX(Data_metier!$F:$F,MATCH(AA$1,Data_metier!$B:$B,0))="Non significatif",
    INDEX(Data_metier!$F:$F,MATCH($A6,Data_metier!$B:$B,0))="Significatif"),
DE_niv_form!AA6+0.5,
DE_niv_form!AA6)</f>
        <v>2</v>
      </c>
      <c r="AB6">
        <f>IF(AND(INDEX(Data_metier!$F:$F,MATCH(AB$1,Data_metier!$B:$B,0))="Non significatif",
    INDEX(Data_metier!$F:$F,MATCH($A6,Data_metier!$B:$B,0))="Significatif"),
DE_niv_form!AB6+0.5,
DE_niv_form!AB6)</f>
        <v>2</v>
      </c>
      <c r="AC6">
        <f>IF(AND(INDEX(Data_metier!$F:$F,MATCH(AC$1,Data_metier!$B:$B,0))="Non significatif",
    INDEX(Data_metier!$F:$F,MATCH($A6,Data_metier!$B:$B,0))="Significatif"),
DE_niv_form!AC6+0.5,
DE_niv_form!AC6)</f>
        <v>2</v>
      </c>
      <c r="AD6">
        <f>IF(AND(INDEX(Data_metier!$F:$F,MATCH(AD$1,Data_metier!$B:$B,0))="Non significatif",
    INDEX(Data_metier!$F:$F,MATCH($A6,Data_metier!$B:$B,0))="Significatif"),
DE_niv_form!AD6+0.5,
DE_niv_form!AD6)</f>
        <v>2</v>
      </c>
    </row>
    <row r="7" spans="1:30">
      <c r="A7" t="str">
        <v>Superviseur(se) de production (fabrication / conditionnement)</v>
      </c>
      <c r="B7">
        <f>IF(AND(INDEX(Data_metier!$F:$F,MATCH(B$1,Data_metier!$B:$B,0))="Non significatif",
    INDEX(Data_metier!$F:$F,MATCH($A7,Data_metier!$B:$B,0))="Significatif"),
DE_niv_form!B7+0.5,
DE_niv_form!B7)</f>
        <v>2.5</v>
      </c>
      <c r="C7">
        <f>IF(AND(INDEX(Data_metier!$F:$F,MATCH(C$1,Data_metier!$B:$B,0))="Non significatif",
    INDEX(Data_metier!$F:$F,MATCH($A7,Data_metier!$B:$B,0))="Significatif"),
DE_niv_form!C7+0.5,
DE_niv_form!C7)</f>
        <v>2.5</v>
      </c>
      <c r="D7">
        <f>IF(AND(INDEX(Data_metier!$F:$F,MATCH(D$1,Data_metier!$B:$B,0))="Non significatif",
    INDEX(Data_metier!$F:$F,MATCH($A7,Data_metier!$B:$B,0))="Significatif"),
DE_niv_form!D7+0.5,
DE_niv_form!D7)</f>
        <v>2.5</v>
      </c>
      <c r="E7">
        <f>IF(AND(INDEX(Data_metier!$F:$F,MATCH(E$1,Data_metier!$B:$B,0))="Non significatif",
    INDEX(Data_metier!$F:$F,MATCH($A7,Data_metier!$B:$B,0))="Significatif"),
DE_niv_form!E7+0.5,
DE_niv_form!E7)</f>
        <v>1</v>
      </c>
      <c r="F7">
        <f>IF(AND(INDEX(Data_metier!$F:$F,MATCH(F$1,Data_metier!$B:$B,0))="Non significatif",
    INDEX(Data_metier!$F:$F,MATCH($A7,Data_metier!$B:$B,0))="Significatif"),
DE_niv_form!F7+0.5,
DE_niv_form!F7)</f>
        <v>0.5</v>
      </c>
      <c r="G7">
        <f>IF(AND(INDEX(Data_metier!$F:$F,MATCH(G$1,Data_metier!$B:$B,0))="Non significatif",
    INDEX(Data_metier!$F:$F,MATCH($A7,Data_metier!$B:$B,0))="Significatif"),
DE_niv_form!G7+0.5,
DE_niv_form!G7)</f>
        <v>0</v>
      </c>
      <c r="H7">
        <f>IF(AND(INDEX(Data_metier!$F:$F,MATCH(H$1,Data_metier!$B:$B,0))="Non significatif",
    INDEX(Data_metier!$F:$F,MATCH($A7,Data_metier!$B:$B,0))="Significatif"),
DE_niv_form!H7+0.5,
DE_niv_form!H7)</f>
        <v>0</v>
      </c>
      <c r="I7">
        <f>IF(AND(INDEX(Data_metier!$F:$F,MATCH(I$1,Data_metier!$B:$B,0))="Non significatif",
    INDEX(Data_metier!$F:$F,MATCH($A7,Data_metier!$B:$B,0))="Significatif"),
DE_niv_form!I7+0.5,
DE_niv_form!I7)</f>
        <v>2.5</v>
      </c>
      <c r="J7">
        <f>IF(AND(INDEX(Data_metier!$F:$F,MATCH(J$1,Data_metier!$B:$B,0))="Non significatif",
    INDEX(Data_metier!$F:$F,MATCH($A7,Data_metier!$B:$B,0))="Significatif"),
DE_niv_form!J7+0.5,
DE_niv_form!J7)</f>
        <v>1.5</v>
      </c>
      <c r="K7">
        <f>IF(AND(INDEX(Data_metier!$F:$F,MATCH(K$1,Data_metier!$B:$B,0))="Non significatif",
    INDEX(Data_metier!$F:$F,MATCH($A7,Data_metier!$B:$B,0))="Significatif"),
DE_niv_form!K7+0.5,
DE_niv_form!K7)</f>
        <v>-1</v>
      </c>
      <c r="L7">
        <f>IF(AND(INDEX(Data_metier!$F:$F,MATCH(L$1,Data_metier!$B:$B,0))="Non significatif",
    INDEX(Data_metier!$F:$F,MATCH($A7,Data_metier!$B:$B,0))="Significatif"),
DE_niv_form!L7+0.5,
DE_niv_form!L7)</f>
        <v>2.5</v>
      </c>
      <c r="M7">
        <f>IF(AND(INDEX(Data_metier!$F:$F,MATCH(M$1,Data_metier!$B:$B,0))="Non significatif",
    INDEX(Data_metier!$F:$F,MATCH($A7,Data_metier!$B:$B,0))="Significatif"),
DE_niv_form!M7+0.5,
DE_niv_form!M7)</f>
        <v>2.5</v>
      </c>
      <c r="N7">
        <f>IF(AND(INDEX(Data_metier!$F:$F,MATCH(N$1,Data_metier!$B:$B,0))="Non significatif",
    INDEX(Data_metier!$F:$F,MATCH($A7,Data_metier!$B:$B,0))="Significatif"),
DE_niv_form!N7+0.5,
DE_niv_form!N7)</f>
        <v>1</v>
      </c>
      <c r="O7">
        <f>IF(AND(INDEX(Data_metier!$F:$F,MATCH(O$1,Data_metier!$B:$B,0))="Non significatif",
    INDEX(Data_metier!$F:$F,MATCH($A7,Data_metier!$B:$B,0))="Significatif"),
DE_niv_form!O7+0.5,
DE_niv_form!O7)</f>
        <v>2.5</v>
      </c>
      <c r="P7">
        <f>IF(AND(INDEX(Data_metier!$F:$F,MATCH(P$1,Data_metier!$B:$B,0))="Non significatif",
    INDEX(Data_metier!$F:$F,MATCH($A7,Data_metier!$B:$B,0))="Significatif"),
DE_niv_form!P7+0.5,
DE_niv_form!P7)</f>
        <v>2.5</v>
      </c>
      <c r="Q7">
        <f>IF(AND(INDEX(Data_metier!$F:$F,MATCH(Q$1,Data_metier!$B:$B,0))="Non significatif",
    INDEX(Data_metier!$F:$F,MATCH($A7,Data_metier!$B:$B,0))="Significatif"),
DE_niv_form!Q7+0.5,
DE_niv_form!Q7)</f>
        <v>1</v>
      </c>
      <c r="R7">
        <f>IF(AND(INDEX(Data_metier!$F:$F,MATCH(R$1,Data_metier!$B:$B,0))="Non significatif",
    INDEX(Data_metier!$F:$F,MATCH($A7,Data_metier!$B:$B,0))="Significatif"),
DE_niv_form!R7+0.5,
DE_niv_form!R7)</f>
        <v>-1</v>
      </c>
      <c r="S7">
        <f>IF(AND(INDEX(Data_metier!$F:$F,MATCH(S$1,Data_metier!$B:$B,0))="Non significatif",
    INDEX(Data_metier!$F:$F,MATCH($A7,Data_metier!$B:$B,0))="Significatif"),
DE_niv_form!S7+0.5,
DE_niv_form!S7)</f>
        <v>2.5</v>
      </c>
      <c r="T7">
        <f>IF(AND(INDEX(Data_metier!$F:$F,MATCH(T$1,Data_metier!$B:$B,0))="Non significatif",
    INDEX(Data_metier!$F:$F,MATCH($A7,Data_metier!$B:$B,0))="Significatif"),
DE_niv_form!T7+0.5,
DE_niv_form!T7)</f>
        <v>2.5</v>
      </c>
      <c r="U7">
        <f>IF(AND(INDEX(Data_metier!$F:$F,MATCH(U$1,Data_metier!$B:$B,0))="Non significatif",
    INDEX(Data_metier!$F:$F,MATCH($A7,Data_metier!$B:$B,0))="Significatif"),
DE_niv_form!U7+0.5,
DE_niv_form!U7)</f>
        <v>2.5</v>
      </c>
      <c r="V7">
        <f>IF(AND(INDEX(Data_metier!$F:$F,MATCH(V$1,Data_metier!$B:$B,0))="Non significatif",
    INDEX(Data_metier!$F:$F,MATCH($A7,Data_metier!$B:$B,0))="Significatif"),
DE_niv_form!V7+0.5,
DE_niv_form!V7)</f>
        <v>2.5</v>
      </c>
      <c r="W7">
        <f>IF(AND(INDEX(Data_metier!$F:$F,MATCH(W$1,Data_metier!$B:$B,0))="Non significatif",
    INDEX(Data_metier!$F:$F,MATCH($A7,Data_metier!$B:$B,0))="Significatif"),
DE_niv_form!W7+0.5,
DE_niv_form!W7)</f>
        <v>2</v>
      </c>
      <c r="X7">
        <f>IF(AND(INDEX(Data_metier!$F:$F,MATCH(X$1,Data_metier!$B:$B,0))="Non significatif",
    INDEX(Data_metier!$F:$F,MATCH($A7,Data_metier!$B:$B,0))="Significatif"),
DE_niv_form!X7+0.5,
DE_niv_form!X7)</f>
        <v>0</v>
      </c>
      <c r="Y7">
        <f>IF(AND(INDEX(Data_metier!$F:$F,MATCH(Y$1,Data_metier!$B:$B,0))="Non significatif",
    INDEX(Data_metier!$F:$F,MATCH($A7,Data_metier!$B:$B,0))="Significatif"),
DE_niv_form!Y7+0.5,
DE_niv_form!Y7)</f>
        <v>2.5</v>
      </c>
      <c r="Z7">
        <f>IF(AND(INDEX(Data_metier!$F:$F,MATCH(Z$1,Data_metier!$B:$B,0))="Non significatif",
    INDEX(Data_metier!$F:$F,MATCH($A7,Data_metier!$B:$B,0))="Significatif"),
DE_niv_form!Z7+0.5,
DE_niv_form!Z7)</f>
        <v>2.5</v>
      </c>
      <c r="AA7">
        <f>IF(AND(INDEX(Data_metier!$F:$F,MATCH(AA$1,Data_metier!$B:$B,0))="Non significatif",
    INDEX(Data_metier!$F:$F,MATCH($A7,Data_metier!$B:$B,0))="Significatif"),
DE_niv_form!AA7+0.5,
DE_niv_form!AA7)</f>
        <v>2.5</v>
      </c>
      <c r="AB7">
        <f>IF(AND(INDEX(Data_metier!$F:$F,MATCH(AB$1,Data_metier!$B:$B,0))="Non significatif",
    INDEX(Data_metier!$F:$F,MATCH($A7,Data_metier!$B:$B,0))="Significatif"),
DE_niv_form!AB7+0.5,
DE_niv_form!AB7)</f>
        <v>2.5</v>
      </c>
      <c r="AC7">
        <f>IF(AND(INDEX(Data_metier!$F:$F,MATCH(AC$1,Data_metier!$B:$B,0))="Non significatif",
    INDEX(Data_metier!$F:$F,MATCH($A7,Data_metier!$B:$B,0))="Significatif"),
DE_niv_form!AC7+0.5,
DE_niv_form!AC7)</f>
        <v>2.5</v>
      </c>
      <c r="AD7">
        <f>IF(AND(INDEX(Data_metier!$F:$F,MATCH(AD$1,Data_metier!$B:$B,0))="Non significatif",
    INDEX(Data_metier!$F:$F,MATCH($A7,Data_metier!$B:$B,0))="Significatif"),
DE_niv_form!AD7+0.5,
DE_niv_form!AD7)</f>
        <v>2.5</v>
      </c>
    </row>
    <row r="8" spans="1:30">
      <c r="A8" t="str">
        <v>Spécialiste planning / ordonnancement</v>
      </c>
      <c r="B8">
        <f>IF(AND(INDEX(Data_metier!$F:$F,MATCH(B$1,Data_metier!$B:$B,0))="Non significatif",
    INDEX(Data_metier!$F:$F,MATCH($A8,Data_metier!$B:$B,0))="Significatif"),
DE_niv_form!B8+0.5,
DE_niv_form!B8)</f>
        <v>2.5</v>
      </c>
      <c r="C8">
        <f>IF(AND(INDEX(Data_metier!$F:$F,MATCH(C$1,Data_metier!$B:$B,0))="Non significatif",
    INDEX(Data_metier!$F:$F,MATCH($A8,Data_metier!$B:$B,0))="Significatif"),
DE_niv_form!C8+0.5,
DE_niv_form!C8)</f>
        <v>2.5</v>
      </c>
      <c r="D8">
        <f>IF(AND(INDEX(Data_metier!$F:$F,MATCH(D$1,Data_metier!$B:$B,0))="Non significatif",
    INDEX(Data_metier!$F:$F,MATCH($A8,Data_metier!$B:$B,0))="Significatif"),
DE_niv_form!D8+0.5,
DE_niv_form!D8)</f>
        <v>2.5</v>
      </c>
      <c r="E8">
        <f>IF(AND(INDEX(Data_metier!$F:$F,MATCH(E$1,Data_metier!$B:$B,0))="Non significatif",
    INDEX(Data_metier!$F:$F,MATCH($A8,Data_metier!$B:$B,0))="Significatif"),
DE_niv_form!E8+0.5,
DE_niv_form!E8)</f>
        <v>1</v>
      </c>
      <c r="F8">
        <f>IF(AND(INDEX(Data_metier!$F:$F,MATCH(F$1,Data_metier!$B:$B,0))="Non significatif",
    INDEX(Data_metier!$F:$F,MATCH($A8,Data_metier!$B:$B,0))="Significatif"),
DE_niv_form!F8+0.5,
DE_niv_form!F8)</f>
        <v>0.5</v>
      </c>
      <c r="G8">
        <f>IF(AND(INDEX(Data_metier!$F:$F,MATCH(G$1,Data_metier!$B:$B,0))="Non significatif",
    INDEX(Data_metier!$F:$F,MATCH($A8,Data_metier!$B:$B,0))="Significatif"),
DE_niv_form!G8+0.5,
DE_niv_form!G8)</f>
        <v>0</v>
      </c>
      <c r="H8">
        <f>IF(AND(INDEX(Data_metier!$F:$F,MATCH(H$1,Data_metier!$B:$B,0))="Non significatif",
    INDEX(Data_metier!$F:$F,MATCH($A8,Data_metier!$B:$B,0))="Significatif"),
DE_niv_form!H8+0.5,
DE_niv_form!H8)</f>
        <v>0</v>
      </c>
      <c r="I8">
        <f>IF(AND(INDEX(Data_metier!$F:$F,MATCH(I$1,Data_metier!$B:$B,0))="Non significatif",
    INDEX(Data_metier!$F:$F,MATCH($A8,Data_metier!$B:$B,0))="Significatif"),
DE_niv_form!I8+0.5,
DE_niv_form!I8)</f>
        <v>2.5</v>
      </c>
      <c r="J8">
        <f>IF(AND(INDEX(Data_metier!$F:$F,MATCH(J$1,Data_metier!$B:$B,0))="Non significatif",
    INDEX(Data_metier!$F:$F,MATCH($A8,Data_metier!$B:$B,0))="Significatif"),
DE_niv_form!J8+0.5,
DE_niv_form!J8)</f>
        <v>1.5</v>
      </c>
      <c r="K8">
        <f>IF(AND(INDEX(Data_metier!$F:$F,MATCH(K$1,Data_metier!$B:$B,0))="Non significatif",
    INDEX(Data_metier!$F:$F,MATCH($A8,Data_metier!$B:$B,0))="Significatif"),
DE_niv_form!K8+0.5,
DE_niv_form!K8)</f>
        <v>-1</v>
      </c>
      <c r="L8">
        <f>IF(AND(INDEX(Data_metier!$F:$F,MATCH(L$1,Data_metier!$B:$B,0))="Non significatif",
    INDEX(Data_metier!$F:$F,MATCH($A8,Data_metier!$B:$B,0))="Significatif"),
DE_niv_form!L8+0.5,
DE_niv_form!L8)</f>
        <v>2.5</v>
      </c>
      <c r="M8">
        <f>IF(AND(INDEX(Data_metier!$F:$F,MATCH(M$1,Data_metier!$B:$B,0))="Non significatif",
    INDEX(Data_metier!$F:$F,MATCH($A8,Data_metier!$B:$B,0))="Significatif"),
DE_niv_form!M8+0.5,
DE_niv_form!M8)</f>
        <v>2.5</v>
      </c>
      <c r="N8">
        <f>IF(AND(INDEX(Data_metier!$F:$F,MATCH(N$1,Data_metier!$B:$B,0))="Non significatif",
    INDEX(Data_metier!$F:$F,MATCH($A8,Data_metier!$B:$B,0))="Significatif"),
DE_niv_form!N8+0.5,
DE_niv_form!N8)</f>
        <v>1</v>
      </c>
      <c r="O8">
        <f>IF(AND(INDEX(Data_metier!$F:$F,MATCH(O$1,Data_metier!$B:$B,0))="Non significatif",
    INDEX(Data_metier!$F:$F,MATCH($A8,Data_metier!$B:$B,0))="Significatif"),
DE_niv_form!O8+0.5,
DE_niv_form!O8)</f>
        <v>2.5</v>
      </c>
      <c r="P8">
        <f>IF(AND(INDEX(Data_metier!$F:$F,MATCH(P$1,Data_metier!$B:$B,0))="Non significatif",
    INDEX(Data_metier!$F:$F,MATCH($A8,Data_metier!$B:$B,0))="Significatif"),
DE_niv_form!P8+0.5,
DE_niv_form!P8)</f>
        <v>2.5</v>
      </c>
      <c r="Q8">
        <f>IF(AND(INDEX(Data_metier!$F:$F,MATCH(Q$1,Data_metier!$B:$B,0))="Non significatif",
    INDEX(Data_metier!$F:$F,MATCH($A8,Data_metier!$B:$B,0))="Significatif"),
DE_niv_form!Q8+0.5,
DE_niv_form!Q8)</f>
        <v>1</v>
      </c>
      <c r="R8">
        <f>IF(AND(INDEX(Data_metier!$F:$F,MATCH(R$1,Data_metier!$B:$B,0))="Non significatif",
    INDEX(Data_metier!$F:$F,MATCH($A8,Data_metier!$B:$B,0))="Significatif"),
DE_niv_form!R8+0.5,
DE_niv_form!R8)</f>
        <v>-1</v>
      </c>
      <c r="S8">
        <f>IF(AND(INDEX(Data_metier!$F:$F,MATCH(S$1,Data_metier!$B:$B,0))="Non significatif",
    INDEX(Data_metier!$F:$F,MATCH($A8,Data_metier!$B:$B,0))="Significatif"),
DE_niv_form!S8+0.5,
DE_niv_form!S8)</f>
        <v>2.5</v>
      </c>
      <c r="T8">
        <f>IF(AND(INDEX(Data_metier!$F:$F,MATCH(T$1,Data_metier!$B:$B,0))="Non significatif",
    INDEX(Data_metier!$F:$F,MATCH($A8,Data_metier!$B:$B,0))="Significatif"),
DE_niv_form!T8+0.5,
DE_niv_form!T8)</f>
        <v>2.5</v>
      </c>
      <c r="U8">
        <f>IF(AND(INDEX(Data_metier!$F:$F,MATCH(U$1,Data_metier!$B:$B,0))="Non significatif",
    INDEX(Data_metier!$F:$F,MATCH($A8,Data_metier!$B:$B,0))="Significatif"),
DE_niv_form!U8+0.5,
DE_niv_form!U8)</f>
        <v>2.5</v>
      </c>
      <c r="V8">
        <f>IF(AND(INDEX(Data_metier!$F:$F,MATCH(V$1,Data_metier!$B:$B,0))="Non significatif",
    INDEX(Data_metier!$F:$F,MATCH($A8,Data_metier!$B:$B,0))="Significatif"),
DE_niv_form!V8+0.5,
DE_niv_form!V8)</f>
        <v>2.5</v>
      </c>
      <c r="W8">
        <f>IF(AND(INDEX(Data_metier!$F:$F,MATCH(W$1,Data_metier!$B:$B,0))="Non significatif",
    INDEX(Data_metier!$F:$F,MATCH($A8,Data_metier!$B:$B,0))="Significatif"),
DE_niv_form!W8+0.5,
DE_niv_form!W8)</f>
        <v>2</v>
      </c>
      <c r="X8">
        <f>IF(AND(INDEX(Data_metier!$F:$F,MATCH(X$1,Data_metier!$B:$B,0))="Non significatif",
    INDEX(Data_metier!$F:$F,MATCH($A8,Data_metier!$B:$B,0))="Significatif"),
DE_niv_form!X8+0.5,
DE_niv_form!X8)</f>
        <v>0</v>
      </c>
      <c r="Y8">
        <f>IF(AND(INDEX(Data_metier!$F:$F,MATCH(Y$1,Data_metier!$B:$B,0))="Non significatif",
    INDEX(Data_metier!$F:$F,MATCH($A8,Data_metier!$B:$B,0))="Significatif"),
DE_niv_form!Y8+0.5,
DE_niv_form!Y8)</f>
        <v>2.5</v>
      </c>
      <c r="Z8">
        <f>IF(AND(INDEX(Data_metier!$F:$F,MATCH(Z$1,Data_metier!$B:$B,0))="Non significatif",
    INDEX(Data_metier!$F:$F,MATCH($A8,Data_metier!$B:$B,0))="Significatif"),
DE_niv_form!Z8+0.5,
DE_niv_form!Z8)</f>
        <v>2.5</v>
      </c>
      <c r="AA8">
        <f>IF(AND(INDEX(Data_metier!$F:$F,MATCH(AA$1,Data_metier!$B:$B,0))="Non significatif",
    INDEX(Data_metier!$F:$F,MATCH($A8,Data_metier!$B:$B,0))="Significatif"),
DE_niv_form!AA8+0.5,
DE_niv_form!AA8)</f>
        <v>2.5</v>
      </c>
      <c r="AB8">
        <f>IF(AND(INDEX(Data_metier!$F:$F,MATCH(AB$1,Data_metier!$B:$B,0))="Non significatif",
    INDEX(Data_metier!$F:$F,MATCH($A8,Data_metier!$B:$B,0))="Significatif"),
DE_niv_form!AB8+0.5,
DE_niv_form!AB8)</f>
        <v>2.5</v>
      </c>
      <c r="AC8">
        <f>IF(AND(INDEX(Data_metier!$F:$F,MATCH(AC$1,Data_metier!$B:$B,0))="Non significatif",
    INDEX(Data_metier!$F:$F,MATCH($A8,Data_metier!$B:$B,0))="Significatif"),
DE_niv_form!AC8+0.5,
DE_niv_form!AC8)</f>
        <v>2.5</v>
      </c>
      <c r="AD8">
        <f>IF(AND(INDEX(Data_metier!$F:$F,MATCH(AD$1,Data_metier!$B:$B,0))="Non significatif",
    INDEX(Data_metier!$F:$F,MATCH($A8,Data_metier!$B:$B,0))="Significatif"),
DE_niv_form!AD8+0.5,
DE_niv_form!AD8)</f>
        <v>2.5</v>
      </c>
    </row>
    <row r="9" spans="1:30">
      <c r="A9" t="str">
        <v>Opérateur(trice) logistique</v>
      </c>
      <c r="B9">
        <f>IF(AND(INDEX(Data_metier!$F:$F,MATCH(B$1,Data_metier!$B:$B,0))="Non significatif",
    INDEX(Data_metier!$F:$F,MATCH($A9,Data_metier!$B:$B,0))="Significatif"),
DE_niv_form!B9+0.5,
DE_niv_form!B9)</f>
        <v>-1</v>
      </c>
      <c r="C9">
        <f>IF(AND(INDEX(Data_metier!$F:$F,MATCH(C$1,Data_metier!$B:$B,0))="Non significatif",
    INDEX(Data_metier!$F:$F,MATCH($A9,Data_metier!$B:$B,0))="Significatif"),
DE_niv_form!C9+0.5,
DE_niv_form!C9)</f>
        <v>-1</v>
      </c>
      <c r="D9">
        <f>IF(AND(INDEX(Data_metier!$F:$F,MATCH(D$1,Data_metier!$B:$B,0))="Non significatif",
    INDEX(Data_metier!$F:$F,MATCH($A9,Data_metier!$B:$B,0))="Significatif"),
DE_niv_form!D9+0.5,
DE_niv_form!D9)</f>
        <v>0</v>
      </c>
      <c r="E9">
        <f>IF(AND(INDEX(Data_metier!$F:$F,MATCH(E$1,Data_metier!$B:$B,0))="Non significatif",
    INDEX(Data_metier!$F:$F,MATCH($A9,Data_metier!$B:$B,0))="Significatif"),
DE_niv_form!E9+0.5,
DE_niv_form!E9)</f>
        <v>-1</v>
      </c>
      <c r="F9">
        <f>IF(AND(INDEX(Data_metier!$F:$F,MATCH(F$1,Data_metier!$B:$B,0))="Non significatif",
    INDEX(Data_metier!$F:$F,MATCH($A9,Data_metier!$B:$B,0))="Significatif"),
DE_niv_form!F9+0.5,
DE_niv_form!F9)</f>
        <v>-1</v>
      </c>
      <c r="G9">
        <f>IF(AND(INDEX(Data_metier!$F:$F,MATCH(G$1,Data_metier!$B:$B,0))="Non significatif",
    INDEX(Data_metier!$F:$F,MATCH($A9,Data_metier!$B:$B,0))="Significatif"),
DE_niv_form!G9+0.5,
DE_niv_form!G9)</f>
        <v>-1</v>
      </c>
      <c r="H9">
        <f>IF(AND(INDEX(Data_metier!$F:$F,MATCH(H$1,Data_metier!$B:$B,0))="Non significatif",
    INDEX(Data_metier!$F:$F,MATCH($A9,Data_metier!$B:$B,0))="Significatif"),
DE_niv_form!H9+0.5,
DE_niv_form!H9)</f>
        <v>-1</v>
      </c>
      <c r="I9">
        <f>IF(AND(INDEX(Data_metier!$F:$F,MATCH(I$1,Data_metier!$B:$B,0))="Non significatif",
    INDEX(Data_metier!$F:$F,MATCH($A9,Data_metier!$B:$B,0))="Significatif"),
DE_niv_form!I9+0.5,
DE_niv_form!I9)</f>
        <v>0</v>
      </c>
      <c r="J9">
        <f>IF(AND(INDEX(Data_metier!$F:$F,MATCH(J$1,Data_metier!$B:$B,0))="Non significatif",
    INDEX(Data_metier!$F:$F,MATCH($A9,Data_metier!$B:$B,0))="Significatif"),
DE_niv_form!J9+0.5,
DE_niv_form!J9)</f>
        <v>-1</v>
      </c>
      <c r="K9">
        <f>IF(AND(INDEX(Data_metier!$F:$F,MATCH(K$1,Data_metier!$B:$B,0))="Non significatif",
    INDEX(Data_metier!$F:$F,MATCH($A9,Data_metier!$B:$B,0))="Significatif"),
DE_niv_form!K9+0.5,
DE_niv_form!K9)</f>
        <v>-1</v>
      </c>
      <c r="L9">
        <f>IF(AND(INDEX(Data_metier!$F:$F,MATCH(L$1,Data_metier!$B:$B,0))="Non significatif",
    INDEX(Data_metier!$F:$F,MATCH($A9,Data_metier!$B:$B,0))="Significatif"),
DE_niv_form!L9+0.5,
DE_niv_form!L9)</f>
        <v>0</v>
      </c>
      <c r="M9">
        <f>IF(AND(INDEX(Data_metier!$F:$F,MATCH(M$1,Data_metier!$B:$B,0))="Non significatif",
    INDEX(Data_metier!$F:$F,MATCH($A9,Data_metier!$B:$B,0))="Significatif"),
DE_niv_form!M9+0.5,
DE_niv_form!M9)</f>
        <v>-1</v>
      </c>
      <c r="N9">
        <f>IF(AND(INDEX(Data_metier!$F:$F,MATCH(N$1,Data_metier!$B:$B,0))="Non significatif",
    INDEX(Data_metier!$F:$F,MATCH($A9,Data_metier!$B:$B,0))="Significatif"),
DE_niv_form!N9+0.5,
DE_niv_form!N9)</f>
        <v>-1</v>
      </c>
      <c r="O9">
        <f>IF(AND(INDEX(Data_metier!$F:$F,MATCH(O$1,Data_metier!$B:$B,0))="Non significatif",
    INDEX(Data_metier!$F:$F,MATCH($A9,Data_metier!$B:$B,0))="Significatif"),
DE_niv_form!O9+0.5,
DE_niv_form!O9)</f>
        <v>0</v>
      </c>
      <c r="P9">
        <f>IF(AND(INDEX(Data_metier!$F:$F,MATCH(P$1,Data_metier!$B:$B,0))="Non significatif",
    INDEX(Data_metier!$F:$F,MATCH($A9,Data_metier!$B:$B,0))="Significatif"),
DE_niv_form!P9+0.5,
DE_niv_form!P9)</f>
        <v>0</v>
      </c>
      <c r="Q9">
        <f>IF(AND(INDEX(Data_metier!$F:$F,MATCH(Q$1,Data_metier!$B:$B,0))="Non significatif",
    INDEX(Data_metier!$F:$F,MATCH($A9,Data_metier!$B:$B,0))="Significatif"),
DE_niv_form!Q9+0.5,
DE_niv_form!Q9)</f>
        <v>-1</v>
      </c>
      <c r="R9">
        <f>IF(AND(INDEX(Data_metier!$F:$F,MATCH(R$1,Data_metier!$B:$B,0))="Non significatif",
    INDEX(Data_metier!$F:$F,MATCH($A9,Data_metier!$B:$B,0))="Significatif"),
DE_niv_form!R9+0.5,
DE_niv_form!R9)</f>
        <v>-1</v>
      </c>
      <c r="S9">
        <f>IF(AND(INDEX(Data_metier!$F:$F,MATCH(S$1,Data_metier!$B:$B,0))="Non significatif",
    INDEX(Data_metier!$F:$F,MATCH($A9,Data_metier!$B:$B,0))="Significatif"),
DE_niv_form!S9+0.5,
DE_niv_form!S9)</f>
        <v>0</v>
      </c>
      <c r="T9">
        <f>IF(AND(INDEX(Data_metier!$F:$F,MATCH(T$1,Data_metier!$B:$B,0))="Non significatif",
    INDEX(Data_metier!$F:$F,MATCH($A9,Data_metier!$B:$B,0))="Significatif"),
DE_niv_form!T9+0.5,
DE_niv_form!T9)</f>
        <v>0</v>
      </c>
      <c r="U9">
        <f>IF(AND(INDEX(Data_metier!$F:$F,MATCH(U$1,Data_metier!$B:$B,0))="Non significatif",
    INDEX(Data_metier!$F:$F,MATCH($A9,Data_metier!$B:$B,0))="Significatif"),
DE_niv_form!U9+0.5,
DE_niv_form!U9)</f>
        <v>0</v>
      </c>
      <c r="V9">
        <f>IF(AND(INDEX(Data_metier!$F:$F,MATCH(V$1,Data_metier!$B:$B,0))="Non significatif",
    INDEX(Data_metier!$F:$F,MATCH($A9,Data_metier!$B:$B,0))="Significatif"),
DE_niv_form!V9+0.5,
DE_niv_form!V9)</f>
        <v>-1</v>
      </c>
      <c r="W9">
        <f>IF(AND(INDEX(Data_metier!$F:$F,MATCH(W$1,Data_metier!$B:$B,0))="Non significatif",
    INDEX(Data_metier!$F:$F,MATCH($A9,Data_metier!$B:$B,0))="Significatif"),
DE_niv_form!W9+0.5,
DE_niv_form!W9)</f>
        <v>-1</v>
      </c>
      <c r="X9">
        <f>IF(AND(INDEX(Data_metier!$F:$F,MATCH(X$1,Data_metier!$B:$B,0))="Non significatif",
    INDEX(Data_metier!$F:$F,MATCH($A9,Data_metier!$B:$B,0))="Significatif"),
DE_niv_form!X9+0.5,
DE_niv_form!X9)</f>
        <v>-1</v>
      </c>
      <c r="Y9">
        <f>IF(AND(INDEX(Data_metier!$F:$F,MATCH(Y$1,Data_metier!$B:$B,0))="Non significatif",
    INDEX(Data_metier!$F:$F,MATCH($A9,Data_metier!$B:$B,0))="Significatif"),
DE_niv_form!Y9+0.5,
DE_niv_form!Y9)</f>
        <v>0</v>
      </c>
      <c r="Z9">
        <f>IF(AND(INDEX(Data_metier!$F:$F,MATCH(Z$1,Data_metier!$B:$B,0))="Non significatif",
    INDEX(Data_metier!$F:$F,MATCH($A9,Data_metier!$B:$B,0))="Significatif"),
DE_niv_form!Z9+0.5,
DE_niv_form!Z9)</f>
        <v>0</v>
      </c>
      <c r="AA9">
        <f>IF(AND(INDEX(Data_metier!$F:$F,MATCH(AA$1,Data_metier!$B:$B,0))="Non significatif",
    INDEX(Data_metier!$F:$F,MATCH($A9,Data_metier!$B:$B,0))="Significatif"),
DE_niv_form!AA9+0.5,
DE_niv_form!AA9)</f>
        <v>0</v>
      </c>
      <c r="AB9">
        <f>IF(AND(INDEX(Data_metier!$F:$F,MATCH(AB$1,Data_metier!$B:$B,0))="Non significatif",
    INDEX(Data_metier!$F:$F,MATCH($A9,Data_metier!$B:$B,0))="Significatif"),
DE_niv_form!AB9+0.5,
DE_niv_form!AB9)</f>
        <v>-1</v>
      </c>
      <c r="AC9">
        <f>IF(AND(INDEX(Data_metier!$F:$F,MATCH(AC$1,Data_metier!$B:$B,0))="Non significatif",
    INDEX(Data_metier!$F:$F,MATCH($A9,Data_metier!$B:$B,0))="Significatif"),
DE_niv_form!AC9+0.5,
DE_niv_form!AC9)</f>
        <v>-1</v>
      </c>
      <c r="AD9">
        <f>IF(AND(INDEX(Data_metier!$F:$F,MATCH(AD$1,Data_metier!$B:$B,0))="Non significatif",
    INDEX(Data_metier!$F:$F,MATCH($A9,Data_metier!$B:$B,0))="Significatif"),
DE_niv_form!AD9+0.5,
DE_niv_form!AD9)</f>
        <v>-1</v>
      </c>
    </row>
    <row r="10" spans="1:30">
      <c r="A10" t="str">
        <v>Logisticien(ne) approvisionneur(se)</v>
      </c>
      <c r="B10">
        <f>IF(AND(INDEX(Data_metier!$F:$F,MATCH(B$1,Data_metier!$B:$B,0))="Non significatif",
    INDEX(Data_metier!$F:$F,MATCH($A10,Data_metier!$B:$B,0))="Significatif"),
DE_niv_form!B10+0.5,
DE_niv_form!B10)</f>
        <v>2</v>
      </c>
      <c r="C10">
        <f>IF(AND(INDEX(Data_metier!$F:$F,MATCH(C$1,Data_metier!$B:$B,0))="Non significatif",
    INDEX(Data_metier!$F:$F,MATCH($A10,Data_metier!$B:$B,0))="Significatif"),
DE_niv_form!C10+0.5,
DE_niv_form!C10)</f>
        <v>2</v>
      </c>
      <c r="D10">
        <f>IF(AND(INDEX(Data_metier!$F:$F,MATCH(D$1,Data_metier!$B:$B,0))="Non significatif",
    INDEX(Data_metier!$F:$F,MATCH($A10,Data_metier!$B:$B,0))="Significatif"),
DE_niv_form!D10+0.5,
DE_niv_form!D10)</f>
        <v>2</v>
      </c>
      <c r="E10">
        <f>IF(AND(INDEX(Data_metier!$F:$F,MATCH(E$1,Data_metier!$B:$B,0))="Non significatif",
    INDEX(Data_metier!$F:$F,MATCH($A10,Data_metier!$B:$B,0))="Significatif"),
DE_niv_form!E10+0.5,
DE_niv_form!E10)</f>
        <v>0</v>
      </c>
      <c r="F10">
        <f>IF(AND(INDEX(Data_metier!$F:$F,MATCH(F$1,Data_metier!$B:$B,0))="Non significatif",
    INDEX(Data_metier!$F:$F,MATCH($A10,Data_metier!$B:$B,0))="Significatif"),
DE_niv_form!F10+0.5,
DE_niv_form!F10)</f>
        <v>-1</v>
      </c>
      <c r="G10">
        <f>IF(AND(INDEX(Data_metier!$F:$F,MATCH(G$1,Data_metier!$B:$B,0))="Non significatif",
    INDEX(Data_metier!$F:$F,MATCH($A10,Data_metier!$B:$B,0))="Significatif"),
DE_niv_form!G10+0.5,
DE_niv_form!G10)</f>
        <v>-1</v>
      </c>
      <c r="H10">
        <f>IF(AND(INDEX(Data_metier!$F:$F,MATCH(H$1,Data_metier!$B:$B,0))="Non significatif",
    INDEX(Data_metier!$F:$F,MATCH($A10,Data_metier!$B:$B,0))="Significatif"),
DE_niv_form!H10+0.5,
DE_niv_form!H10)</f>
        <v>-1</v>
      </c>
      <c r="I10">
        <f>IF(AND(INDEX(Data_metier!$F:$F,MATCH(I$1,Data_metier!$B:$B,0))="Non significatif",
    INDEX(Data_metier!$F:$F,MATCH($A10,Data_metier!$B:$B,0))="Significatif"),
DE_niv_form!I10+0.5,
DE_niv_form!I10)</f>
        <v>2</v>
      </c>
      <c r="J10">
        <f>IF(AND(INDEX(Data_metier!$F:$F,MATCH(J$1,Data_metier!$B:$B,0))="Non significatif",
    INDEX(Data_metier!$F:$F,MATCH($A10,Data_metier!$B:$B,0))="Significatif"),
DE_niv_form!J10+0.5,
DE_niv_form!J10)</f>
        <v>0</v>
      </c>
      <c r="K10">
        <f>IF(AND(INDEX(Data_metier!$F:$F,MATCH(K$1,Data_metier!$B:$B,0))="Non significatif",
    INDEX(Data_metier!$F:$F,MATCH($A10,Data_metier!$B:$B,0))="Significatif"),
DE_niv_form!K10+0.5,
DE_niv_form!K10)</f>
        <v>-1</v>
      </c>
      <c r="L10">
        <f>IF(AND(INDEX(Data_metier!$F:$F,MATCH(L$1,Data_metier!$B:$B,0))="Non significatif",
    INDEX(Data_metier!$F:$F,MATCH($A10,Data_metier!$B:$B,0))="Significatif"),
DE_niv_form!L10+0.5,
DE_niv_form!L10)</f>
        <v>2</v>
      </c>
      <c r="M10">
        <f>IF(AND(INDEX(Data_metier!$F:$F,MATCH(M$1,Data_metier!$B:$B,0))="Non significatif",
    INDEX(Data_metier!$F:$F,MATCH($A10,Data_metier!$B:$B,0))="Significatif"),
DE_niv_form!M10+0.5,
DE_niv_form!M10)</f>
        <v>2</v>
      </c>
      <c r="N10">
        <f>IF(AND(INDEX(Data_metier!$F:$F,MATCH(N$1,Data_metier!$B:$B,0))="Non significatif",
    INDEX(Data_metier!$F:$F,MATCH($A10,Data_metier!$B:$B,0))="Significatif"),
DE_niv_form!N10+0.5,
DE_niv_form!N10)</f>
        <v>1</v>
      </c>
      <c r="O10">
        <f>IF(AND(INDEX(Data_metier!$F:$F,MATCH(O$1,Data_metier!$B:$B,0))="Non significatif",
    INDEX(Data_metier!$F:$F,MATCH($A10,Data_metier!$B:$B,0))="Significatif"),
DE_niv_form!O10+0.5,
DE_niv_form!O10)</f>
        <v>2</v>
      </c>
      <c r="P10">
        <f>IF(AND(INDEX(Data_metier!$F:$F,MATCH(P$1,Data_metier!$B:$B,0))="Non significatif",
    INDEX(Data_metier!$F:$F,MATCH($A10,Data_metier!$B:$B,0))="Significatif"),
DE_niv_form!P10+0.5,
DE_niv_form!P10)</f>
        <v>2</v>
      </c>
      <c r="Q10">
        <f>IF(AND(INDEX(Data_metier!$F:$F,MATCH(Q$1,Data_metier!$B:$B,0))="Non significatif",
    INDEX(Data_metier!$F:$F,MATCH($A10,Data_metier!$B:$B,0))="Significatif"),
DE_niv_form!Q10+0.5,
DE_niv_form!Q10)</f>
        <v>0</v>
      </c>
      <c r="R10">
        <f>IF(AND(INDEX(Data_metier!$F:$F,MATCH(R$1,Data_metier!$B:$B,0))="Non significatif",
    INDEX(Data_metier!$F:$F,MATCH($A10,Data_metier!$B:$B,0))="Significatif"),
DE_niv_form!R10+0.5,
DE_niv_form!R10)</f>
        <v>-1</v>
      </c>
      <c r="S10">
        <f>IF(AND(INDEX(Data_metier!$F:$F,MATCH(S$1,Data_metier!$B:$B,0))="Non significatif",
    INDEX(Data_metier!$F:$F,MATCH($A10,Data_metier!$B:$B,0))="Significatif"),
DE_niv_form!S10+0.5,
DE_niv_form!S10)</f>
        <v>2</v>
      </c>
      <c r="T10">
        <f>IF(AND(INDEX(Data_metier!$F:$F,MATCH(T$1,Data_metier!$B:$B,0))="Non significatif",
    INDEX(Data_metier!$F:$F,MATCH($A10,Data_metier!$B:$B,0))="Significatif"),
DE_niv_form!T10+0.5,
DE_niv_form!T10)</f>
        <v>2</v>
      </c>
      <c r="U10">
        <f>IF(AND(INDEX(Data_metier!$F:$F,MATCH(U$1,Data_metier!$B:$B,0))="Non significatif",
    INDEX(Data_metier!$F:$F,MATCH($A10,Data_metier!$B:$B,0))="Significatif"),
DE_niv_form!U10+0.5,
DE_niv_form!U10)</f>
        <v>2</v>
      </c>
      <c r="V10">
        <f>IF(AND(INDEX(Data_metier!$F:$F,MATCH(V$1,Data_metier!$B:$B,0))="Non significatif",
    INDEX(Data_metier!$F:$F,MATCH($A10,Data_metier!$B:$B,0))="Significatif"),
DE_niv_form!V10+0.5,
DE_niv_form!V10)</f>
        <v>2</v>
      </c>
      <c r="W10">
        <f>IF(AND(INDEX(Data_metier!$F:$F,MATCH(W$1,Data_metier!$B:$B,0))="Non significatif",
    INDEX(Data_metier!$F:$F,MATCH($A10,Data_metier!$B:$B,0))="Significatif"),
DE_niv_form!W10+0.5,
DE_niv_form!W10)</f>
        <v>2</v>
      </c>
      <c r="X10">
        <f>IF(AND(INDEX(Data_metier!$F:$F,MATCH(X$1,Data_metier!$B:$B,0))="Non significatif",
    INDEX(Data_metier!$F:$F,MATCH($A10,Data_metier!$B:$B,0))="Significatif"),
DE_niv_form!X10+0.5,
DE_niv_form!X10)</f>
        <v>-1</v>
      </c>
      <c r="Y10">
        <f>IF(AND(INDEX(Data_metier!$F:$F,MATCH(Y$1,Data_metier!$B:$B,0))="Non significatif",
    INDEX(Data_metier!$F:$F,MATCH($A10,Data_metier!$B:$B,0))="Significatif"),
DE_niv_form!Y10+0.5,
DE_niv_form!Y10)</f>
        <v>2</v>
      </c>
      <c r="Z10">
        <f>IF(AND(INDEX(Data_metier!$F:$F,MATCH(Z$1,Data_metier!$B:$B,0))="Non significatif",
    INDEX(Data_metier!$F:$F,MATCH($A10,Data_metier!$B:$B,0))="Significatif"),
DE_niv_form!Z10+0.5,
DE_niv_form!Z10)</f>
        <v>2</v>
      </c>
      <c r="AA10">
        <f>IF(AND(INDEX(Data_metier!$F:$F,MATCH(AA$1,Data_metier!$B:$B,0))="Non significatif",
    INDEX(Data_metier!$F:$F,MATCH($A10,Data_metier!$B:$B,0))="Significatif"),
DE_niv_form!AA10+0.5,
DE_niv_form!AA10)</f>
        <v>2</v>
      </c>
      <c r="AB10">
        <f>IF(AND(INDEX(Data_metier!$F:$F,MATCH(AB$1,Data_metier!$B:$B,0))="Non significatif",
    INDEX(Data_metier!$F:$F,MATCH($A10,Data_metier!$B:$B,0))="Significatif"),
DE_niv_form!AB10+0.5,
DE_niv_form!AB10)</f>
        <v>2</v>
      </c>
      <c r="AC10">
        <f>IF(AND(INDEX(Data_metier!$F:$F,MATCH(AC$1,Data_metier!$B:$B,0))="Non significatif",
    INDEX(Data_metier!$F:$F,MATCH($A10,Data_metier!$B:$B,0))="Significatif"),
DE_niv_form!AC10+0.5,
DE_niv_form!AC10)</f>
        <v>2</v>
      </c>
      <c r="AD10">
        <f>IF(AND(INDEX(Data_metier!$F:$F,MATCH(AD$1,Data_metier!$B:$B,0))="Non significatif",
    INDEX(Data_metier!$F:$F,MATCH($A10,Data_metier!$B:$B,0))="Significatif"),
DE_niv_form!AD10+0.5,
DE_niv_form!AD10)</f>
        <v>1</v>
      </c>
    </row>
    <row r="11" spans="1:30">
      <c r="A11" t="str">
        <v>Responsable de production de produits alimentaires (fabrication / conditionnement)</v>
      </c>
      <c r="B11">
        <f>IF(AND(INDEX(Data_metier!$F:$F,MATCH(B$1,Data_metier!$B:$B,0))="Non significatif",
    INDEX(Data_metier!$F:$F,MATCH($A11,Data_metier!$B:$B,0))="Significatif"),
DE_niv_form!B11+0.5,
DE_niv_form!B11)</f>
        <v>2.5</v>
      </c>
      <c r="C11">
        <f>IF(AND(INDEX(Data_metier!$F:$F,MATCH(C$1,Data_metier!$B:$B,0))="Non significatif",
    INDEX(Data_metier!$F:$F,MATCH($A11,Data_metier!$B:$B,0))="Significatif"),
DE_niv_form!C11+0.5,
DE_niv_form!C11)</f>
        <v>2.5</v>
      </c>
      <c r="D11">
        <f>IF(AND(INDEX(Data_metier!$F:$F,MATCH(D$1,Data_metier!$B:$B,0))="Non significatif",
    INDEX(Data_metier!$F:$F,MATCH($A11,Data_metier!$B:$B,0))="Significatif"),
DE_niv_form!D11+0.5,
DE_niv_form!D11)</f>
        <v>2.5</v>
      </c>
      <c r="E11">
        <f>IF(AND(INDEX(Data_metier!$F:$F,MATCH(E$1,Data_metier!$B:$B,0))="Non significatif",
    INDEX(Data_metier!$F:$F,MATCH($A11,Data_metier!$B:$B,0))="Significatif"),
DE_niv_form!E11+0.5,
DE_niv_form!E11)</f>
        <v>2</v>
      </c>
      <c r="F11">
        <f>IF(AND(INDEX(Data_metier!$F:$F,MATCH(F$1,Data_metier!$B:$B,0))="Non significatif",
    INDEX(Data_metier!$F:$F,MATCH($A11,Data_metier!$B:$B,0))="Significatif"),
DE_niv_form!F11+0.5,
DE_niv_form!F11)</f>
        <v>1.5</v>
      </c>
      <c r="G11">
        <f>IF(AND(INDEX(Data_metier!$F:$F,MATCH(G$1,Data_metier!$B:$B,0))="Non significatif",
    INDEX(Data_metier!$F:$F,MATCH($A11,Data_metier!$B:$B,0))="Significatif"),
DE_niv_form!G11+0.5,
DE_niv_form!G11)</f>
        <v>1</v>
      </c>
      <c r="H11">
        <f>IF(AND(INDEX(Data_metier!$F:$F,MATCH(H$1,Data_metier!$B:$B,0))="Non significatif",
    INDEX(Data_metier!$F:$F,MATCH($A11,Data_metier!$B:$B,0))="Significatif"),
DE_niv_form!H11+0.5,
DE_niv_form!H11)</f>
        <v>1</v>
      </c>
      <c r="I11">
        <f>IF(AND(INDEX(Data_metier!$F:$F,MATCH(I$1,Data_metier!$B:$B,0))="Non significatif",
    INDEX(Data_metier!$F:$F,MATCH($A11,Data_metier!$B:$B,0))="Significatif"),
DE_niv_form!I11+0.5,
DE_niv_form!I11)</f>
        <v>2.5</v>
      </c>
      <c r="J11">
        <f>IF(AND(INDEX(Data_metier!$F:$F,MATCH(J$1,Data_metier!$B:$B,0))="Non significatif",
    INDEX(Data_metier!$F:$F,MATCH($A11,Data_metier!$B:$B,0))="Significatif"),
DE_niv_form!J11+0.5,
DE_niv_form!J11)</f>
        <v>2.5</v>
      </c>
      <c r="K11">
        <f>IF(AND(INDEX(Data_metier!$F:$F,MATCH(K$1,Data_metier!$B:$B,0))="Non significatif",
    INDEX(Data_metier!$F:$F,MATCH($A11,Data_metier!$B:$B,0))="Significatif"),
DE_niv_form!K11+0.5,
DE_niv_form!K11)</f>
        <v>0</v>
      </c>
      <c r="L11">
        <f>IF(AND(INDEX(Data_metier!$F:$F,MATCH(L$1,Data_metier!$B:$B,0))="Non significatif",
    INDEX(Data_metier!$F:$F,MATCH($A11,Data_metier!$B:$B,0))="Significatif"),
DE_niv_form!L11+0.5,
DE_niv_form!L11)</f>
        <v>2.5</v>
      </c>
      <c r="M11">
        <f>IF(AND(INDEX(Data_metier!$F:$F,MATCH(M$1,Data_metier!$B:$B,0))="Non significatif",
    INDEX(Data_metier!$F:$F,MATCH($A11,Data_metier!$B:$B,0))="Significatif"),
DE_niv_form!M11+0.5,
DE_niv_form!M11)</f>
        <v>2.5</v>
      </c>
      <c r="N11">
        <f>IF(AND(INDEX(Data_metier!$F:$F,MATCH(N$1,Data_metier!$B:$B,0))="Non significatif",
    INDEX(Data_metier!$F:$F,MATCH($A11,Data_metier!$B:$B,0))="Significatif"),
DE_niv_form!N11+0.5,
DE_niv_form!N11)</f>
        <v>2</v>
      </c>
      <c r="O11">
        <f>IF(AND(INDEX(Data_metier!$F:$F,MATCH(O$1,Data_metier!$B:$B,0))="Non significatif",
    INDEX(Data_metier!$F:$F,MATCH($A11,Data_metier!$B:$B,0))="Significatif"),
DE_niv_form!O11+0.5,
DE_niv_form!O11)</f>
        <v>2.5</v>
      </c>
      <c r="P11">
        <f>IF(AND(INDEX(Data_metier!$F:$F,MATCH(P$1,Data_metier!$B:$B,0))="Non significatif",
    INDEX(Data_metier!$F:$F,MATCH($A11,Data_metier!$B:$B,0))="Significatif"),
DE_niv_form!P11+0.5,
DE_niv_form!P11)</f>
        <v>2.5</v>
      </c>
      <c r="Q11">
        <f>IF(AND(INDEX(Data_metier!$F:$F,MATCH(Q$1,Data_metier!$B:$B,0))="Non significatif",
    INDEX(Data_metier!$F:$F,MATCH($A11,Data_metier!$B:$B,0))="Significatif"),
DE_niv_form!Q11+0.5,
DE_niv_form!Q11)</f>
        <v>2</v>
      </c>
      <c r="R11">
        <f>IF(AND(INDEX(Data_metier!$F:$F,MATCH(R$1,Data_metier!$B:$B,0))="Non significatif",
    INDEX(Data_metier!$F:$F,MATCH($A11,Data_metier!$B:$B,0))="Significatif"),
DE_niv_form!R11+0.5,
DE_niv_form!R11)</f>
        <v>1</v>
      </c>
      <c r="S11">
        <f>IF(AND(INDEX(Data_metier!$F:$F,MATCH(S$1,Data_metier!$B:$B,0))="Non significatif",
    INDEX(Data_metier!$F:$F,MATCH($A11,Data_metier!$B:$B,0))="Significatif"),
DE_niv_form!S11+0.5,
DE_niv_form!S11)</f>
        <v>2.5</v>
      </c>
      <c r="T11">
        <f>IF(AND(INDEX(Data_metier!$F:$F,MATCH(T$1,Data_metier!$B:$B,0))="Non significatif",
    INDEX(Data_metier!$F:$F,MATCH($A11,Data_metier!$B:$B,0))="Significatif"),
DE_niv_form!T11+0.5,
DE_niv_form!T11)</f>
        <v>2.5</v>
      </c>
      <c r="U11">
        <f>IF(AND(INDEX(Data_metier!$F:$F,MATCH(U$1,Data_metier!$B:$B,0))="Non significatif",
    INDEX(Data_metier!$F:$F,MATCH($A11,Data_metier!$B:$B,0))="Significatif"),
DE_niv_form!U11+0.5,
DE_niv_form!U11)</f>
        <v>2.5</v>
      </c>
      <c r="V11">
        <f>IF(AND(INDEX(Data_metier!$F:$F,MATCH(V$1,Data_metier!$B:$B,0))="Non significatif",
    INDEX(Data_metier!$F:$F,MATCH($A11,Data_metier!$B:$B,0))="Significatif"),
DE_niv_form!V11+0.5,
DE_niv_form!V11)</f>
        <v>2.5</v>
      </c>
      <c r="W11">
        <f>IF(AND(INDEX(Data_metier!$F:$F,MATCH(W$1,Data_metier!$B:$B,0))="Non significatif",
    INDEX(Data_metier!$F:$F,MATCH($A11,Data_metier!$B:$B,0))="Significatif"),
DE_niv_form!W11+0.5,
DE_niv_form!W11)</f>
        <v>2</v>
      </c>
      <c r="X11">
        <f>IF(AND(INDEX(Data_metier!$F:$F,MATCH(X$1,Data_metier!$B:$B,0))="Non significatif",
    INDEX(Data_metier!$F:$F,MATCH($A11,Data_metier!$B:$B,0))="Significatif"),
DE_niv_form!X11+0.5,
DE_niv_form!X11)</f>
        <v>1</v>
      </c>
      <c r="Y11">
        <f>IF(AND(INDEX(Data_metier!$F:$F,MATCH(Y$1,Data_metier!$B:$B,0))="Non significatif",
    INDEX(Data_metier!$F:$F,MATCH($A11,Data_metier!$B:$B,0))="Significatif"),
DE_niv_form!Y11+0.5,
DE_niv_form!Y11)</f>
        <v>2.5</v>
      </c>
      <c r="Z11">
        <f>IF(AND(INDEX(Data_metier!$F:$F,MATCH(Z$1,Data_metier!$B:$B,0))="Non significatif",
    INDEX(Data_metier!$F:$F,MATCH($A11,Data_metier!$B:$B,0))="Significatif"),
DE_niv_form!Z11+0.5,
DE_niv_form!Z11)</f>
        <v>2.5</v>
      </c>
      <c r="AA11">
        <f>IF(AND(INDEX(Data_metier!$F:$F,MATCH(AA$1,Data_metier!$B:$B,0))="Non significatif",
    INDEX(Data_metier!$F:$F,MATCH($A11,Data_metier!$B:$B,0))="Significatif"),
DE_niv_form!AA11+0.5,
DE_niv_form!AA11)</f>
        <v>2.5</v>
      </c>
      <c r="AB11">
        <f>IF(AND(INDEX(Data_metier!$F:$F,MATCH(AB$1,Data_metier!$B:$B,0))="Non significatif",
    INDEX(Data_metier!$F:$F,MATCH($A11,Data_metier!$B:$B,0))="Significatif"),
DE_niv_form!AB11+0.5,
DE_niv_form!AB11)</f>
        <v>2.5</v>
      </c>
      <c r="AC11">
        <f>IF(AND(INDEX(Data_metier!$F:$F,MATCH(AC$1,Data_metier!$B:$B,0))="Non significatif",
    INDEX(Data_metier!$F:$F,MATCH($A11,Data_metier!$B:$B,0))="Significatif"),
DE_niv_form!AC11+0.5,
DE_niv_form!AC11)</f>
        <v>2.5</v>
      </c>
      <c r="AD11">
        <f>IF(AND(INDEX(Data_metier!$F:$F,MATCH(AD$1,Data_metier!$B:$B,0))="Non significatif",
    INDEX(Data_metier!$F:$F,MATCH($A11,Data_metier!$B:$B,0))="Significatif"),
DE_niv_form!AD11+0.5,
DE_niv_form!AD11)</f>
        <v>2.5</v>
      </c>
    </row>
    <row r="12" spans="1:30">
      <c r="A12" t="str">
        <v>Chauffeur(se) livreur(se)</v>
      </c>
      <c r="B12">
        <f>IF(AND(INDEX(Data_metier!$F:$F,MATCH(B$1,Data_metier!$B:$B,0))="Non significatif",
    INDEX(Data_metier!$F:$F,MATCH($A12,Data_metier!$B:$B,0))="Significatif"),
DE_niv_form!B12+0.5,
DE_niv_form!B12)</f>
        <v>-1</v>
      </c>
      <c r="C12">
        <f>IF(AND(INDEX(Data_metier!$F:$F,MATCH(C$1,Data_metier!$B:$B,0))="Non significatif",
    INDEX(Data_metier!$F:$F,MATCH($A12,Data_metier!$B:$B,0))="Significatif"),
DE_niv_form!C12+0.5,
DE_niv_form!C12)</f>
        <v>-1</v>
      </c>
      <c r="D12">
        <f>IF(AND(INDEX(Data_metier!$F:$F,MATCH(D$1,Data_metier!$B:$B,0))="Non significatif",
    INDEX(Data_metier!$F:$F,MATCH($A12,Data_metier!$B:$B,0))="Significatif"),
DE_niv_form!D12+0.5,
DE_niv_form!D12)</f>
        <v>0</v>
      </c>
      <c r="E12">
        <f>IF(AND(INDEX(Data_metier!$F:$F,MATCH(E$1,Data_metier!$B:$B,0))="Non significatif",
    INDEX(Data_metier!$F:$F,MATCH($A12,Data_metier!$B:$B,0))="Significatif"),
DE_niv_form!E12+0.5,
DE_niv_form!E12)</f>
        <v>-1</v>
      </c>
      <c r="F12">
        <f>IF(AND(INDEX(Data_metier!$F:$F,MATCH(F$1,Data_metier!$B:$B,0))="Non significatif",
    INDEX(Data_metier!$F:$F,MATCH($A12,Data_metier!$B:$B,0))="Significatif"),
DE_niv_form!F12+0.5,
DE_niv_form!F12)</f>
        <v>-1</v>
      </c>
      <c r="G12">
        <f>IF(AND(INDEX(Data_metier!$F:$F,MATCH(G$1,Data_metier!$B:$B,0))="Non significatif",
    INDEX(Data_metier!$F:$F,MATCH($A12,Data_metier!$B:$B,0))="Significatif"),
DE_niv_form!G12+0.5,
DE_niv_form!G12)</f>
        <v>-1</v>
      </c>
      <c r="H12">
        <f>IF(AND(INDEX(Data_metier!$F:$F,MATCH(H$1,Data_metier!$B:$B,0))="Non significatif",
    INDEX(Data_metier!$F:$F,MATCH($A12,Data_metier!$B:$B,0))="Significatif"),
DE_niv_form!H12+0.5,
DE_niv_form!H12)</f>
        <v>-1</v>
      </c>
      <c r="I12">
        <f>IF(AND(INDEX(Data_metier!$F:$F,MATCH(I$1,Data_metier!$B:$B,0))="Non significatif",
    INDEX(Data_metier!$F:$F,MATCH($A12,Data_metier!$B:$B,0))="Significatif"),
DE_niv_form!I12+0.5,
DE_niv_form!I12)</f>
        <v>0</v>
      </c>
      <c r="J12">
        <f>IF(AND(INDEX(Data_metier!$F:$F,MATCH(J$1,Data_metier!$B:$B,0))="Non significatif",
    INDEX(Data_metier!$F:$F,MATCH($A12,Data_metier!$B:$B,0))="Significatif"),
DE_niv_form!J12+0.5,
DE_niv_form!J12)</f>
        <v>-1</v>
      </c>
      <c r="K12">
        <f>IF(AND(INDEX(Data_metier!$F:$F,MATCH(K$1,Data_metier!$B:$B,0))="Non significatif",
    INDEX(Data_metier!$F:$F,MATCH($A12,Data_metier!$B:$B,0))="Significatif"),
DE_niv_form!K12+0.5,
DE_niv_form!K12)</f>
        <v>-1</v>
      </c>
      <c r="L12">
        <f>IF(AND(INDEX(Data_metier!$F:$F,MATCH(L$1,Data_metier!$B:$B,0))="Non significatif",
    INDEX(Data_metier!$F:$F,MATCH($A12,Data_metier!$B:$B,0))="Significatif"),
DE_niv_form!L12+0.5,
DE_niv_form!L12)</f>
        <v>0</v>
      </c>
      <c r="M12">
        <f>IF(AND(INDEX(Data_metier!$F:$F,MATCH(M$1,Data_metier!$B:$B,0))="Non significatif",
    INDEX(Data_metier!$F:$F,MATCH($A12,Data_metier!$B:$B,0))="Significatif"),
DE_niv_form!M12+0.5,
DE_niv_form!M12)</f>
        <v>-1</v>
      </c>
      <c r="N12">
        <f>IF(AND(INDEX(Data_metier!$F:$F,MATCH(N$1,Data_metier!$B:$B,0))="Non significatif",
    INDEX(Data_metier!$F:$F,MATCH($A12,Data_metier!$B:$B,0))="Significatif"),
DE_niv_form!N12+0.5,
DE_niv_form!N12)</f>
        <v>-1</v>
      </c>
      <c r="O12">
        <f>IF(AND(INDEX(Data_metier!$F:$F,MATCH(O$1,Data_metier!$B:$B,0))="Non significatif",
    INDEX(Data_metier!$F:$F,MATCH($A12,Data_metier!$B:$B,0))="Significatif"),
DE_niv_form!O12+0.5,
DE_niv_form!O12)</f>
        <v>0</v>
      </c>
      <c r="P12">
        <f>IF(AND(INDEX(Data_metier!$F:$F,MATCH(P$1,Data_metier!$B:$B,0))="Non significatif",
    INDEX(Data_metier!$F:$F,MATCH($A12,Data_metier!$B:$B,0))="Significatif"),
DE_niv_form!P12+0.5,
DE_niv_form!P12)</f>
        <v>0</v>
      </c>
      <c r="Q12">
        <f>IF(AND(INDEX(Data_metier!$F:$F,MATCH(Q$1,Data_metier!$B:$B,0))="Non significatif",
    INDEX(Data_metier!$F:$F,MATCH($A12,Data_metier!$B:$B,0))="Significatif"),
DE_niv_form!Q12+0.5,
DE_niv_form!Q12)</f>
        <v>-1</v>
      </c>
      <c r="R12">
        <f>IF(AND(INDEX(Data_metier!$F:$F,MATCH(R$1,Data_metier!$B:$B,0))="Non significatif",
    INDEX(Data_metier!$F:$F,MATCH($A12,Data_metier!$B:$B,0))="Significatif"),
DE_niv_form!R12+0.5,
DE_niv_form!R12)</f>
        <v>-1</v>
      </c>
      <c r="S12">
        <f>IF(AND(INDEX(Data_metier!$F:$F,MATCH(S$1,Data_metier!$B:$B,0))="Non significatif",
    INDEX(Data_metier!$F:$F,MATCH($A12,Data_metier!$B:$B,0))="Significatif"),
DE_niv_form!S12+0.5,
DE_niv_form!S12)</f>
        <v>0</v>
      </c>
      <c r="T12">
        <f>IF(AND(INDEX(Data_metier!$F:$F,MATCH(T$1,Data_metier!$B:$B,0))="Non significatif",
    INDEX(Data_metier!$F:$F,MATCH($A12,Data_metier!$B:$B,0))="Significatif"),
DE_niv_form!T12+0.5,
DE_niv_form!T12)</f>
        <v>0</v>
      </c>
      <c r="U12">
        <f>IF(AND(INDEX(Data_metier!$F:$F,MATCH(U$1,Data_metier!$B:$B,0))="Non significatif",
    INDEX(Data_metier!$F:$F,MATCH($A12,Data_metier!$B:$B,0))="Significatif"),
DE_niv_form!U12+0.5,
DE_niv_form!U12)</f>
        <v>0</v>
      </c>
      <c r="V12">
        <f>IF(AND(INDEX(Data_metier!$F:$F,MATCH(V$1,Data_metier!$B:$B,0))="Non significatif",
    INDEX(Data_metier!$F:$F,MATCH($A12,Data_metier!$B:$B,0))="Significatif"),
DE_niv_form!V12+0.5,
DE_niv_form!V12)</f>
        <v>-1</v>
      </c>
      <c r="W12">
        <f>IF(AND(INDEX(Data_metier!$F:$F,MATCH(W$1,Data_metier!$B:$B,0))="Non significatif",
    INDEX(Data_metier!$F:$F,MATCH($A12,Data_metier!$B:$B,0))="Significatif"),
DE_niv_form!W12+0.5,
DE_niv_form!W12)</f>
        <v>-1</v>
      </c>
      <c r="X12">
        <f>IF(AND(INDEX(Data_metier!$F:$F,MATCH(X$1,Data_metier!$B:$B,0))="Non significatif",
    INDEX(Data_metier!$F:$F,MATCH($A12,Data_metier!$B:$B,0))="Significatif"),
DE_niv_form!X12+0.5,
DE_niv_form!X12)</f>
        <v>-1</v>
      </c>
      <c r="Y12">
        <f>IF(AND(INDEX(Data_metier!$F:$F,MATCH(Y$1,Data_metier!$B:$B,0))="Non significatif",
    INDEX(Data_metier!$F:$F,MATCH($A12,Data_metier!$B:$B,0))="Significatif"),
DE_niv_form!Y12+0.5,
DE_niv_form!Y12)</f>
        <v>0</v>
      </c>
      <c r="Z12">
        <f>IF(AND(INDEX(Data_metier!$F:$F,MATCH(Z$1,Data_metier!$B:$B,0))="Non significatif",
    INDEX(Data_metier!$F:$F,MATCH($A12,Data_metier!$B:$B,0))="Significatif"),
DE_niv_form!Z12+0.5,
DE_niv_form!Z12)</f>
        <v>0</v>
      </c>
      <c r="AA12">
        <f>IF(AND(INDEX(Data_metier!$F:$F,MATCH(AA$1,Data_metier!$B:$B,0))="Non significatif",
    INDEX(Data_metier!$F:$F,MATCH($A12,Data_metier!$B:$B,0))="Significatif"),
DE_niv_form!AA12+0.5,
DE_niv_form!AA12)</f>
        <v>0</v>
      </c>
      <c r="AB12">
        <f>IF(AND(INDEX(Data_metier!$F:$F,MATCH(AB$1,Data_metier!$B:$B,0))="Non significatif",
    INDEX(Data_metier!$F:$F,MATCH($A12,Data_metier!$B:$B,0))="Significatif"),
DE_niv_form!AB12+0.5,
DE_niv_form!AB12)</f>
        <v>-1</v>
      </c>
      <c r="AC12">
        <f>IF(AND(INDEX(Data_metier!$F:$F,MATCH(AC$1,Data_metier!$B:$B,0))="Non significatif",
    INDEX(Data_metier!$F:$F,MATCH($A12,Data_metier!$B:$B,0))="Significatif"),
DE_niv_form!AC12+0.5,
DE_niv_form!AC12)</f>
        <v>-1</v>
      </c>
      <c r="AD12">
        <f>IF(AND(INDEX(Data_metier!$F:$F,MATCH(AD$1,Data_metier!$B:$B,0))="Non significatif",
    INDEX(Data_metier!$F:$F,MATCH($A12,Data_metier!$B:$B,0))="Significatif"),
DE_niv_form!AD12+0.5,
DE_niv_form!AD12)</f>
        <v>-1</v>
      </c>
    </row>
    <row r="13" spans="1:30">
      <c r="A13" t="str">
        <v>Régleur(se)</v>
      </c>
      <c r="B13">
        <f>IF(AND(INDEX(Data_metier!$F:$F,MATCH(B$1,Data_metier!$B:$B,0))="Non significatif",
    INDEX(Data_metier!$F:$F,MATCH($A13,Data_metier!$B:$B,0))="Significatif"),
DE_niv_form!B13+0.5,
DE_niv_form!B13)</f>
        <v>0</v>
      </c>
      <c r="C13">
        <f>IF(AND(INDEX(Data_metier!$F:$F,MATCH(C$1,Data_metier!$B:$B,0))="Non significatif",
    INDEX(Data_metier!$F:$F,MATCH($A13,Data_metier!$B:$B,0))="Significatif"),
DE_niv_form!C13+0.5,
DE_niv_form!C13)</f>
        <v>0</v>
      </c>
      <c r="D13">
        <f>IF(AND(INDEX(Data_metier!$F:$F,MATCH(D$1,Data_metier!$B:$B,0))="Non significatif",
    INDEX(Data_metier!$F:$F,MATCH($A13,Data_metier!$B:$B,0))="Significatif"),
DE_niv_form!D13+0.5,
DE_niv_form!D13)</f>
        <v>1</v>
      </c>
      <c r="E13">
        <f>IF(AND(INDEX(Data_metier!$F:$F,MATCH(E$1,Data_metier!$B:$B,0))="Non significatif",
    INDEX(Data_metier!$F:$F,MATCH($A13,Data_metier!$B:$B,0))="Significatif"),
DE_niv_form!E13+0.5,
DE_niv_form!E13)</f>
        <v>-1</v>
      </c>
      <c r="F13">
        <f>IF(AND(INDEX(Data_metier!$F:$F,MATCH(F$1,Data_metier!$B:$B,0))="Non significatif",
    INDEX(Data_metier!$F:$F,MATCH($A13,Data_metier!$B:$B,0))="Significatif"),
DE_niv_form!F13+0.5,
DE_niv_form!F13)</f>
        <v>-1</v>
      </c>
      <c r="G13">
        <f>IF(AND(INDEX(Data_metier!$F:$F,MATCH(G$1,Data_metier!$B:$B,0))="Non significatif",
    INDEX(Data_metier!$F:$F,MATCH($A13,Data_metier!$B:$B,0))="Significatif"),
DE_niv_form!G13+0.5,
DE_niv_form!G13)</f>
        <v>-1</v>
      </c>
      <c r="H13">
        <f>IF(AND(INDEX(Data_metier!$F:$F,MATCH(H$1,Data_metier!$B:$B,0))="Non significatif",
    INDEX(Data_metier!$F:$F,MATCH($A13,Data_metier!$B:$B,0))="Significatif"),
DE_niv_form!H13+0.5,
DE_niv_form!H13)</f>
        <v>-1</v>
      </c>
      <c r="I13">
        <f>IF(AND(INDEX(Data_metier!$F:$F,MATCH(I$1,Data_metier!$B:$B,0))="Non significatif",
    INDEX(Data_metier!$F:$F,MATCH($A13,Data_metier!$B:$B,0))="Significatif"),
DE_niv_form!I13+0.5,
DE_niv_form!I13)</f>
        <v>1</v>
      </c>
      <c r="J13">
        <f>IF(AND(INDEX(Data_metier!$F:$F,MATCH(J$1,Data_metier!$B:$B,0))="Non significatif",
    INDEX(Data_metier!$F:$F,MATCH($A13,Data_metier!$B:$B,0))="Significatif"),
DE_niv_form!J13+0.5,
DE_niv_form!J13)</f>
        <v>-1</v>
      </c>
      <c r="K13">
        <f>IF(AND(INDEX(Data_metier!$F:$F,MATCH(K$1,Data_metier!$B:$B,0))="Non significatif",
    INDEX(Data_metier!$F:$F,MATCH($A13,Data_metier!$B:$B,0))="Significatif"),
DE_niv_form!K13+0.5,
DE_niv_form!K13)</f>
        <v>-1</v>
      </c>
      <c r="L13">
        <f>IF(AND(INDEX(Data_metier!$F:$F,MATCH(L$1,Data_metier!$B:$B,0))="Non significatif",
    INDEX(Data_metier!$F:$F,MATCH($A13,Data_metier!$B:$B,0))="Significatif"),
DE_niv_form!L13+0.5,
DE_niv_form!L13)</f>
        <v>1</v>
      </c>
      <c r="M13">
        <f>IF(AND(INDEX(Data_metier!$F:$F,MATCH(M$1,Data_metier!$B:$B,0))="Non significatif",
    INDEX(Data_metier!$F:$F,MATCH($A13,Data_metier!$B:$B,0))="Significatif"),
DE_niv_form!M13+0.5,
DE_niv_form!M13)</f>
        <v>0</v>
      </c>
      <c r="N13">
        <f>IF(AND(INDEX(Data_metier!$F:$F,MATCH(N$1,Data_metier!$B:$B,0))="Non significatif",
    INDEX(Data_metier!$F:$F,MATCH($A13,Data_metier!$B:$B,0))="Significatif"),
DE_niv_form!N13+0.5,
DE_niv_form!N13)</f>
        <v>-1</v>
      </c>
      <c r="O13">
        <f>IF(AND(INDEX(Data_metier!$F:$F,MATCH(O$1,Data_metier!$B:$B,0))="Non significatif",
    INDEX(Data_metier!$F:$F,MATCH($A13,Data_metier!$B:$B,0))="Significatif"),
DE_niv_form!O13+0.5,
DE_niv_form!O13)</f>
        <v>1</v>
      </c>
      <c r="P13">
        <f>IF(AND(INDEX(Data_metier!$F:$F,MATCH(P$1,Data_metier!$B:$B,0))="Non significatif",
    INDEX(Data_metier!$F:$F,MATCH($A13,Data_metier!$B:$B,0))="Significatif"),
DE_niv_form!P13+0.5,
DE_niv_form!P13)</f>
        <v>1</v>
      </c>
      <c r="Q13">
        <f>IF(AND(INDEX(Data_metier!$F:$F,MATCH(Q$1,Data_metier!$B:$B,0))="Non significatif",
    INDEX(Data_metier!$F:$F,MATCH($A13,Data_metier!$B:$B,0))="Significatif"),
DE_niv_form!Q13+0.5,
DE_niv_form!Q13)</f>
        <v>-1</v>
      </c>
      <c r="R13">
        <f>IF(AND(INDEX(Data_metier!$F:$F,MATCH(R$1,Data_metier!$B:$B,0))="Non significatif",
    INDEX(Data_metier!$F:$F,MATCH($A13,Data_metier!$B:$B,0))="Significatif"),
DE_niv_form!R13+0.5,
DE_niv_form!R13)</f>
        <v>-1</v>
      </c>
      <c r="S13">
        <f>IF(AND(INDEX(Data_metier!$F:$F,MATCH(S$1,Data_metier!$B:$B,0))="Non significatif",
    INDEX(Data_metier!$F:$F,MATCH($A13,Data_metier!$B:$B,0))="Significatif"),
DE_niv_form!S13+0.5,
DE_niv_form!S13)</f>
        <v>1</v>
      </c>
      <c r="T13">
        <f>IF(AND(INDEX(Data_metier!$F:$F,MATCH(T$1,Data_metier!$B:$B,0))="Non significatif",
    INDEX(Data_metier!$F:$F,MATCH($A13,Data_metier!$B:$B,0))="Significatif"),
DE_niv_form!T13+0.5,
DE_niv_form!T13)</f>
        <v>1</v>
      </c>
      <c r="U13">
        <f>IF(AND(INDEX(Data_metier!$F:$F,MATCH(U$1,Data_metier!$B:$B,0))="Non significatif",
    INDEX(Data_metier!$F:$F,MATCH($A13,Data_metier!$B:$B,0))="Significatif"),
DE_niv_form!U13+0.5,
DE_niv_form!U13)</f>
        <v>1</v>
      </c>
      <c r="V13">
        <f>IF(AND(INDEX(Data_metier!$F:$F,MATCH(V$1,Data_metier!$B:$B,0))="Non significatif",
    INDEX(Data_metier!$F:$F,MATCH($A13,Data_metier!$B:$B,0))="Significatif"),
DE_niv_form!V13+0.5,
DE_niv_form!V13)</f>
        <v>0</v>
      </c>
      <c r="W13">
        <f>IF(AND(INDEX(Data_metier!$F:$F,MATCH(W$1,Data_metier!$B:$B,0))="Non significatif",
    INDEX(Data_metier!$F:$F,MATCH($A13,Data_metier!$B:$B,0))="Significatif"),
DE_niv_form!W13+0.5,
DE_niv_form!W13)</f>
        <v>0</v>
      </c>
      <c r="X13">
        <f>IF(AND(INDEX(Data_metier!$F:$F,MATCH(X$1,Data_metier!$B:$B,0))="Non significatif",
    INDEX(Data_metier!$F:$F,MATCH($A13,Data_metier!$B:$B,0))="Significatif"),
DE_niv_form!X13+0.5,
DE_niv_form!X13)</f>
        <v>-1</v>
      </c>
      <c r="Y13">
        <f>IF(AND(INDEX(Data_metier!$F:$F,MATCH(Y$1,Data_metier!$B:$B,0))="Non significatif",
    INDEX(Data_metier!$F:$F,MATCH($A13,Data_metier!$B:$B,0))="Significatif"),
DE_niv_form!Y13+0.5,
DE_niv_form!Y13)</f>
        <v>1</v>
      </c>
      <c r="Z13">
        <f>IF(AND(INDEX(Data_metier!$F:$F,MATCH(Z$1,Data_metier!$B:$B,0))="Non significatif",
    INDEX(Data_metier!$F:$F,MATCH($A13,Data_metier!$B:$B,0))="Significatif"),
DE_niv_form!Z13+0.5,
DE_niv_form!Z13)</f>
        <v>1</v>
      </c>
      <c r="AA13">
        <f>IF(AND(INDEX(Data_metier!$F:$F,MATCH(AA$1,Data_metier!$B:$B,0))="Non significatif",
    INDEX(Data_metier!$F:$F,MATCH($A13,Data_metier!$B:$B,0))="Significatif"),
DE_niv_form!AA13+0.5,
DE_niv_form!AA13)</f>
        <v>1</v>
      </c>
      <c r="AB13">
        <f>IF(AND(INDEX(Data_metier!$F:$F,MATCH(AB$1,Data_metier!$B:$B,0))="Non significatif",
    INDEX(Data_metier!$F:$F,MATCH($A13,Data_metier!$B:$B,0))="Significatif"),
DE_niv_form!AB13+0.5,
DE_niv_form!AB13)</f>
        <v>0</v>
      </c>
      <c r="AC13">
        <f>IF(AND(INDEX(Data_metier!$F:$F,MATCH(AC$1,Data_metier!$B:$B,0))="Non significatif",
    INDEX(Data_metier!$F:$F,MATCH($A13,Data_metier!$B:$B,0))="Significatif"),
DE_niv_form!AC13+0.5,
DE_niv_form!AC13)</f>
        <v>0</v>
      </c>
      <c r="AD13">
        <f>IF(AND(INDEX(Data_metier!$F:$F,MATCH(AD$1,Data_metier!$B:$B,0))="Non significatif",
    INDEX(Data_metier!$F:$F,MATCH($A13,Data_metier!$B:$B,0))="Significatif"),
DE_niv_form!AD13+0.5,
DE_niv_form!AD13)</f>
        <v>-1</v>
      </c>
    </row>
    <row r="14" spans="1:30">
      <c r="A14" t="str">
        <v>Spécialiste procédés et installations de production alimentaire</v>
      </c>
      <c r="B14">
        <f>IF(AND(INDEX(Data_metier!$F:$F,MATCH(B$1,Data_metier!$B:$B,0))="Non significatif",
    INDEX(Data_metier!$F:$F,MATCH($A14,Data_metier!$B:$B,0))="Significatif"),
DE_niv_form!B14+0.5,
DE_niv_form!B14)</f>
        <v>1.5</v>
      </c>
      <c r="C14">
        <f>IF(AND(INDEX(Data_metier!$F:$F,MATCH(C$1,Data_metier!$B:$B,0))="Non significatif",
    INDEX(Data_metier!$F:$F,MATCH($A14,Data_metier!$B:$B,0))="Significatif"),
DE_niv_form!C14+0.5,
DE_niv_form!C14)</f>
        <v>1.5</v>
      </c>
      <c r="D14">
        <f>IF(AND(INDEX(Data_metier!$F:$F,MATCH(D$1,Data_metier!$B:$B,0))="Non significatif",
    INDEX(Data_metier!$F:$F,MATCH($A14,Data_metier!$B:$B,0))="Significatif"),
DE_niv_form!D14+0.5,
DE_niv_form!D14)</f>
        <v>2.5</v>
      </c>
      <c r="E14">
        <f>IF(AND(INDEX(Data_metier!$F:$F,MATCH(E$1,Data_metier!$B:$B,0))="Non significatif",
    INDEX(Data_metier!$F:$F,MATCH($A14,Data_metier!$B:$B,0))="Significatif"),
DE_niv_form!E14+0.5,
DE_niv_form!E14)</f>
        <v>-1</v>
      </c>
      <c r="F14">
        <f>IF(AND(INDEX(Data_metier!$F:$F,MATCH(F$1,Data_metier!$B:$B,0))="Non significatif",
    INDEX(Data_metier!$F:$F,MATCH($A14,Data_metier!$B:$B,0))="Significatif"),
DE_niv_form!F14+0.5,
DE_niv_form!F14)</f>
        <v>-0.5</v>
      </c>
      <c r="G14">
        <f>IF(AND(INDEX(Data_metier!$F:$F,MATCH(G$1,Data_metier!$B:$B,0))="Non significatif",
    INDEX(Data_metier!$F:$F,MATCH($A14,Data_metier!$B:$B,0))="Significatif"),
DE_niv_form!G14+0.5,
DE_niv_form!G14)</f>
        <v>-1</v>
      </c>
      <c r="H14">
        <f>IF(AND(INDEX(Data_metier!$F:$F,MATCH(H$1,Data_metier!$B:$B,0))="Non significatif",
    INDEX(Data_metier!$F:$F,MATCH($A14,Data_metier!$B:$B,0))="Significatif"),
DE_niv_form!H14+0.5,
DE_niv_form!H14)</f>
        <v>-1</v>
      </c>
      <c r="I14">
        <f>IF(AND(INDEX(Data_metier!$F:$F,MATCH(I$1,Data_metier!$B:$B,0))="Non significatif",
    INDEX(Data_metier!$F:$F,MATCH($A14,Data_metier!$B:$B,0))="Significatif"),
DE_niv_form!I14+0.5,
DE_niv_form!I14)</f>
        <v>2.5</v>
      </c>
      <c r="J14">
        <f>IF(AND(INDEX(Data_metier!$F:$F,MATCH(J$1,Data_metier!$B:$B,0))="Non significatif",
    INDEX(Data_metier!$F:$F,MATCH($A14,Data_metier!$B:$B,0))="Significatif"),
DE_niv_form!J14+0.5,
DE_niv_form!J14)</f>
        <v>-0.5</v>
      </c>
      <c r="K14">
        <f>IF(AND(INDEX(Data_metier!$F:$F,MATCH(K$1,Data_metier!$B:$B,0))="Non significatif",
    INDEX(Data_metier!$F:$F,MATCH($A14,Data_metier!$B:$B,0))="Significatif"),
DE_niv_form!K14+0.5,
DE_niv_form!K14)</f>
        <v>-1</v>
      </c>
      <c r="L14">
        <f>IF(AND(INDEX(Data_metier!$F:$F,MATCH(L$1,Data_metier!$B:$B,0))="Non significatif",
    INDEX(Data_metier!$F:$F,MATCH($A14,Data_metier!$B:$B,0))="Significatif"),
DE_niv_form!L14+0.5,
DE_niv_form!L14)</f>
        <v>2.5</v>
      </c>
      <c r="M14">
        <f>IF(AND(INDEX(Data_metier!$F:$F,MATCH(M$1,Data_metier!$B:$B,0))="Non significatif",
    INDEX(Data_metier!$F:$F,MATCH($A14,Data_metier!$B:$B,0))="Significatif"),
DE_niv_form!M14+0.5,
DE_niv_form!M14)</f>
        <v>1.5</v>
      </c>
      <c r="N14">
        <f>IF(AND(INDEX(Data_metier!$F:$F,MATCH(N$1,Data_metier!$B:$B,0))="Non significatif",
    INDEX(Data_metier!$F:$F,MATCH($A14,Data_metier!$B:$B,0))="Significatif"),
DE_niv_form!N14+0.5,
DE_niv_form!N14)</f>
        <v>0</v>
      </c>
      <c r="O14">
        <f>IF(AND(INDEX(Data_metier!$F:$F,MATCH(O$1,Data_metier!$B:$B,0))="Non significatif",
    INDEX(Data_metier!$F:$F,MATCH($A14,Data_metier!$B:$B,0))="Significatif"),
DE_niv_form!O14+0.5,
DE_niv_form!O14)</f>
        <v>2.5</v>
      </c>
      <c r="P14">
        <f>IF(AND(INDEX(Data_metier!$F:$F,MATCH(P$1,Data_metier!$B:$B,0))="Non significatif",
    INDEX(Data_metier!$F:$F,MATCH($A14,Data_metier!$B:$B,0))="Significatif"),
DE_niv_form!P14+0.5,
DE_niv_form!P14)</f>
        <v>2.5</v>
      </c>
      <c r="Q14">
        <f>IF(AND(INDEX(Data_metier!$F:$F,MATCH(Q$1,Data_metier!$B:$B,0))="Non significatif",
    INDEX(Data_metier!$F:$F,MATCH($A14,Data_metier!$B:$B,0))="Significatif"),
DE_niv_form!Q14+0.5,
DE_niv_form!Q14)</f>
        <v>-1</v>
      </c>
      <c r="R14">
        <f>IF(AND(INDEX(Data_metier!$F:$F,MATCH(R$1,Data_metier!$B:$B,0))="Non significatif",
    INDEX(Data_metier!$F:$F,MATCH($A14,Data_metier!$B:$B,0))="Significatif"),
DE_niv_form!R14+0.5,
DE_niv_form!R14)</f>
        <v>-1</v>
      </c>
      <c r="S14">
        <f>IF(AND(INDEX(Data_metier!$F:$F,MATCH(S$1,Data_metier!$B:$B,0))="Non significatif",
    INDEX(Data_metier!$F:$F,MATCH($A14,Data_metier!$B:$B,0))="Significatif"),
DE_niv_form!S14+0.5,
DE_niv_form!S14)</f>
        <v>2.5</v>
      </c>
      <c r="T14">
        <f>IF(AND(INDEX(Data_metier!$F:$F,MATCH(T$1,Data_metier!$B:$B,0))="Non significatif",
    INDEX(Data_metier!$F:$F,MATCH($A14,Data_metier!$B:$B,0))="Significatif"),
DE_niv_form!T14+0.5,
DE_niv_form!T14)</f>
        <v>2.5</v>
      </c>
      <c r="U14">
        <f>IF(AND(INDEX(Data_metier!$F:$F,MATCH(U$1,Data_metier!$B:$B,0))="Non significatif",
    INDEX(Data_metier!$F:$F,MATCH($A14,Data_metier!$B:$B,0))="Significatif"),
DE_niv_form!U14+0.5,
DE_niv_form!U14)</f>
        <v>2.5</v>
      </c>
      <c r="V14">
        <f>IF(AND(INDEX(Data_metier!$F:$F,MATCH(V$1,Data_metier!$B:$B,0))="Non significatif",
    INDEX(Data_metier!$F:$F,MATCH($A14,Data_metier!$B:$B,0))="Significatif"),
DE_niv_form!V14+0.5,
DE_niv_form!V14)</f>
        <v>1.5</v>
      </c>
      <c r="W14">
        <f>IF(AND(INDEX(Data_metier!$F:$F,MATCH(W$1,Data_metier!$B:$B,0))="Non significatif",
    INDEX(Data_metier!$F:$F,MATCH($A14,Data_metier!$B:$B,0))="Significatif"),
DE_niv_form!W14+0.5,
DE_niv_form!W14)</f>
        <v>1</v>
      </c>
      <c r="X14">
        <f>IF(AND(INDEX(Data_metier!$F:$F,MATCH(X$1,Data_metier!$B:$B,0))="Non significatif",
    INDEX(Data_metier!$F:$F,MATCH($A14,Data_metier!$B:$B,0))="Significatif"),
DE_niv_form!X14+0.5,
DE_niv_form!X14)</f>
        <v>-1</v>
      </c>
      <c r="Y14">
        <f>IF(AND(INDEX(Data_metier!$F:$F,MATCH(Y$1,Data_metier!$B:$B,0))="Non significatif",
    INDEX(Data_metier!$F:$F,MATCH($A14,Data_metier!$B:$B,0))="Significatif"),
DE_niv_form!Y14+0.5,
DE_niv_form!Y14)</f>
        <v>2.5</v>
      </c>
      <c r="Z14">
        <f>IF(AND(INDEX(Data_metier!$F:$F,MATCH(Z$1,Data_metier!$B:$B,0))="Non significatif",
    INDEX(Data_metier!$F:$F,MATCH($A14,Data_metier!$B:$B,0))="Significatif"),
DE_niv_form!Z14+0.5,
DE_niv_form!Z14)</f>
        <v>2.5</v>
      </c>
      <c r="AA14">
        <f>IF(AND(INDEX(Data_metier!$F:$F,MATCH(AA$1,Data_metier!$B:$B,0))="Non significatif",
    INDEX(Data_metier!$F:$F,MATCH($A14,Data_metier!$B:$B,0))="Significatif"),
DE_niv_form!AA14+0.5,
DE_niv_form!AA14)</f>
        <v>2.5</v>
      </c>
      <c r="AB14">
        <f>IF(AND(INDEX(Data_metier!$F:$F,MATCH(AB$1,Data_metier!$B:$B,0))="Non significatif",
    INDEX(Data_metier!$F:$F,MATCH($A14,Data_metier!$B:$B,0))="Significatif"),
DE_niv_form!AB14+0.5,
DE_niv_form!AB14)</f>
        <v>1.5</v>
      </c>
      <c r="AC14">
        <f>IF(AND(INDEX(Data_metier!$F:$F,MATCH(AC$1,Data_metier!$B:$B,0))="Non significatif",
    INDEX(Data_metier!$F:$F,MATCH($A14,Data_metier!$B:$B,0))="Significatif"),
DE_niv_form!AC14+0.5,
DE_niv_form!AC14)</f>
        <v>1.5</v>
      </c>
      <c r="AD14">
        <f>IF(AND(INDEX(Data_metier!$F:$F,MATCH(AD$1,Data_metier!$B:$B,0))="Non significatif",
    INDEX(Data_metier!$F:$F,MATCH($A14,Data_metier!$B:$B,0))="Significatif"),
DE_niv_form!AD14+0.5,
DE_niv_form!AD14)</f>
        <v>1.5</v>
      </c>
    </row>
    <row r="15" spans="1:30">
      <c r="A15" t="str">
        <v>Conducteur(trice) de livraison et de collecte</v>
      </c>
      <c r="B15">
        <f>IF(AND(INDEX(Data_metier!$F:$F,MATCH(B$1,Data_metier!$B:$B,0))="Non significatif",
    INDEX(Data_metier!$F:$F,MATCH($A15,Data_metier!$B:$B,0))="Significatif"),
DE_niv_form!B15+0.5,
DE_niv_form!B15)</f>
        <v>-1</v>
      </c>
      <c r="C15">
        <f>IF(AND(INDEX(Data_metier!$F:$F,MATCH(C$1,Data_metier!$B:$B,0))="Non significatif",
    INDEX(Data_metier!$F:$F,MATCH($A15,Data_metier!$B:$B,0))="Significatif"),
DE_niv_form!C15+0.5,
DE_niv_form!C15)</f>
        <v>-1</v>
      </c>
      <c r="D15">
        <f>IF(AND(INDEX(Data_metier!$F:$F,MATCH(D$1,Data_metier!$B:$B,0))="Non significatif",
    INDEX(Data_metier!$F:$F,MATCH($A15,Data_metier!$B:$B,0))="Significatif"),
DE_niv_form!D15+0.5,
DE_niv_form!D15)</f>
        <v>0</v>
      </c>
      <c r="E15">
        <f>IF(AND(INDEX(Data_metier!$F:$F,MATCH(E$1,Data_metier!$B:$B,0))="Non significatif",
    INDEX(Data_metier!$F:$F,MATCH($A15,Data_metier!$B:$B,0))="Significatif"),
DE_niv_form!E15+0.5,
DE_niv_form!E15)</f>
        <v>-1</v>
      </c>
      <c r="F15">
        <f>IF(AND(INDEX(Data_metier!$F:$F,MATCH(F$1,Data_metier!$B:$B,0))="Non significatif",
    INDEX(Data_metier!$F:$F,MATCH($A15,Data_metier!$B:$B,0))="Significatif"),
DE_niv_form!F15+0.5,
DE_niv_form!F15)</f>
        <v>-1</v>
      </c>
      <c r="G15">
        <f>IF(AND(INDEX(Data_metier!$F:$F,MATCH(G$1,Data_metier!$B:$B,0))="Non significatif",
    INDEX(Data_metier!$F:$F,MATCH($A15,Data_metier!$B:$B,0))="Significatif"),
DE_niv_form!G15+0.5,
DE_niv_form!G15)</f>
        <v>-1</v>
      </c>
      <c r="H15">
        <f>IF(AND(INDEX(Data_metier!$F:$F,MATCH(H$1,Data_metier!$B:$B,0))="Non significatif",
    INDEX(Data_metier!$F:$F,MATCH($A15,Data_metier!$B:$B,0))="Significatif"),
DE_niv_form!H15+0.5,
DE_niv_form!H15)</f>
        <v>-1</v>
      </c>
      <c r="I15">
        <f>IF(AND(INDEX(Data_metier!$F:$F,MATCH(I$1,Data_metier!$B:$B,0))="Non significatif",
    INDEX(Data_metier!$F:$F,MATCH($A15,Data_metier!$B:$B,0))="Significatif"),
DE_niv_form!I15+0.5,
DE_niv_form!I15)</f>
        <v>0</v>
      </c>
      <c r="J15">
        <f>IF(AND(INDEX(Data_metier!$F:$F,MATCH(J$1,Data_metier!$B:$B,0))="Non significatif",
    INDEX(Data_metier!$F:$F,MATCH($A15,Data_metier!$B:$B,0))="Significatif"),
DE_niv_form!J15+0.5,
DE_niv_form!J15)</f>
        <v>-1</v>
      </c>
      <c r="K15">
        <f>IF(AND(INDEX(Data_metier!$F:$F,MATCH(K$1,Data_metier!$B:$B,0))="Non significatif",
    INDEX(Data_metier!$F:$F,MATCH($A15,Data_metier!$B:$B,0))="Significatif"),
DE_niv_form!K15+0.5,
DE_niv_form!K15)</f>
        <v>-1</v>
      </c>
      <c r="L15">
        <f>IF(AND(INDEX(Data_metier!$F:$F,MATCH(L$1,Data_metier!$B:$B,0))="Non significatif",
    INDEX(Data_metier!$F:$F,MATCH($A15,Data_metier!$B:$B,0))="Significatif"),
DE_niv_form!L15+0.5,
DE_niv_form!L15)</f>
        <v>0</v>
      </c>
      <c r="M15">
        <f>IF(AND(INDEX(Data_metier!$F:$F,MATCH(M$1,Data_metier!$B:$B,0))="Non significatif",
    INDEX(Data_metier!$F:$F,MATCH($A15,Data_metier!$B:$B,0))="Significatif"),
DE_niv_form!M15+0.5,
DE_niv_form!M15)</f>
        <v>-1</v>
      </c>
      <c r="N15">
        <f>IF(AND(INDEX(Data_metier!$F:$F,MATCH(N$1,Data_metier!$B:$B,0))="Non significatif",
    INDEX(Data_metier!$F:$F,MATCH($A15,Data_metier!$B:$B,0))="Significatif"),
DE_niv_form!N15+0.5,
DE_niv_form!N15)</f>
        <v>-1</v>
      </c>
      <c r="O15">
        <f>IF(AND(INDEX(Data_metier!$F:$F,MATCH(O$1,Data_metier!$B:$B,0))="Non significatif",
    INDEX(Data_metier!$F:$F,MATCH($A15,Data_metier!$B:$B,0))="Significatif"),
DE_niv_form!O15+0.5,
DE_niv_form!O15)</f>
        <v>0</v>
      </c>
      <c r="P15">
        <f>IF(AND(INDEX(Data_metier!$F:$F,MATCH(P$1,Data_metier!$B:$B,0))="Non significatif",
    INDEX(Data_metier!$F:$F,MATCH($A15,Data_metier!$B:$B,0))="Significatif"),
DE_niv_form!P15+0.5,
DE_niv_form!P15)</f>
        <v>0</v>
      </c>
      <c r="Q15">
        <f>IF(AND(INDEX(Data_metier!$F:$F,MATCH(Q$1,Data_metier!$B:$B,0))="Non significatif",
    INDEX(Data_metier!$F:$F,MATCH($A15,Data_metier!$B:$B,0))="Significatif"),
DE_niv_form!Q15+0.5,
DE_niv_form!Q15)</f>
        <v>-1</v>
      </c>
      <c r="R15">
        <f>IF(AND(INDEX(Data_metier!$F:$F,MATCH(R$1,Data_metier!$B:$B,0))="Non significatif",
    INDEX(Data_metier!$F:$F,MATCH($A15,Data_metier!$B:$B,0))="Significatif"),
DE_niv_form!R15+0.5,
DE_niv_form!R15)</f>
        <v>-1</v>
      </c>
      <c r="S15">
        <f>IF(AND(INDEX(Data_metier!$F:$F,MATCH(S$1,Data_metier!$B:$B,0))="Non significatif",
    INDEX(Data_metier!$F:$F,MATCH($A15,Data_metier!$B:$B,0))="Significatif"),
DE_niv_form!S15+0.5,
DE_niv_form!S15)</f>
        <v>0</v>
      </c>
      <c r="T15">
        <f>IF(AND(INDEX(Data_metier!$F:$F,MATCH(T$1,Data_metier!$B:$B,0))="Non significatif",
    INDEX(Data_metier!$F:$F,MATCH($A15,Data_metier!$B:$B,0))="Significatif"),
DE_niv_form!T15+0.5,
DE_niv_form!T15)</f>
        <v>0</v>
      </c>
      <c r="U15">
        <f>IF(AND(INDEX(Data_metier!$F:$F,MATCH(U$1,Data_metier!$B:$B,0))="Non significatif",
    INDEX(Data_metier!$F:$F,MATCH($A15,Data_metier!$B:$B,0))="Significatif"),
DE_niv_form!U15+0.5,
DE_niv_form!U15)</f>
        <v>0</v>
      </c>
      <c r="V15">
        <f>IF(AND(INDEX(Data_metier!$F:$F,MATCH(V$1,Data_metier!$B:$B,0))="Non significatif",
    INDEX(Data_metier!$F:$F,MATCH($A15,Data_metier!$B:$B,0))="Significatif"),
DE_niv_form!V15+0.5,
DE_niv_form!V15)</f>
        <v>-1</v>
      </c>
      <c r="W15">
        <f>IF(AND(INDEX(Data_metier!$F:$F,MATCH(W$1,Data_metier!$B:$B,0))="Non significatif",
    INDEX(Data_metier!$F:$F,MATCH($A15,Data_metier!$B:$B,0))="Significatif"),
DE_niv_form!W15+0.5,
DE_niv_form!W15)</f>
        <v>-1</v>
      </c>
      <c r="X15">
        <f>IF(AND(INDEX(Data_metier!$F:$F,MATCH(X$1,Data_metier!$B:$B,0))="Non significatif",
    INDEX(Data_metier!$F:$F,MATCH($A15,Data_metier!$B:$B,0))="Significatif"),
DE_niv_form!X15+0.5,
DE_niv_form!X15)</f>
        <v>-1</v>
      </c>
      <c r="Y15">
        <f>IF(AND(INDEX(Data_metier!$F:$F,MATCH(Y$1,Data_metier!$B:$B,0))="Non significatif",
    INDEX(Data_metier!$F:$F,MATCH($A15,Data_metier!$B:$B,0))="Significatif"),
DE_niv_form!Y15+0.5,
DE_niv_form!Y15)</f>
        <v>0</v>
      </c>
      <c r="Z15">
        <f>IF(AND(INDEX(Data_metier!$F:$F,MATCH(Z$1,Data_metier!$B:$B,0))="Non significatif",
    INDEX(Data_metier!$F:$F,MATCH($A15,Data_metier!$B:$B,0))="Significatif"),
DE_niv_form!Z15+0.5,
DE_niv_form!Z15)</f>
        <v>0</v>
      </c>
      <c r="AA15">
        <f>IF(AND(INDEX(Data_metier!$F:$F,MATCH(AA$1,Data_metier!$B:$B,0))="Non significatif",
    INDEX(Data_metier!$F:$F,MATCH($A15,Data_metier!$B:$B,0))="Significatif"),
DE_niv_form!AA15+0.5,
DE_niv_form!AA15)</f>
        <v>0</v>
      </c>
      <c r="AB15">
        <f>IF(AND(INDEX(Data_metier!$F:$F,MATCH(AB$1,Data_metier!$B:$B,0))="Non significatif",
    INDEX(Data_metier!$F:$F,MATCH($A15,Data_metier!$B:$B,0))="Significatif"),
DE_niv_form!AB15+0.5,
DE_niv_form!AB15)</f>
        <v>-1</v>
      </c>
      <c r="AC15">
        <f>IF(AND(INDEX(Data_metier!$F:$F,MATCH(AC$1,Data_metier!$B:$B,0))="Non significatif",
    INDEX(Data_metier!$F:$F,MATCH($A15,Data_metier!$B:$B,0))="Significatif"),
DE_niv_form!AC15+0.5,
DE_niv_form!AC15)</f>
        <v>-1</v>
      </c>
      <c r="AD15">
        <f>IF(AND(INDEX(Data_metier!$F:$F,MATCH(AD$1,Data_metier!$B:$B,0))="Non significatif",
    INDEX(Data_metier!$F:$F,MATCH($A15,Data_metier!$B:$B,0))="Significatif"),
DE_niv_form!AD15+0.5,
DE_niv_form!AD15)</f>
        <v>-1</v>
      </c>
    </row>
    <row r="16" spans="1:30">
      <c r="A16" t="str">
        <v>Opérateur(trice) hygiène / sanitation</v>
      </c>
      <c r="B16">
        <f>IF(AND(INDEX(Data_metier!$F:$F,MATCH(B$1,Data_metier!$B:$B,0))="Non significatif",
    INDEX(Data_metier!$F:$F,MATCH($A16,Data_metier!$B:$B,0))="Significatif"),
DE_niv_form!B16+0.5,
DE_niv_form!B16)</f>
        <v>-1</v>
      </c>
      <c r="C16">
        <f>IF(AND(INDEX(Data_metier!$F:$F,MATCH(C$1,Data_metier!$B:$B,0))="Non significatif",
    INDEX(Data_metier!$F:$F,MATCH($A16,Data_metier!$B:$B,0))="Significatif"),
DE_niv_form!C16+0.5,
DE_niv_form!C16)</f>
        <v>-1</v>
      </c>
      <c r="D16">
        <f>IF(AND(INDEX(Data_metier!$F:$F,MATCH(D$1,Data_metier!$B:$B,0))="Non significatif",
    INDEX(Data_metier!$F:$F,MATCH($A16,Data_metier!$B:$B,0))="Significatif"),
DE_niv_form!D16+0.5,
DE_niv_form!D16)</f>
        <v>0</v>
      </c>
      <c r="E16">
        <f>IF(AND(INDEX(Data_metier!$F:$F,MATCH(E$1,Data_metier!$B:$B,0))="Non significatif",
    INDEX(Data_metier!$F:$F,MATCH($A16,Data_metier!$B:$B,0))="Significatif"),
DE_niv_form!E16+0.5,
DE_niv_form!E16)</f>
        <v>-1</v>
      </c>
      <c r="F16">
        <f>IF(AND(INDEX(Data_metier!$F:$F,MATCH(F$1,Data_metier!$B:$B,0))="Non significatif",
    INDEX(Data_metier!$F:$F,MATCH($A16,Data_metier!$B:$B,0))="Significatif"),
DE_niv_form!F16+0.5,
DE_niv_form!F16)</f>
        <v>-1</v>
      </c>
      <c r="G16">
        <f>IF(AND(INDEX(Data_metier!$F:$F,MATCH(G$1,Data_metier!$B:$B,0))="Non significatif",
    INDEX(Data_metier!$F:$F,MATCH($A16,Data_metier!$B:$B,0))="Significatif"),
DE_niv_form!G16+0.5,
DE_niv_form!G16)</f>
        <v>-1</v>
      </c>
      <c r="H16">
        <f>IF(AND(INDEX(Data_metier!$F:$F,MATCH(H$1,Data_metier!$B:$B,0))="Non significatif",
    INDEX(Data_metier!$F:$F,MATCH($A16,Data_metier!$B:$B,0))="Significatif"),
DE_niv_form!H16+0.5,
DE_niv_form!H16)</f>
        <v>-1</v>
      </c>
      <c r="I16">
        <f>IF(AND(INDEX(Data_metier!$F:$F,MATCH(I$1,Data_metier!$B:$B,0))="Non significatif",
    INDEX(Data_metier!$F:$F,MATCH($A16,Data_metier!$B:$B,0))="Significatif"),
DE_niv_form!I16+0.5,
DE_niv_form!I16)</f>
        <v>0</v>
      </c>
      <c r="J16">
        <f>IF(AND(INDEX(Data_metier!$F:$F,MATCH(J$1,Data_metier!$B:$B,0))="Non significatif",
    INDEX(Data_metier!$F:$F,MATCH($A16,Data_metier!$B:$B,0))="Significatif"),
DE_niv_form!J16+0.5,
DE_niv_form!J16)</f>
        <v>-1</v>
      </c>
      <c r="K16">
        <f>IF(AND(INDEX(Data_metier!$F:$F,MATCH(K$1,Data_metier!$B:$B,0))="Non significatif",
    INDEX(Data_metier!$F:$F,MATCH($A16,Data_metier!$B:$B,0))="Significatif"),
DE_niv_form!K16+0.5,
DE_niv_form!K16)</f>
        <v>-1</v>
      </c>
      <c r="L16">
        <f>IF(AND(INDEX(Data_metier!$F:$F,MATCH(L$1,Data_metier!$B:$B,0))="Non significatif",
    INDEX(Data_metier!$F:$F,MATCH($A16,Data_metier!$B:$B,0))="Significatif"),
DE_niv_form!L16+0.5,
DE_niv_form!L16)</f>
        <v>0</v>
      </c>
      <c r="M16">
        <f>IF(AND(INDEX(Data_metier!$F:$F,MATCH(M$1,Data_metier!$B:$B,0))="Non significatif",
    INDEX(Data_metier!$F:$F,MATCH($A16,Data_metier!$B:$B,0))="Significatif"),
DE_niv_form!M16+0.5,
DE_niv_form!M16)</f>
        <v>-1</v>
      </c>
      <c r="N16">
        <f>IF(AND(INDEX(Data_metier!$F:$F,MATCH(N$1,Data_metier!$B:$B,0))="Non significatif",
    INDEX(Data_metier!$F:$F,MATCH($A16,Data_metier!$B:$B,0))="Significatif"),
DE_niv_form!N16+0.5,
DE_niv_form!N16)</f>
        <v>-1</v>
      </c>
      <c r="O16">
        <f>IF(AND(INDEX(Data_metier!$F:$F,MATCH(O$1,Data_metier!$B:$B,0))="Non significatif",
    INDEX(Data_metier!$F:$F,MATCH($A16,Data_metier!$B:$B,0))="Significatif"),
DE_niv_form!O16+0.5,
DE_niv_form!O16)</f>
        <v>0</v>
      </c>
      <c r="P16">
        <f>IF(AND(INDEX(Data_metier!$F:$F,MATCH(P$1,Data_metier!$B:$B,0))="Non significatif",
    INDEX(Data_metier!$F:$F,MATCH($A16,Data_metier!$B:$B,0))="Significatif"),
DE_niv_form!P16+0.5,
DE_niv_form!P16)</f>
        <v>0</v>
      </c>
      <c r="Q16">
        <f>IF(AND(INDEX(Data_metier!$F:$F,MATCH(Q$1,Data_metier!$B:$B,0))="Non significatif",
    INDEX(Data_metier!$F:$F,MATCH($A16,Data_metier!$B:$B,0))="Significatif"),
DE_niv_form!Q16+0.5,
DE_niv_form!Q16)</f>
        <v>-1</v>
      </c>
      <c r="R16">
        <f>IF(AND(INDEX(Data_metier!$F:$F,MATCH(R$1,Data_metier!$B:$B,0))="Non significatif",
    INDEX(Data_metier!$F:$F,MATCH($A16,Data_metier!$B:$B,0))="Significatif"),
DE_niv_form!R16+0.5,
DE_niv_form!R16)</f>
        <v>-1</v>
      </c>
      <c r="S16">
        <f>IF(AND(INDEX(Data_metier!$F:$F,MATCH(S$1,Data_metier!$B:$B,0))="Non significatif",
    INDEX(Data_metier!$F:$F,MATCH($A16,Data_metier!$B:$B,0))="Significatif"),
DE_niv_form!S16+0.5,
DE_niv_form!S16)</f>
        <v>0</v>
      </c>
      <c r="T16">
        <f>IF(AND(INDEX(Data_metier!$F:$F,MATCH(T$1,Data_metier!$B:$B,0))="Non significatif",
    INDEX(Data_metier!$F:$F,MATCH($A16,Data_metier!$B:$B,0))="Significatif"),
DE_niv_form!T16+0.5,
DE_niv_form!T16)</f>
        <v>0</v>
      </c>
      <c r="U16">
        <f>IF(AND(INDEX(Data_metier!$F:$F,MATCH(U$1,Data_metier!$B:$B,0))="Non significatif",
    INDEX(Data_metier!$F:$F,MATCH($A16,Data_metier!$B:$B,0))="Significatif"),
DE_niv_form!U16+0.5,
DE_niv_form!U16)</f>
        <v>0</v>
      </c>
      <c r="V16">
        <f>IF(AND(INDEX(Data_metier!$F:$F,MATCH(V$1,Data_metier!$B:$B,0))="Non significatif",
    INDEX(Data_metier!$F:$F,MATCH($A16,Data_metier!$B:$B,0))="Significatif"),
DE_niv_form!V16+0.5,
DE_niv_form!V16)</f>
        <v>-1</v>
      </c>
      <c r="W16">
        <f>IF(AND(INDEX(Data_metier!$F:$F,MATCH(W$1,Data_metier!$B:$B,0))="Non significatif",
    INDEX(Data_metier!$F:$F,MATCH($A16,Data_metier!$B:$B,0))="Significatif"),
DE_niv_form!W16+0.5,
DE_niv_form!W16)</f>
        <v>-1</v>
      </c>
      <c r="X16">
        <f>IF(AND(INDEX(Data_metier!$F:$F,MATCH(X$1,Data_metier!$B:$B,0))="Non significatif",
    INDEX(Data_metier!$F:$F,MATCH($A16,Data_metier!$B:$B,0))="Significatif"),
DE_niv_form!X16+0.5,
DE_niv_form!X16)</f>
        <v>-1</v>
      </c>
      <c r="Y16">
        <f>IF(AND(INDEX(Data_metier!$F:$F,MATCH(Y$1,Data_metier!$B:$B,0))="Non significatif",
    INDEX(Data_metier!$F:$F,MATCH($A16,Data_metier!$B:$B,0))="Significatif"),
DE_niv_form!Y16+0.5,
DE_niv_form!Y16)</f>
        <v>0</v>
      </c>
      <c r="Z16">
        <f>IF(AND(INDEX(Data_metier!$F:$F,MATCH(Z$1,Data_metier!$B:$B,0))="Non significatif",
    INDEX(Data_metier!$F:$F,MATCH($A16,Data_metier!$B:$B,0))="Significatif"),
DE_niv_form!Z16+0.5,
DE_niv_form!Z16)</f>
        <v>0</v>
      </c>
      <c r="AA16">
        <f>IF(AND(INDEX(Data_metier!$F:$F,MATCH(AA$1,Data_metier!$B:$B,0))="Non significatif",
    INDEX(Data_metier!$F:$F,MATCH($A16,Data_metier!$B:$B,0))="Significatif"),
DE_niv_form!AA16+0.5,
DE_niv_form!AA16)</f>
        <v>0</v>
      </c>
      <c r="AB16">
        <f>IF(AND(INDEX(Data_metier!$F:$F,MATCH(AB$1,Data_metier!$B:$B,0))="Non significatif",
    INDEX(Data_metier!$F:$F,MATCH($A16,Data_metier!$B:$B,0))="Significatif"),
DE_niv_form!AB16+0.5,
DE_niv_form!AB16)</f>
        <v>-1</v>
      </c>
      <c r="AC16">
        <f>IF(AND(INDEX(Data_metier!$F:$F,MATCH(AC$1,Data_metier!$B:$B,0))="Non significatif",
    INDEX(Data_metier!$F:$F,MATCH($A16,Data_metier!$B:$B,0))="Significatif"),
DE_niv_form!AC16+0.5,
DE_niv_form!AC16)</f>
        <v>-1</v>
      </c>
      <c r="AD16">
        <f>IF(AND(INDEX(Data_metier!$F:$F,MATCH(AD$1,Data_metier!$B:$B,0))="Non significatif",
    INDEX(Data_metier!$F:$F,MATCH($A16,Data_metier!$B:$B,0))="Significatif"),
DE_niv_form!AD16+0.5,
DE_niv_form!AD16)</f>
        <v>-1</v>
      </c>
    </row>
    <row r="17" spans="1:30">
      <c r="A17" t="str">
        <v>Chef(fe) de silo</v>
      </c>
      <c r="B17">
        <f>IF(AND(INDEX(Data_metier!$F:$F,MATCH(B$1,Data_metier!$B:$B,0))="Non significatif",
    INDEX(Data_metier!$F:$F,MATCH($A17,Data_metier!$B:$B,0))="Significatif"),
DE_niv_form!B17+0.5,
DE_niv_form!B17)</f>
        <v>2.5</v>
      </c>
      <c r="C17">
        <f>IF(AND(INDEX(Data_metier!$F:$F,MATCH(C$1,Data_metier!$B:$B,0))="Non significatif",
    INDEX(Data_metier!$F:$F,MATCH($A17,Data_metier!$B:$B,0))="Significatif"),
DE_niv_form!C17+0.5,
DE_niv_form!C17)</f>
        <v>2.5</v>
      </c>
      <c r="D17">
        <f>IF(AND(INDEX(Data_metier!$F:$F,MATCH(D$1,Data_metier!$B:$B,0))="Non significatif",
    INDEX(Data_metier!$F:$F,MATCH($A17,Data_metier!$B:$B,0))="Significatif"),
DE_niv_form!D17+0.5,
DE_niv_form!D17)</f>
        <v>2.5</v>
      </c>
      <c r="E17">
        <f>IF(AND(INDEX(Data_metier!$F:$F,MATCH(E$1,Data_metier!$B:$B,0))="Non significatif",
    INDEX(Data_metier!$F:$F,MATCH($A17,Data_metier!$B:$B,0))="Significatif"),
DE_niv_form!E17+0.5,
DE_niv_form!E17)</f>
        <v>0</v>
      </c>
      <c r="F17">
        <f>IF(AND(INDEX(Data_metier!$F:$F,MATCH(F$1,Data_metier!$B:$B,0))="Non significatif",
    INDEX(Data_metier!$F:$F,MATCH($A17,Data_metier!$B:$B,0))="Significatif"),
DE_niv_form!F17+0.5,
DE_niv_form!F17)</f>
        <v>-0.5</v>
      </c>
      <c r="G17">
        <f>IF(AND(INDEX(Data_metier!$F:$F,MATCH(G$1,Data_metier!$B:$B,0))="Non significatif",
    INDEX(Data_metier!$F:$F,MATCH($A17,Data_metier!$B:$B,0))="Significatif"),
DE_niv_form!G17+0.5,
DE_niv_form!G17)</f>
        <v>-1</v>
      </c>
      <c r="H17">
        <f>IF(AND(INDEX(Data_metier!$F:$F,MATCH(H$1,Data_metier!$B:$B,0))="Non significatif",
    INDEX(Data_metier!$F:$F,MATCH($A17,Data_metier!$B:$B,0))="Significatif"),
DE_niv_form!H17+0.5,
DE_niv_form!H17)</f>
        <v>-1</v>
      </c>
      <c r="I17">
        <f>IF(AND(INDEX(Data_metier!$F:$F,MATCH(I$1,Data_metier!$B:$B,0))="Non significatif",
    INDEX(Data_metier!$F:$F,MATCH($A17,Data_metier!$B:$B,0))="Significatif"),
DE_niv_form!I17+0.5,
DE_niv_form!I17)</f>
        <v>2.5</v>
      </c>
      <c r="J17">
        <f>IF(AND(INDEX(Data_metier!$F:$F,MATCH(J$1,Data_metier!$B:$B,0))="Non significatif",
    INDEX(Data_metier!$F:$F,MATCH($A17,Data_metier!$B:$B,0))="Significatif"),
DE_niv_form!J17+0.5,
DE_niv_form!J17)</f>
        <v>0.5</v>
      </c>
      <c r="K17">
        <f>IF(AND(INDEX(Data_metier!$F:$F,MATCH(K$1,Data_metier!$B:$B,0))="Non significatif",
    INDEX(Data_metier!$F:$F,MATCH($A17,Data_metier!$B:$B,0))="Significatif"),
DE_niv_form!K17+0.5,
DE_niv_form!K17)</f>
        <v>-1</v>
      </c>
      <c r="L17">
        <f>IF(AND(INDEX(Data_metier!$F:$F,MATCH(L$1,Data_metier!$B:$B,0))="Non significatif",
    INDEX(Data_metier!$F:$F,MATCH($A17,Data_metier!$B:$B,0))="Significatif"),
DE_niv_form!L17+0.5,
DE_niv_form!L17)</f>
        <v>2.5</v>
      </c>
      <c r="M17">
        <f>IF(AND(INDEX(Data_metier!$F:$F,MATCH(M$1,Data_metier!$B:$B,0))="Non significatif",
    INDEX(Data_metier!$F:$F,MATCH($A17,Data_metier!$B:$B,0))="Significatif"),
DE_niv_form!M17+0.5,
DE_niv_form!M17)</f>
        <v>2.5</v>
      </c>
      <c r="N17">
        <f>IF(AND(INDEX(Data_metier!$F:$F,MATCH(N$1,Data_metier!$B:$B,0))="Non significatif",
    INDEX(Data_metier!$F:$F,MATCH($A17,Data_metier!$B:$B,0))="Significatif"),
DE_niv_form!N17+0.5,
DE_niv_form!N17)</f>
        <v>1</v>
      </c>
      <c r="O17">
        <f>IF(AND(INDEX(Data_metier!$F:$F,MATCH(O$1,Data_metier!$B:$B,0))="Non significatif",
    INDEX(Data_metier!$F:$F,MATCH($A17,Data_metier!$B:$B,0))="Significatif"),
DE_niv_form!O17+0.5,
DE_niv_form!O17)</f>
        <v>2.5</v>
      </c>
      <c r="P17">
        <f>IF(AND(INDEX(Data_metier!$F:$F,MATCH(P$1,Data_metier!$B:$B,0))="Non significatif",
    INDEX(Data_metier!$F:$F,MATCH($A17,Data_metier!$B:$B,0))="Significatif"),
DE_niv_form!P17+0.5,
DE_niv_form!P17)</f>
        <v>2.5</v>
      </c>
      <c r="Q17">
        <f>IF(AND(INDEX(Data_metier!$F:$F,MATCH(Q$1,Data_metier!$B:$B,0))="Non significatif",
    INDEX(Data_metier!$F:$F,MATCH($A17,Data_metier!$B:$B,0))="Significatif"),
DE_niv_form!Q17+0.5,
DE_niv_form!Q17)</f>
        <v>0</v>
      </c>
      <c r="R17">
        <f>IF(AND(INDEX(Data_metier!$F:$F,MATCH(R$1,Data_metier!$B:$B,0))="Non significatif",
    INDEX(Data_metier!$F:$F,MATCH($A17,Data_metier!$B:$B,0))="Significatif"),
DE_niv_form!R17+0.5,
DE_niv_form!R17)</f>
        <v>-1</v>
      </c>
      <c r="S17">
        <f>IF(AND(INDEX(Data_metier!$F:$F,MATCH(S$1,Data_metier!$B:$B,0))="Non significatif",
    INDEX(Data_metier!$F:$F,MATCH($A17,Data_metier!$B:$B,0))="Significatif"),
DE_niv_form!S17+0.5,
DE_niv_form!S17)</f>
        <v>2.5</v>
      </c>
      <c r="T17">
        <f>IF(AND(INDEX(Data_metier!$F:$F,MATCH(T$1,Data_metier!$B:$B,0))="Non significatif",
    INDEX(Data_metier!$F:$F,MATCH($A17,Data_metier!$B:$B,0))="Significatif"),
DE_niv_form!T17+0.5,
DE_niv_form!T17)</f>
        <v>2.5</v>
      </c>
      <c r="U17">
        <f>IF(AND(INDEX(Data_metier!$F:$F,MATCH(U$1,Data_metier!$B:$B,0))="Non significatif",
    INDEX(Data_metier!$F:$F,MATCH($A17,Data_metier!$B:$B,0))="Significatif"),
DE_niv_form!U17+0.5,
DE_niv_form!U17)</f>
        <v>2.5</v>
      </c>
      <c r="V17">
        <f>IF(AND(INDEX(Data_metier!$F:$F,MATCH(V$1,Data_metier!$B:$B,0))="Non significatif",
    INDEX(Data_metier!$F:$F,MATCH($A17,Data_metier!$B:$B,0))="Significatif"),
DE_niv_form!V17+0.5,
DE_niv_form!V17)</f>
        <v>2.5</v>
      </c>
      <c r="W17">
        <f>IF(AND(INDEX(Data_metier!$F:$F,MATCH(W$1,Data_metier!$B:$B,0))="Non significatif",
    INDEX(Data_metier!$F:$F,MATCH($A17,Data_metier!$B:$B,0))="Significatif"),
DE_niv_form!W17+0.5,
DE_niv_form!W17)</f>
        <v>2</v>
      </c>
      <c r="X17">
        <f>IF(AND(INDEX(Data_metier!$F:$F,MATCH(X$1,Data_metier!$B:$B,0))="Non significatif",
    INDEX(Data_metier!$F:$F,MATCH($A17,Data_metier!$B:$B,0))="Significatif"),
DE_niv_form!X17+0.5,
DE_niv_form!X17)</f>
        <v>-1</v>
      </c>
      <c r="Y17">
        <f>IF(AND(INDEX(Data_metier!$F:$F,MATCH(Y$1,Data_metier!$B:$B,0))="Non significatif",
    INDEX(Data_metier!$F:$F,MATCH($A17,Data_metier!$B:$B,0))="Significatif"),
DE_niv_form!Y17+0.5,
DE_niv_form!Y17)</f>
        <v>2.5</v>
      </c>
      <c r="Z17">
        <f>IF(AND(INDEX(Data_metier!$F:$F,MATCH(Z$1,Data_metier!$B:$B,0))="Non significatif",
    INDEX(Data_metier!$F:$F,MATCH($A17,Data_metier!$B:$B,0))="Significatif"),
DE_niv_form!Z17+0.5,
DE_niv_form!Z17)</f>
        <v>2.5</v>
      </c>
      <c r="AA17">
        <f>IF(AND(INDEX(Data_metier!$F:$F,MATCH(AA$1,Data_metier!$B:$B,0))="Non significatif",
    INDEX(Data_metier!$F:$F,MATCH($A17,Data_metier!$B:$B,0))="Significatif"),
DE_niv_form!AA17+0.5,
DE_niv_form!AA17)</f>
        <v>2.5</v>
      </c>
      <c r="AB17">
        <f>IF(AND(INDEX(Data_metier!$F:$F,MATCH(AB$1,Data_metier!$B:$B,0))="Non significatif",
    INDEX(Data_metier!$F:$F,MATCH($A17,Data_metier!$B:$B,0))="Significatif"),
DE_niv_form!AB17+0.5,
DE_niv_form!AB17)</f>
        <v>2.5</v>
      </c>
      <c r="AC17">
        <f>IF(AND(INDEX(Data_metier!$F:$F,MATCH(AC$1,Data_metier!$B:$B,0))="Non significatif",
    INDEX(Data_metier!$F:$F,MATCH($A17,Data_metier!$B:$B,0))="Significatif"),
DE_niv_form!AC17+0.5,
DE_niv_form!AC17)</f>
        <v>2.5</v>
      </c>
      <c r="AD17">
        <f>IF(AND(INDEX(Data_metier!$F:$F,MATCH(AD$1,Data_metier!$B:$B,0))="Non significatif",
    INDEX(Data_metier!$F:$F,MATCH($A17,Data_metier!$B:$B,0))="Significatif"),
DE_niv_form!AD17+0.5,
DE_niv_form!AD17)</f>
        <v>1.5</v>
      </c>
    </row>
    <row r="18" spans="1:30">
      <c r="A18" t="str">
        <v>Acheteur(se) / négociateur(trice) de matières premières</v>
      </c>
      <c r="B18">
        <f>IF(AND(INDEX(Data_metier!$F:$F,MATCH(B$1,Data_metier!$B:$B,0))="Non significatif",
    INDEX(Data_metier!$F:$F,MATCH($A18,Data_metier!$B:$B,0))="Significatif"),
DE_niv_form!B18+0.5,
DE_niv_form!B18)</f>
        <v>2.5</v>
      </c>
      <c r="C18">
        <f>IF(AND(INDEX(Data_metier!$F:$F,MATCH(C$1,Data_metier!$B:$B,0))="Non significatif",
    INDEX(Data_metier!$F:$F,MATCH($A18,Data_metier!$B:$B,0))="Significatif"),
DE_niv_form!C18+0.5,
DE_niv_form!C18)</f>
        <v>2.5</v>
      </c>
      <c r="D18">
        <f>IF(AND(INDEX(Data_metier!$F:$F,MATCH(D$1,Data_metier!$B:$B,0))="Non significatif",
    INDEX(Data_metier!$F:$F,MATCH($A18,Data_metier!$B:$B,0))="Significatif"),
DE_niv_form!D18+0.5,
DE_niv_form!D18)</f>
        <v>2.5</v>
      </c>
      <c r="E18">
        <f>IF(AND(INDEX(Data_metier!$F:$F,MATCH(E$1,Data_metier!$B:$B,0))="Non significatif",
    INDEX(Data_metier!$F:$F,MATCH($A18,Data_metier!$B:$B,0))="Significatif"),
DE_niv_form!E18+0.5,
DE_niv_form!E18)</f>
        <v>1</v>
      </c>
      <c r="F18">
        <f>IF(AND(INDEX(Data_metier!$F:$F,MATCH(F$1,Data_metier!$B:$B,0))="Non significatif",
    INDEX(Data_metier!$F:$F,MATCH($A18,Data_metier!$B:$B,0))="Significatif"),
DE_niv_form!F18+0.5,
DE_niv_form!F18)</f>
        <v>1.5</v>
      </c>
      <c r="G18">
        <f>IF(AND(INDEX(Data_metier!$F:$F,MATCH(G$1,Data_metier!$B:$B,0))="Non significatif",
    INDEX(Data_metier!$F:$F,MATCH($A18,Data_metier!$B:$B,0))="Significatif"),
DE_niv_form!G18+0.5,
DE_niv_form!G18)</f>
        <v>1</v>
      </c>
      <c r="H18">
        <f>IF(AND(INDEX(Data_metier!$F:$F,MATCH(H$1,Data_metier!$B:$B,0))="Non significatif",
    INDEX(Data_metier!$F:$F,MATCH($A18,Data_metier!$B:$B,0))="Significatif"),
DE_niv_form!H18+0.5,
DE_niv_form!H18)</f>
        <v>1</v>
      </c>
      <c r="I18">
        <f>IF(AND(INDEX(Data_metier!$F:$F,MATCH(I$1,Data_metier!$B:$B,0))="Non significatif",
    INDEX(Data_metier!$F:$F,MATCH($A18,Data_metier!$B:$B,0))="Significatif"),
DE_niv_form!I18+0.5,
DE_niv_form!I18)</f>
        <v>2.5</v>
      </c>
      <c r="J18">
        <f>IF(AND(INDEX(Data_metier!$F:$F,MATCH(J$1,Data_metier!$B:$B,0))="Non significatif",
    INDEX(Data_metier!$F:$F,MATCH($A18,Data_metier!$B:$B,0))="Significatif"),
DE_niv_form!J18+0.5,
DE_niv_form!J18)</f>
        <v>1.5</v>
      </c>
      <c r="K18">
        <f>IF(AND(INDEX(Data_metier!$F:$F,MATCH(K$1,Data_metier!$B:$B,0))="Non significatif",
    INDEX(Data_metier!$F:$F,MATCH($A18,Data_metier!$B:$B,0))="Significatif"),
DE_niv_form!K18+0.5,
DE_niv_form!K18)</f>
        <v>-1</v>
      </c>
      <c r="L18">
        <f>IF(AND(INDEX(Data_metier!$F:$F,MATCH(L$1,Data_metier!$B:$B,0))="Non significatif",
    INDEX(Data_metier!$F:$F,MATCH($A18,Data_metier!$B:$B,0))="Significatif"),
DE_niv_form!L18+0.5,
DE_niv_form!L18)</f>
        <v>2.5</v>
      </c>
      <c r="M18">
        <f>IF(AND(INDEX(Data_metier!$F:$F,MATCH(M$1,Data_metier!$B:$B,0))="Non significatif",
    INDEX(Data_metier!$F:$F,MATCH($A18,Data_metier!$B:$B,0))="Significatif"),
DE_niv_form!M18+0.5,
DE_niv_form!M18)</f>
        <v>2.5</v>
      </c>
      <c r="N18">
        <f>IF(AND(INDEX(Data_metier!$F:$F,MATCH(N$1,Data_metier!$B:$B,0))="Non significatif",
    INDEX(Data_metier!$F:$F,MATCH($A18,Data_metier!$B:$B,0))="Significatif"),
DE_niv_form!N18+0.5,
DE_niv_form!N18)</f>
        <v>2</v>
      </c>
      <c r="O18">
        <f>IF(AND(INDEX(Data_metier!$F:$F,MATCH(O$1,Data_metier!$B:$B,0))="Non significatif",
    INDEX(Data_metier!$F:$F,MATCH($A18,Data_metier!$B:$B,0))="Significatif"),
DE_niv_form!O18+0.5,
DE_niv_form!O18)</f>
        <v>2.5</v>
      </c>
      <c r="P18">
        <f>IF(AND(INDEX(Data_metier!$F:$F,MATCH(P$1,Data_metier!$B:$B,0))="Non significatif",
    INDEX(Data_metier!$F:$F,MATCH($A18,Data_metier!$B:$B,0))="Significatif"),
DE_niv_form!P18+0.5,
DE_niv_form!P18)</f>
        <v>2.5</v>
      </c>
      <c r="Q18">
        <f>IF(AND(INDEX(Data_metier!$F:$F,MATCH(Q$1,Data_metier!$B:$B,0))="Non significatif",
    INDEX(Data_metier!$F:$F,MATCH($A18,Data_metier!$B:$B,0))="Significatif"),
DE_niv_form!Q18+0.5,
DE_niv_form!Q18)</f>
        <v>1</v>
      </c>
      <c r="R18">
        <f>IF(AND(INDEX(Data_metier!$F:$F,MATCH(R$1,Data_metier!$B:$B,0))="Non significatif",
    INDEX(Data_metier!$F:$F,MATCH($A18,Data_metier!$B:$B,0))="Significatif"),
DE_niv_form!R18+0.5,
DE_niv_form!R18)</f>
        <v>0</v>
      </c>
      <c r="S18">
        <f>IF(AND(INDEX(Data_metier!$F:$F,MATCH(S$1,Data_metier!$B:$B,0))="Non significatif",
    INDEX(Data_metier!$F:$F,MATCH($A18,Data_metier!$B:$B,0))="Significatif"),
DE_niv_form!S18+0.5,
DE_niv_form!S18)</f>
        <v>2.5</v>
      </c>
      <c r="T18">
        <f>IF(AND(INDEX(Data_metier!$F:$F,MATCH(T$1,Data_metier!$B:$B,0))="Non significatif",
    INDEX(Data_metier!$F:$F,MATCH($A18,Data_metier!$B:$B,0))="Significatif"),
DE_niv_form!T18+0.5,
DE_niv_form!T18)</f>
        <v>2.5</v>
      </c>
      <c r="U18">
        <f>IF(AND(INDEX(Data_metier!$F:$F,MATCH(U$1,Data_metier!$B:$B,0))="Non significatif",
    INDEX(Data_metier!$F:$F,MATCH($A18,Data_metier!$B:$B,0))="Significatif"),
DE_niv_form!U18+0.5,
DE_niv_form!U18)</f>
        <v>2.5</v>
      </c>
      <c r="V18">
        <f>IF(AND(INDEX(Data_metier!$F:$F,MATCH(V$1,Data_metier!$B:$B,0))="Non significatif",
    INDEX(Data_metier!$F:$F,MATCH($A18,Data_metier!$B:$B,0))="Significatif"),
DE_niv_form!V18+0.5,
DE_niv_form!V18)</f>
        <v>2.5</v>
      </c>
      <c r="W18">
        <f>IF(AND(INDEX(Data_metier!$F:$F,MATCH(W$1,Data_metier!$B:$B,0))="Non significatif",
    INDEX(Data_metier!$F:$F,MATCH($A18,Data_metier!$B:$B,0))="Significatif"),
DE_niv_form!W18+0.5,
DE_niv_form!W18)</f>
        <v>2</v>
      </c>
      <c r="X18">
        <f>IF(AND(INDEX(Data_metier!$F:$F,MATCH(X$1,Data_metier!$B:$B,0))="Non significatif",
    INDEX(Data_metier!$F:$F,MATCH($A18,Data_metier!$B:$B,0))="Significatif"),
DE_niv_form!X18+0.5,
DE_niv_form!X18)</f>
        <v>1</v>
      </c>
      <c r="Y18">
        <f>IF(AND(INDEX(Data_metier!$F:$F,MATCH(Y$1,Data_metier!$B:$B,0))="Non significatif",
    INDEX(Data_metier!$F:$F,MATCH($A18,Data_metier!$B:$B,0))="Significatif"),
DE_niv_form!Y18+0.5,
DE_niv_form!Y18)</f>
        <v>2.5</v>
      </c>
      <c r="Z18">
        <f>IF(AND(INDEX(Data_metier!$F:$F,MATCH(Z$1,Data_metier!$B:$B,0))="Non significatif",
    INDEX(Data_metier!$F:$F,MATCH($A18,Data_metier!$B:$B,0))="Significatif"),
DE_niv_form!Z18+0.5,
DE_niv_form!Z18)</f>
        <v>2.5</v>
      </c>
      <c r="AA18">
        <f>IF(AND(INDEX(Data_metier!$F:$F,MATCH(AA$1,Data_metier!$B:$B,0))="Non significatif",
    INDEX(Data_metier!$F:$F,MATCH($A18,Data_metier!$B:$B,0))="Significatif"),
DE_niv_form!AA18+0.5,
DE_niv_form!AA18)</f>
        <v>2.5</v>
      </c>
      <c r="AB18">
        <f>IF(AND(INDEX(Data_metier!$F:$F,MATCH(AB$1,Data_metier!$B:$B,0))="Non significatif",
    INDEX(Data_metier!$F:$F,MATCH($A18,Data_metier!$B:$B,0))="Significatif"),
DE_niv_form!AB18+0.5,
DE_niv_form!AB18)</f>
        <v>2.5</v>
      </c>
      <c r="AC18">
        <f>IF(AND(INDEX(Data_metier!$F:$F,MATCH(AC$1,Data_metier!$B:$B,0))="Non significatif",
    INDEX(Data_metier!$F:$F,MATCH($A18,Data_metier!$B:$B,0))="Significatif"),
DE_niv_form!AC18+0.5,
DE_niv_form!AC18)</f>
        <v>2.5</v>
      </c>
      <c r="AD18">
        <f>IF(AND(INDEX(Data_metier!$F:$F,MATCH(AD$1,Data_metier!$B:$B,0))="Non significatif",
    INDEX(Data_metier!$F:$F,MATCH($A18,Data_metier!$B:$B,0))="Significatif"),
DE_niv_form!AD18+0.5,
DE_niv_form!AD18)</f>
        <v>2.5</v>
      </c>
    </row>
    <row r="19" spans="1:30">
      <c r="A19" t="str">
        <v>Opérateur(trice) de production alimentaire</v>
      </c>
      <c r="B19">
        <f>IF(AND(INDEX(Data_metier!$F:$F,MATCH(B$1,Data_metier!$B:$B,0))="Non significatif",
    INDEX(Data_metier!$F:$F,MATCH($A19,Data_metier!$B:$B,0))="Significatif"),
DE_niv_form!B19+0.5,
DE_niv_form!B19)</f>
        <v>-1</v>
      </c>
      <c r="C19">
        <f>IF(AND(INDEX(Data_metier!$F:$F,MATCH(C$1,Data_metier!$B:$B,0))="Non significatif",
    INDEX(Data_metier!$F:$F,MATCH($A19,Data_metier!$B:$B,0))="Significatif"),
DE_niv_form!C19+0.5,
DE_niv_form!C19)</f>
        <v>-1</v>
      </c>
      <c r="D19">
        <f>IF(AND(INDEX(Data_metier!$F:$F,MATCH(D$1,Data_metier!$B:$B,0))="Non significatif",
    INDEX(Data_metier!$F:$F,MATCH($A19,Data_metier!$B:$B,0))="Significatif"),
DE_niv_form!D19+0.5,
DE_niv_form!D19)</f>
        <v>0</v>
      </c>
      <c r="E19">
        <f>IF(AND(INDEX(Data_metier!$F:$F,MATCH(E$1,Data_metier!$B:$B,0))="Non significatif",
    INDEX(Data_metier!$F:$F,MATCH($A19,Data_metier!$B:$B,0))="Significatif"),
DE_niv_form!E19+0.5,
DE_niv_form!E19)</f>
        <v>-1</v>
      </c>
      <c r="F19">
        <f>IF(AND(INDEX(Data_metier!$F:$F,MATCH(F$1,Data_metier!$B:$B,0))="Non significatif",
    INDEX(Data_metier!$F:$F,MATCH($A19,Data_metier!$B:$B,0))="Significatif"),
DE_niv_form!F19+0.5,
DE_niv_form!F19)</f>
        <v>-1</v>
      </c>
      <c r="G19">
        <f>IF(AND(INDEX(Data_metier!$F:$F,MATCH(G$1,Data_metier!$B:$B,0))="Non significatif",
    INDEX(Data_metier!$F:$F,MATCH($A19,Data_metier!$B:$B,0))="Significatif"),
DE_niv_form!G19+0.5,
DE_niv_form!G19)</f>
        <v>-1</v>
      </c>
      <c r="H19">
        <f>IF(AND(INDEX(Data_metier!$F:$F,MATCH(H$1,Data_metier!$B:$B,0))="Non significatif",
    INDEX(Data_metier!$F:$F,MATCH($A19,Data_metier!$B:$B,0))="Significatif"),
DE_niv_form!H19+0.5,
DE_niv_form!H19)</f>
        <v>-1</v>
      </c>
      <c r="I19">
        <f>IF(AND(INDEX(Data_metier!$F:$F,MATCH(I$1,Data_metier!$B:$B,0))="Non significatif",
    INDEX(Data_metier!$F:$F,MATCH($A19,Data_metier!$B:$B,0))="Significatif"),
DE_niv_form!I19+0.5,
DE_niv_form!I19)</f>
        <v>0</v>
      </c>
      <c r="J19">
        <f>IF(AND(INDEX(Data_metier!$F:$F,MATCH(J$1,Data_metier!$B:$B,0))="Non significatif",
    INDEX(Data_metier!$F:$F,MATCH($A19,Data_metier!$B:$B,0))="Significatif"),
DE_niv_form!J19+0.5,
DE_niv_form!J19)</f>
        <v>-1</v>
      </c>
      <c r="K19">
        <f>IF(AND(INDEX(Data_metier!$F:$F,MATCH(K$1,Data_metier!$B:$B,0))="Non significatif",
    INDEX(Data_metier!$F:$F,MATCH($A19,Data_metier!$B:$B,0))="Significatif"),
DE_niv_form!K19+0.5,
DE_niv_form!K19)</f>
        <v>-1</v>
      </c>
      <c r="L19">
        <f>IF(AND(INDEX(Data_metier!$F:$F,MATCH(L$1,Data_metier!$B:$B,0))="Non significatif",
    INDEX(Data_metier!$F:$F,MATCH($A19,Data_metier!$B:$B,0))="Significatif"),
DE_niv_form!L19+0.5,
DE_niv_form!L19)</f>
        <v>0</v>
      </c>
      <c r="M19">
        <f>IF(AND(INDEX(Data_metier!$F:$F,MATCH(M$1,Data_metier!$B:$B,0))="Non significatif",
    INDEX(Data_metier!$F:$F,MATCH($A19,Data_metier!$B:$B,0))="Significatif"),
DE_niv_form!M19+0.5,
DE_niv_form!M19)</f>
        <v>-1</v>
      </c>
      <c r="N19">
        <f>IF(AND(INDEX(Data_metier!$F:$F,MATCH(N$1,Data_metier!$B:$B,0))="Non significatif",
    INDEX(Data_metier!$F:$F,MATCH($A19,Data_metier!$B:$B,0))="Significatif"),
DE_niv_form!N19+0.5,
DE_niv_form!N19)</f>
        <v>-1</v>
      </c>
      <c r="O19">
        <f>IF(AND(INDEX(Data_metier!$F:$F,MATCH(O$1,Data_metier!$B:$B,0))="Non significatif",
    INDEX(Data_metier!$F:$F,MATCH($A19,Data_metier!$B:$B,0))="Significatif"),
DE_niv_form!O19+0.5,
DE_niv_form!O19)</f>
        <v>0</v>
      </c>
      <c r="P19">
        <f>IF(AND(INDEX(Data_metier!$F:$F,MATCH(P$1,Data_metier!$B:$B,0))="Non significatif",
    INDEX(Data_metier!$F:$F,MATCH($A19,Data_metier!$B:$B,0))="Significatif"),
DE_niv_form!P19+0.5,
DE_niv_form!P19)</f>
        <v>0</v>
      </c>
      <c r="Q19">
        <f>IF(AND(INDEX(Data_metier!$F:$F,MATCH(Q$1,Data_metier!$B:$B,0))="Non significatif",
    INDEX(Data_metier!$F:$F,MATCH($A19,Data_metier!$B:$B,0))="Significatif"),
DE_niv_form!Q19+0.5,
DE_niv_form!Q19)</f>
        <v>-1</v>
      </c>
      <c r="R19">
        <f>IF(AND(INDEX(Data_metier!$F:$F,MATCH(R$1,Data_metier!$B:$B,0))="Non significatif",
    INDEX(Data_metier!$F:$F,MATCH($A19,Data_metier!$B:$B,0))="Significatif"),
DE_niv_form!R19+0.5,
DE_niv_form!R19)</f>
        <v>-1</v>
      </c>
      <c r="S19">
        <f>IF(AND(INDEX(Data_metier!$F:$F,MATCH(S$1,Data_metier!$B:$B,0))="Non significatif",
    INDEX(Data_metier!$F:$F,MATCH($A19,Data_metier!$B:$B,0))="Significatif"),
DE_niv_form!S19+0.5,
DE_niv_form!S19)</f>
        <v>0</v>
      </c>
      <c r="T19">
        <f>IF(AND(INDEX(Data_metier!$F:$F,MATCH(T$1,Data_metier!$B:$B,0))="Non significatif",
    INDEX(Data_metier!$F:$F,MATCH($A19,Data_metier!$B:$B,0))="Significatif"),
DE_niv_form!T19+0.5,
DE_niv_form!T19)</f>
        <v>0</v>
      </c>
      <c r="U19">
        <f>IF(AND(INDEX(Data_metier!$F:$F,MATCH(U$1,Data_metier!$B:$B,0))="Non significatif",
    INDEX(Data_metier!$F:$F,MATCH($A19,Data_metier!$B:$B,0))="Significatif"),
DE_niv_form!U19+0.5,
DE_niv_form!U19)</f>
        <v>0</v>
      </c>
      <c r="V19">
        <f>IF(AND(INDEX(Data_metier!$F:$F,MATCH(V$1,Data_metier!$B:$B,0))="Non significatif",
    INDEX(Data_metier!$F:$F,MATCH($A19,Data_metier!$B:$B,0))="Significatif"),
DE_niv_form!V19+0.5,
DE_niv_form!V19)</f>
        <v>-1</v>
      </c>
      <c r="W19">
        <f>IF(AND(INDEX(Data_metier!$F:$F,MATCH(W$1,Data_metier!$B:$B,0))="Non significatif",
    INDEX(Data_metier!$F:$F,MATCH($A19,Data_metier!$B:$B,0))="Significatif"),
DE_niv_form!W19+0.5,
DE_niv_form!W19)</f>
        <v>-1</v>
      </c>
      <c r="X19">
        <f>IF(AND(INDEX(Data_metier!$F:$F,MATCH(X$1,Data_metier!$B:$B,0))="Non significatif",
    INDEX(Data_metier!$F:$F,MATCH($A19,Data_metier!$B:$B,0))="Significatif"),
DE_niv_form!X19+0.5,
DE_niv_form!X19)</f>
        <v>-1</v>
      </c>
      <c r="Y19">
        <f>IF(AND(INDEX(Data_metier!$F:$F,MATCH(Y$1,Data_metier!$B:$B,0))="Non significatif",
    INDEX(Data_metier!$F:$F,MATCH($A19,Data_metier!$B:$B,0))="Significatif"),
DE_niv_form!Y19+0.5,
DE_niv_form!Y19)</f>
        <v>0</v>
      </c>
      <c r="Z19">
        <f>IF(AND(INDEX(Data_metier!$F:$F,MATCH(Z$1,Data_metier!$B:$B,0))="Non significatif",
    INDEX(Data_metier!$F:$F,MATCH($A19,Data_metier!$B:$B,0))="Significatif"),
DE_niv_form!Z19+0.5,
DE_niv_form!Z19)</f>
        <v>0</v>
      </c>
      <c r="AA19">
        <f>IF(AND(INDEX(Data_metier!$F:$F,MATCH(AA$1,Data_metier!$B:$B,0))="Non significatif",
    INDEX(Data_metier!$F:$F,MATCH($A19,Data_metier!$B:$B,0))="Significatif"),
DE_niv_form!AA19+0.5,
DE_niv_form!AA19)</f>
        <v>0</v>
      </c>
      <c r="AB19">
        <f>IF(AND(INDEX(Data_metier!$F:$F,MATCH(AB$1,Data_metier!$B:$B,0))="Non significatif",
    INDEX(Data_metier!$F:$F,MATCH($A19,Data_metier!$B:$B,0))="Significatif"),
DE_niv_form!AB19+0.5,
DE_niv_form!AB19)</f>
        <v>-1</v>
      </c>
      <c r="AC19">
        <f>IF(AND(INDEX(Data_metier!$F:$F,MATCH(AC$1,Data_metier!$B:$B,0))="Non significatif",
    INDEX(Data_metier!$F:$F,MATCH($A19,Data_metier!$B:$B,0))="Significatif"),
DE_niv_form!AC19+0.5,
DE_niv_form!AC19)</f>
        <v>-1</v>
      </c>
      <c r="AD19">
        <f>IF(AND(INDEX(Data_metier!$F:$F,MATCH(AD$1,Data_metier!$B:$B,0))="Non significatif",
    INDEX(Data_metier!$F:$F,MATCH($A19,Data_metier!$B:$B,0))="Significatif"),
DE_niv_form!AD19+0.5,
DE_niv_form!AD19)</f>
        <v>-1</v>
      </c>
    </row>
    <row r="20" spans="1:30">
      <c r="A20" t="str">
        <v>Conducteur(trice) de machine(s) de production alimentaire (fabrication / conditionnement)</v>
      </c>
      <c r="B20">
        <f>IF(AND(INDEX(Data_metier!$F:$F,MATCH(B$1,Data_metier!$B:$B,0))="Non significatif",
    INDEX(Data_metier!$F:$F,MATCH($A20,Data_metier!$B:$B,0))="Significatif"),
DE_niv_form!B20+0.5,
DE_niv_form!B20)</f>
        <v>-1</v>
      </c>
      <c r="C20">
        <f>IF(AND(INDEX(Data_metier!$F:$F,MATCH(C$1,Data_metier!$B:$B,0))="Non significatif",
    INDEX(Data_metier!$F:$F,MATCH($A20,Data_metier!$B:$B,0))="Significatif"),
DE_niv_form!C20+0.5,
DE_niv_form!C20)</f>
        <v>-1</v>
      </c>
      <c r="D20">
        <f>IF(AND(INDEX(Data_metier!$F:$F,MATCH(D$1,Data_metier!$B:$B,0))="Non significatif",
    INDEX(Data_metier!$F:$F,MATCH($A20,Data_metier!$B:$B,0))="Significatif"),
DE_niv_form!D20+0.5,
DE_niv_form!D20)</f>
        <v>0</v>
      </c>
      <c r="E20">
        <f>IF(AND(INDEX(Data_metier!$F:$F,MATCH(E$1,Data_metier!$B:$B,0))="Non significatif",
    INDEX(Data_metier!$F:$F,MATCH($A20,Data_metier!$B:$B,0))="Significatif"),
DE_niv_form!E20+0.5,
DE_niv_form!E20)</f>
        <v>-1</v>
      </c>
      <c r="F20">
        <f>IF(AND(INDEX(Data_metier!$F:$F,MATCH(F$1,Data_metier!$B:$B,0))="Non significatif",
    INDEX(Data_metier!$F:$F,MATCH($A20,Data_metier!$B:$B,0))="Significatif"),
DE_niv_form!F20+0.5,
DE_niv_form!F20)</f>
        <v>-1</v>
      </c>
      <c r="G20">
        <f>IF(AND(INDEX(Data_metier!$F:$F,MATCH(G$1,Data_metier!$B:$B,0))="Non significatif",
    INDEX(Data_metier!$F:$F,MATCH($A20,Data_metier!$B:$B,0))="Significatif"),
DE_niv_form!G20+0.5,
DE_niv_form!G20)</f>
        <v>-1</v>
      </c>
      <c r="H20">
        <f>IF(AND(INDEX(Data_metier!$F:$F,MATCH(H$1,Data_metier!$B:$B,0))="Non significatif",
    INDEX(Data_metier!$F:$F,MATCH($A20,Data_metier!$B:$B,0))="Significatif"),
DE_niv_form!H20+0.5,
DE_niv_form!H20)</f>
        <v>-1</v>
      </c>
      <c r="I20">
        <f>IF(AND(INDEX(Data_metier!$F:$F,MATCH(I$1,Data_metier!$B:$B,0))="Non significatif",
    INDEX(Data_metier!$F:$F,MATCH($A20,Data_metier!$B:$B,0))="Significatif"),
DE_niv_form!I20+0.5,
DE_niv_form!I20)</f>
        <v>0</v>
      </c>
      <c r="J20">
        <f>IF(AND(INDEX(Data_metier!$F:$F,MATCH(J$1,Data_metier!$B:$B,0))="Non significatif",
    INDEX(Data_metier!$F:$F,MATCH($A20,Data_metier!$B:$B,0))="Significatif"),
DE_niv_form!J20+0.5,
DE_niv_form!J20)</f>
        <v>-1</v>
      </c>
      <c r="K20">
        <f>IF(AND(INDEX(Data_metier!$F:$F,MATCH(K$1,Data_metier!$B:$B,0))="Non significatif",
    INDEX(Data_metier!$F:$F,MATCH($A20,Data_metier!$B:$B,0))="Significatif"),
DE_niv_form!K20+0.5,
DE_niv_form!K20)</f>
        <v>-1</v>
      </c>
      <c r="L20">
        <f>IF(AND(INDEX(Data_metier!$F:$F,MATCH(L$1,Data_metier!$B:$B,0))="Non significatif",
    INDEX(Data_metier!$F:$F,MATCH($A20,Data_metier!$B:$B,0))="Significatif"),
DE_niv_form!L20+0.5,
DE_niv_form!L20)</f>
        <v>0</v>
      </c>
      <c r="M20">
        <f>IF(AND(INDEX(Data_metier!$F:$F,MATCH(M$1,Data_metier!$B:$B,0))="Non significatif",
    INDEX(Data_metier!$F:$F,MATCH($A20,Data_metier!$B:$B,0))="Significatif"),
DE_niv_form!M20+0.5,
DE_niv_form!M20)</f>
        <v>-1</v>
      </c>
      <c r="N20">
        <f>IF(AND(INDEX(Data_metier!$F:$F,MATCH(N$1,Data_metier!$B:$B,0))="Non significatif",
    INDEX(Data_metier!$F:$F,MATCH($A20,Data_metier!$B:$B,0))="Significatif"),
DE_niv_form!N20+0.5,
DE_niv_form!N20)</f>
        <v>-1</v>
      </c>
      <c r="O20">
        <f>IF(AND(INDEX(Data_metier!$F:$F,MATCH(O$1,Data_metier!$B:$B,0))="Non significatif",
    INDEX(Data_metier!$F:$F,MATCH($A20,Data_metier!$B:$B,0))="Significatif"),
DE_niv_form!O20+0.5,
DE_niv_form!O20)</f>
        <v>0</v>
      </c>
      <c r="P20">
        <f>IF(AND(INDEX(Data_metier!$F:$F,MATCH(P$1,Data_metier!$B:$B,0))="Non significatif",
    INDEX(Data_metier!$F:$F,MATCH($A20,Data_metier!$B:$B,0))="Significatif"),
DE_niv_form!P20+0.5,
DE_niv_form!P20)</f>
        <v>0</v>
      </c>
      <c r="Q20">
        <f>IF(AND(INDEX(Data_metier!$F:$F,MATCH(Q$1,Data_metier!$B:$B,0))="Non significatif",
    INDEX(Data_metier!$F:$F,MATCH($A20,Data_metier!$B:$B,0))="Significatif"),
DE_niv_form!Q20+0.5,
DE_niv_form!Q20)</f>
        <v>-1</v>
      </c>
      <c r="R20">
        <f>IF(AND(INDEX(Data_metier!$F:$F,MATCH(R$1,Data_metier!$B:$B,0))="Non significatif",
    INDEX(Data_metier!$F:$F,MATCH($A20,Data_metier!$B:$B,0))="Significatif"),
DE_niv_form!R20+0.5,
DE_niv_form!R20)</f>
        <v>-1</v>
      </c>
      <c r="S20">
        <f>IF(AND(INDEX(Data_metier!$F:$F,MATCH(S$1,Data_metier!$B:$B,0))="Non significatif",
    INDEX(Data_metier!$F:$F,MATCH($A20,Data_metier!$B:$B,0))="Significatif"),
DE_niv_form!S20+0.5,
DE_niv_form!S20)</f>
        <v>0</v>
      </c>
      <c r="T20">
        <f>IF(AND(INDEX(Data_metier!$F:$F,MATCH(T$1,Data_metier!$B:$B,0))="Non significatif",
    INDEX(Data_metier!$F:$F,MATCH($A20,Data_metier!$B:$B,0))="Significatif"),
DE_niv_form!T20+0.5,
DE_niv_form!T20)</f>
        <v>0</v>
      </c>
      <c r="U20">
        <f>IF(AND(INDEX(Data_metier!$F:$F,MATCH(U$1,Data_metier!$B:$B,0))="Non significatif",
    INDEX(Data_metier!$F:$F,MATCH($A20,Data_metier!$B:$B,0))="Significatif"),
DE_niv_form!U20+0.5,
DE_niv_form!U20)</f>
        <v>0</v>
      </c>
      <c r="V20">
        <f>IF(AND(INDEX(Data_metier!$F:$F,MATCH(V$1,Data_metier!$B:$B,0))="Non significatif",
    INDEX(Data_metier!$F:$F,MATCH($A20,Data_metier!$B:$B,0))="Significatif"),
DE_niv_form!V20+0.5,
DE_niv_form!V20)</f>
        <v>-1</v>
      </c>
      <c r="W20">
        <f>IF(AND(INDEX(Data_metier!$F:$F,MATCH(W$1,Data_metier!$B:$B,0))="Non significatif",
    INDEX(Data_metier!$F:$F,MATCH($A20,Data_metier!$B:$B,0))="Significatif"),
DE_niv_form!W20+0.5,
DE_niv_form!W20)</f>
        <v>-1</v>
      </c>
      <c r="X20">
        <f>IF(AND(INDEX(Data_metier!$F:$F,MATCH(X$1,Data_metier!$B:$B,0))="Non significatif",
    INDEX(Data_metier!$F:$F,MATCH($A20,Data_metier!$B:$B,0))="Significatif"),
DE_niv_form!X20+0.5,
DE_niv_form!X20)</f>
        <v>-1</v>
      </c>
      <c r="Y20">
        <f>IF(AND(INDEX(Data_metier!$F:$F,MATCH(Y$1,Data_metier!$B:$B,0))="Non significatif",
    INDEX(Data_metier!$F:$F,MATCH($A20,Data_metier!$B:$B,0))="Significatif"),
DE_niv_form!Y20+0.5,
DE_niv_form!Y20)</f>
        <v>0</v>
      </c>
      <c r="Z20">
        <f>IF(AND(INDEX(Data_metier!$F:$F,MATCH(Z$1,Data_metier!$B:$B,0))="Non significatif",
    INDEX(Data_metier!$F:$F,MATCH($A20,Data_metier!$B:$B,0))="Significatif"),
DE_niv_form!Z20+0.5,
DE_niv_form!Z20)</f>
        <v>0</v>
      </c>
      <c r="AA20">
        <f>IF(AND(INDEX(Data_metier!$F:$F,MATCH(AA$1,Data_metier!$B:$B,0))="Non significatif",
    INDEX(Data_metier!$F:$F,MATCH($A20,Data_metier!$B:$B,0))="Significatif"),
DE_niv_form!AA20+0.5,
DE_niv_form!AA20)</f>
        <v>0</v>
      </c>
      <c r="AB20">
        <f>IF(AND(INDEX(Data_metier!$F:$F,MATCH(AB$1,Data_metier!$B:$B,0))="Non significatif",
    INDEX(Data_metier!$F:$F,MATCH($A20,Data_metier!$B:$B,0))="Significatif"),
DE_niv_form!AB20+0.5,
DE_niv_form!AB20)</f>
        <v>-1</v>
      </c>
      <c r="AC20">
        <f>IF(AND(INDEX(Data_metier!$F:$F,MATCH(AC$1,Data_metier!$B:$B,0))="Non significatif",
    INDEX(Data_metier!$F:$F,MATCH($A20,Data_metier!$B:$B,0))="Significatif"),
DE_niv_form!AC20+0.5,
DE_niv_form!AC20)</f>
        <v>-1</v>
      </c>
      <c r="AD20">
        <f>IF(AND(INDEX(Data_metier!$F:$F,MATCH(AD$1,Data_metier!$B:$B,0))="Non significatif",
    INDEX(Data_metier!$F:$F,MATCH($A20,Data_metier!$B:$B,0))="Significatif"),
DE_niv_form!AD20+0.5,
DE_niv_form!AD20)</f>
        <v>-1</v>
      </c>
    </row>
    <row r="21" spans="1:30">
      <c r="A21" t="str">
        <v>Boulanger(ère)/pâtissier(ère) industriel(le)</v>
      </c>
      <c r="B21">
        <f>IF(AND(INDEX(Data_metier!$F:$F,MATCH(B$1,Data_metier!$B:$B,0))="Non significatif",
    INDEX(Data_metier!$F:$F,MATCH($A21,Data_metier!$B:$B,0))="Significatif"),
DE_niv_form!B21+0.5,
DE_niv_form!B21)</f>
        <v>-1</v>
      </c>
      <c r="C21">
        <f>IF(AND(INDEX(Data_metier!$F:$F,MATCH(C$1,Data_metier!$B:$B,0))="Non significatif",
    INDEX(Data_metier!$F:$F,MATCH($A21,Data_metier!$B:$B,0))="Significatif"),
DE_niv_form!C21+0.5,
DE_niv_form!C21)</f>
        <v>-1</v>
      </c>
      <c r="D21">
        <f>IF(AND(INDEX(Data_metier!$F:$F,MATCH(D$1,Data_metier!$B:$B,0))="Non significatif",
    INDEX(Data_metier!$F:$F,MATCH($A21,Data_metier!$B:$B,0))="Significatif"),
DE_niv_form!D21+0.5,
DE_niv_form!D21)</f>
        <v>0</v>
      </c>
      <c r="E21">
        <f>IF(AND(INDEX(Data_metier!$F:$F,MATCH(E$1,Data_metier!$B:$B,0))="Non significatif",
    INDEX(Data_metier!$F:$F,MATCH($A21,Data_metier!$B:$B,0))="Significatif"),
DE_niv_form!E21+0.5,
DE_niv_form!E21)</f>
        <v>-1</v>
      </c>
      <c r="F21">
        <f>IF(AND(INDEX(Data_metier!$F:$F,MATCH(F$1,Data_metier!$B:$B,0))="Non significatif",
    INDEX(Data_metier!$F:$F,MATCH($A21,Data_metier!$B:$B,0))="Significatif"),
DE_niv_form!F21+0.5,
DE_niv_form!F21)</f>
        <v>-1</v>
      </c>
      <c r="G21">
        <f>IF(AND(INDEX(Data_metier!$F:$F,MATCH(G$1,Data_metier!$B:$B,0))="Non significatif",
    INDEX(Data_metier!$F:$F,MATCH($A21,Data_metier!$B:$B,0))="Significatif"),
DE_niv_form!G21+0.5,
DE_niv_form!G21)</f>
        <v>-1</v>
      </c>
      <c r="H21">
        <f>IF(AND(INDEX(Data_metier!$F:$F,MATCH(H$1,Data_metier!$B:$B,0))="Non significatif",
    INDEX(Data_metier!$F:$F,MATCH($A21,Data_metier!$B:$B,0))="Significatif"),
DE_niv_form!H21+0.5,
DE_niv_form!H21)</f>
        <v>-1</v>
      </c>
      <c r="I21">
        <f>IF(AND(INDEX(Data_metier!$F:$F,MATCH(I$1,Data_metier!$B:$B,0))="Non significatif",
    INDEX(Data_metier!$F:$F,MATCH($A21,Data_metier!$B:$B,0))="Significatif"),
DE_niv_form!I21+0.5,
DE_niv_form!I21)</f>
        <v>0</v>
      </c>
      <c r="J21">
        <f>IF(AND(INDEX(Data_metier!$F:$F,MATCH(J$1,Data_metier!$B:$B,0))="Non significatif",
    INDEX(Data_metier!$F:$F,MATCH($A21,Data_metier!$B:$B,0))="Significatif"),
DE_niv_form!J21+0.5,
DE_niv_form!J21)</f>
        <v>-1</v>
      </c>
      <c r="K21">
        <f>IF(AND(INDEX(Data_metier!$F:$F,MATCH(K$1,Data_metier!$B:$B,0))="Non significatif",
    INDEX(Data_metier!$F:$F,MATCH($A21,Data_metier!$B:$B,0))="Significatif"),
DE_niv_form!K21+0.5,
DE_niv_form!K21)</f>
        <v>-1</v>
      </c>
      <c r="L21">
        <f>IF(AND(INDEX(Data_metier!$F:$F,MATCH(L$1,Data_metier!$B:$B,0))="Non significatif",
    INDEX(Data_metier!$F:$F,MATCH($A21,Data_metier!$B:$B,0))="Significatif"),
DE_niv_form!L21+0.5,
DE_niv_form!L21)</f>
        <v>0</v>
      </c>
      <c r="M21">
        <f>IF(AND(INDEX(Data_metier!$F:$F,MATCH(M$1,Data_metier!$B:$B,0))="Non significatif",
    INDEX(Data_metier!$F:$F,MATCH($A21,Data_metier!$B:$B,0))="Significatif"),
DE_niv_form!M21+0.5,
DE_niv_form!M21)</f>
        <v>-1</v>
      </c>
      <c r="N21">
        <f>IF(AND(INDEX(Data_metier!$F:$F,MATCH(N$1,Data_metier!$B:$B,0))="Non significatif",
    INDEX(Data_metier!$F:$F,MATCH($A21,Data_metier!$B:$B,0))="Significatif"),
DE_niv_form!N21+0.5,
DE_niv_form!N21)</f>
        <v>-1</v>
      </c>
      <c r="O21">
        <f>IF(AND(INDEX(Data_metier!$F:$F,MATCH(O$1,Data_metier!$B:$B,0))="Non significatif",
    INDEX(Data_metier!$F:$F,MATCH($A21,Data_metier!$B:$B,0))="Significatif"),
DE_niv_form!O21+0.5,
DE_niv_form!O21)</f>
        <v>0</v>
      </c>
      <c r="P21">
        <f>IF(AND(INDEX(Data_metier!$F:$F,MATCH(P$1,Data_metier!$B:$B,0))="Non significatif",
    INDEX(Data_metier!$F:$F,MATCH($A21,Data_metier!$B:$B,0))="Significatif"),
DE_niv_form!P21+0.5,
DE_niv_form!P21)</f>
        <v>0</v>
      </c>
      <c r="Q21">
        <f>IF(AND(INDEX(Data_metier!$F:$F,MATCH(Q$1,Data_metier!$B:$B,0))="Non significatif",
    INDEX(Data_metier!$F:$F,MATCH($A21,Data_metier!$B:$B,0))="Significatif"),
DE_niv_form!Q21+0.5,
DE_niv_form!Q21)</f>
        <v>-1</v>
      </c>
      <c r="R21">
        <f>IF(AND(INDEX(Data_metier!$F:$F,MATCH(R$1,Data_metier!$B:$B,0))="Non significatif",
    INDEX(Data_metier!$F:$F,MATCH($A21,Data_metier!$B:$B,0))="Significatif"),
DE_niv_form!R21+0.5,
DE_niv_form!R21)</f>
        <v>-1</v>
      </c>
      <c r="S21">
        <f>IF(AND(INDEX(Data_metier!$F:$F,MATCH(S$1,Data_metier!$B:$B,0))="Non significatif",
    INDEX(Data_metier!$F:$F,MATCH($A21,Data_metier!$B:$B,0))="Significatif"),
DE_niv_form!S21+0.5,
DE_niv_form!S21)</f>
        <v>0</v>
      </c>
      <c r="T21">
        <f>IF(AND(INDEX(Data_metier!$F:$F,MATCH(T$1,Data_metier!$B:$B,0))="Non significatif",
    INDEX(Data_metier!$F:$F,MATCH($A21,Data_metier!$B:$B,0))="Significatif"),
DE_niv_form!T21+0.5,
DE_niv_form!T21)</f>
        <v>0</v>
      </c>
      <c r="U21">
        <f>IF(AND(INDEX(Data_metier!$F:$F,MATCH(U$1,Data_metier!$B:$B,0))="Non significatif",
    INDEX(Data_metier!$F:$F,MATCH($A21,Data_metier!$B:$B,0))="Significatif"),
DE_niv_form!U21+0.5,
DE_niv_form!U21)</f>
        <v>0</v>
      </c>
      <c r="V21">
        <f>IF(AND(INDEX(Data_metier!$F:$F,MATCH(V$1,Data_metier!$B:$B,0))="Non significatif",
    INDEX(Data_metier!$F:$F,MATCH($A21,Data_metier!$B:$B,0))="Significatif"),
DE_niv_form!V21+0.5,
DE_niv_form!V21)</f>
        <v>-1</v>
      </c>
      <c r="W21">
        <f>IF(AND(INDEX(Data_metier!$F:$F,MATCH(W$1,Data_metier!$B:$B,0))="Non significatif",
    INDEX(Data_metier!$F:$F,MATCH($A21,Data_metier!$B:$B,0))="Significatif"),
DE_niv_form!W21+0.5,
DE_niv_form!W21)</f>
        <v>-1</v>
      </c>
      <c r="X21">
        <f>IF(AND(INDEX(Data_metier!$F:$F,MATCH(X$1,Data_metier!$B:$B,0))="Non significatif",
    INDEX(Data_metier!$F:$F,MATCH($A21,Data_metier!$B:$B,0))="Significatif"),
DE_niv_form!X21+0.5,
DE_niv_form!X21)</f>
        <v>-1</v>
      </c>
      <c r="Y21">
        <f>IF(AND(INDEX(Data_metier!$F:$F,MATCH(Y$1,Data_metier!$B:$B,0))="Non significatif",
    INDEX(Data_metier!$F:$F,MATCH($A21,Data_metier!$B:$B,0))="Significatif"),
DE_niv_form!Y21+0.5,
DE_niv_form!Y21)</f>
        <v>0</v>
      </c>
      <c r="Z21">
        <f>IF(AND(INDEX(Data_metier!$F:$F,MATCH(Z$1,Data_metier!$B:$B,0))="Non significatif",
    INDEX(Data_metier!$F:$F,MATCH($A21,Data_metier!$B:$B,0))="Significatif"),
DE_niv_form!Z21+0.5,
DE_niv_form!Z21)</f>
        <v>0</v>
      </c>
      <c r="AA21">
        <f>IF(AND(INDEX(Data_metier!$F:$F,MATCH(AA$1,Data_metier!$B:$B,0))="Non significatif",
    INDEX(Data_metier!$F:$F,MATCH($A21,Data_metier!$B:$B,0))="Significatif"),
DE_niv_form!AA21+0.5,
DE_niv_form!AA21)</f>
        <v>0</v>
      </c>
      <c r="AB21">
        <f>IF(AND(INDEX(Data_metier!$F:$F,MATCH(AB$1,Data_metier!$B:$B,0))="Non significatif",
    INDEX(Data_metier!$F:$F,MATCH($A21,Data_metier!$B:$B,0))="Significatif"),
DE_niv_form!AB21+0.5,
DE_niv_form!AB21)</f>
        <v>-1</v>
      </c>
      <c r="AC21">
        <f>IF(AND(INDEX(Data_metier!$F:$F,MATCH(AC$1,Data_metier!$B:$B,0))="Non significatif",
    INDEX(Data_metier!$F:$F,MATCH($A21,Data_metier!$B:$B,0))="Significatif"),
DE_niv_form!AC21+0.5,
DE_niv_form!AC21)</f>
        <v>-1</v>
      </c>
      <c r="AD21">
        <f>IF(AND(INDEX(Data_metier!$F:$F,MATCH(AD$1,Data_metier!$B:$B,0))="Non significatif",
    INDEX(Data_metier!$F:$F,MATCH($A21,Data_metier!$B:$B,0))="Significatif"),
DE_niv_form!AD21+0.5,
DE_niv_form!AD21)</f>
        <v>-1</v>
      </c>
    </row>
    <row r="22" spans="1:30">
      <c r="A22" t="str">
        <v>Conducteur(trice) de ligne(s)de production alimentaire (fabrication/conditionnement)</v>
      </c>
      <c r="B22">
        <f>IF(AND(INDEX(Data_metier!$F:$F,MATCH(B$1,Data_metier!$B:$B,0))="Non significatif",
    INDEX(Data_metier!$F:$F,MATCH($A22,Data_metier!$B:$B,0))="Significatif"),
DE_niv_form!B22+0.5,
DE_niv_form!B22)</f>
        <v>0</v>
      </c>
      <c r="C22">
        <f>IF(AND(INDEX(Data_metier!$F:$F,MATCH(C$1,Data_metier!$B:$B,0))="Non significatif",
    INDEX(Data_metier!$F:$F,MATCH($A22,Data_metier!$B:$B,0))="Significatif"),
DE_niv_form!C22+0.5,
DE_niv_form!C22)</f>
        <v>0</v>
      </c>
      <c r="D22">
        <f>IF(AND(INDEX(Data_metier!$F:$F,MATCH(D$1,Data_metier!$B:$B,0))="Non significatif",
    INDEX(Data_metier!$F:$F,MATCH($A22,Data_metier!$B:$B,0))="Significatif"),
DE_niv_form!D22+0.5,
DE_niv_form!D22)</f>
        <v>1</v>
      </c>
      <c r="E22">
        <f>IF(AND(INDEX(Data_metier!$F:$F,MATCH(E$1,Data_metier!$B:$B,0))="Non significatif",
    INDEX(Data_metier!$F:$F,MATCH($A22,Data_metier!$B:$B,0))="Significatif"),
DE_niv_form!E22+0.5,
DE_niv_form!E22)</f>
        <v>-1</v>
      </c>
      <c r="F22">
        <f>IF(AND(INDEX(Data_metier!$F:$F,MATCH(F$1,Data_metier!$B:$B,0))="Non significatif",
    INDEX(Data_metier!$F:$F,MATCH($A22,Data_metier!$B:$B,0))="Significatif"),
DE_niv_form!F22+0.5,
DE_niv_form!F22)</f>
        <v>-1</v>
      </c>
      <c r="G22">
        <f>IF(AND(INDEX(Data_metier!$F:$F,MATCH(G$1,Data_metier!$B:$B,0))="Non significatif",
    INDEX(Data_metier!$F:$F,MATCH($A22,Data_metier!$B:$B,0))="Significatif"),
DE_niv_form!G22+0.5,
DE_niv_form!G22)</f>
        <v>-1</v>
      </c>
      <c r="H22">
        <f>IF(AND(INDEX(Data_metier!$F:$F,MATCH(H$1,Data_metier!$B:$B,0))="Non significatif",
    INDEX(Data_metier!$F:$F,MATCH($A22,Data_metier!$B:$B,0))="Significatif"),
DE_niv_form!H22+0.5,
DE_niv_form!H22)</f>
        <v>-1</v>
      </c>
      <c r="I22">
        <f>IF(AND(INDEX(Data_metier!$F:$F,MATCH(I$1,Data_metier!$B:$B,0))="Non significatif",
    INDEX(Data_metier!$F:$F,MATCH($A22,Data_metier!$B:$B,0))="Significatif"),
DE_niv_form!I22+0.5,
DE_niv_form!I22)</f>
        <v>1</v>
      </c>
      <c r="J22">
        <f>IF(AND(INDEX(Data_metier!$F:$F,MATCH(J$1,Data_metier!$B:$B,0))="Non significatif",
    INDEX(Data_metier!$F:$F,MATCH($A22,Data_metier!$B:$B,0))="Significatif"),
DE_niv_form!J22+0.5,
DE_niv_form!J22)</f>
        <v>-1</v>
      </c>
      <c r="K22">
        <f>IF(AND(INDEX(Data_metier!$F:$F,MATCH(K$1,Data_metier!$B:$B,0))="Non significatif",
    INDEX(Data_metier!$F:$F,MATCH($A22,Data_metier!$B:$B,0))="Significatif"),
DE_niv_form!K22+0.5,
DE_niv_form!K22)</f>
        <v>-1</v>
      </c>
      <c r="L22">
        <f>IF(AND(INDEX(Data_metier!$F:$F,MATCH(L$1,Data_metier!$B:$B,0))="Non significatif",
    INDEX(Data_metier!$F:$F,MATCH($A22,Data_metier!$B:$B,0))="Significatif"),
DE_niv_form!L22+0.5,
DE_niv_form!L22)</f>
        <v>1</v>
      </c>
      <c r="M22">
        <f>IF(AND(INDEX(Data_metier!$F:$F,MATCH(M$1,Data_metier!$B:$B,0))="Non significatif",
    INDEX(Data_metier!$F:$F,MATCH($A22,Data_metier!$B:$B,0))="Significatif"),
DE_niv_form!M22+0.5,
DE_niv_form!M22)</f>
        <v>0</v>
      </c>
      <c r="N22">
        <f>IF(AND(INDEX(Data_metier!$F:$F,MATCH(N$1,Data_metier!$B:$B,0))="Non significatif",
    INDEX(Data_metier!$F:$F,MATCH($A22,Data_metier!$B:$B,0))="Significatif"),
DE_niv_form!N22+0.5,
DE_niv_form!N22)</f>
        <v>-1</v>
      </c>
      <c r="O22">
        <f>IF(AND(INDEX(Data_metier!$F:$F,MATCH(O$1,Data_metier!$B:$B,0))="Non significatif",
    INDEX(Data_metier!$F:$F,MATCH($A22,Data_metier!$B:$B,0))="Significatif"),
DE_niv_form!O22+0.5,
DE_niv_form!O22)</f>
        <v>1</v>
      </c>
      <c r="P22">
        <f>IF(AND(INDEX(Data_metier!$F:$F,MATCH(P$1,Data_metier!$B:$B,0))="Non significatif",
    INDEX(Data_metier!$F:$F,MATCH($A22,Data_metier!$B:$B,0))="Significatif"),
DE_niv_form!P22+0.5,
DE_niv_form!P22)</f>
        <v>1</v>
      </c>
      <c r="Q22">
        <f>IF(AND(INDEX(Data_metier!$F:$F,MATCH(Q$1,Data_metier!$B:$B,0))="Non significatif",
    INDEX(Data_metier!$F:$F,MATCH($A22,Data_metier!$B:$B,0))="Significatif"),
DE_niv_form!Q22+0.5,
DE_niv_form!Q22)</f>
        <v>-1</v>
      </c>
      <c r="R22">
        <f>IF(AND(INDEX(Data_metier!$F:$F,MATCH(R$1,Data_metier!$B:$B,0))="Non significatif",
    INDEX(Data_metier!$F:$F,MATCH($A22,Data_metier!$B:$B,0))="Significatif"),
DE_niv_form!R22+0.5,
DE_niv_form!R22)</f>
        <v>-1</v>
      </c>
      <c r="S22">
        <f>IF(AND(INDEX(Data_metier!$F:$F,MATCH(S$1,Data_metier!$B:$B,0))="Non significatif",
    INDEX(Data_metier!$F:$F,MATCH($A22,Data_metier!$B:$B,0))="Significatif"),
DE_niv_form!S22+0.5,
DE_niv_form!S22)</f>
        <v>1</v>
      </c>
      <c r="T22">
        <f>IF(AND(INDEX(Data_metier!$F:$F,MATCH(T$1,Data_metier!$B:$B,0))="Non significatif",
    INDEX(Data_metier!$F:$F,MATCH($A22,Data_metier!$B:$B,0))="Significatif"),
DE_niv_form!T22+0.5,
DE_niv_form!T22)</f>
        <v>1</v>
      </c>
      <c r="U22">
        <f>IF(AND(INDEX(Data_metier!$F:$F,MATCH(U$1,Data_metier!$B:$B,0))="Non significatif",
    INDEX(Data_metier!$F:$F,MATCH($A22,Data_metier!$B:$B,0))="Significatif"),
DE_niv_form!U22+0.5,
DE_niv_form!U22)</f>
        <v>1</v>
      </c>
      <c r="V22">
        <f>IF(AND(INDEX(Data_metier!$F:$F,MATCH(V$1,Data_metier!$B:$B,0))="Non significatif",
    INDEX(Data_metier!$F:$F,MATCH($A22,Data_metier!$B:$B,0))="Significatif"),
DE_niv_form!V22+0.5,
DE_niv_form!V22)</f>
        <v>0</v>
      </c>
      <c r="W22">
        <f>IF(AND(INDEX(Data_metier!$F:$F,MATCH(W$1,Data_metier!$B:$B,0))="Non significatif",
    INDEX(Data_metier!$F:$F,MATCH($A22,Data_metier!$B:$B,0))="Significatif"),
DE_niv_form!W22+0.5,
DE_niv_form!W22)</f>
        <v>0</v>
      </c>
      <c r="X22">
        <f>IF(AND(INDEX(Data_metier!$F:$F,MATCH(X$1,Data_metier!$B:$B,0))="Non significatif",
    INDEX(Data_metier!$F:$F,MATCH($A22,Data_metier!$B:$B,0))="Significatif"),
DE_niv_form!X22+0.5,
DE_niv_form!X22)</f>
        <v>-1</v>
      </c>
      <c r="Y22">
        <f>IF(AND(INDEX(Data_metier!$F:$F,MATCH(Y$1,Data_metier!$B:$B,0))="Non significatif",
    INDEX(Data_metier!$F:$F,MATCH($A22,Data_metier!$B:$B,0))="Significatif"),
DE_niv_form!Y22+0.5,
DE_niv_form!Y22)</f>
        <v>1</v>
      </c>
      <c r="Z22">
        <f>IF(AND(INDEX(Data_metier!$F:$F,MATCH(Z$1,Data_metier!$B:$B,0))="Non significatif",
    INDEX(Data_metier!$F:$F,MATCH($A22,Data_metier!$B:$B,0))="Significatif"),
DE_niv_form!Z22+0.5,
DE_niv_form!Z22)</f>
        <v>1</v>
      </c>
      <c r="AA22">
        <f>IF(AND(INDEX(Data_metier!$F:$F,MATCH(AA$1,Data_metier!$B:$B,0))="Non significatif",
    INDEX(Data_metier!$F:$F,MATCH($A22,Data_metier!$B:$B,0))="Significatif"),
DE_niv_form!AA22+0.5,
DE_niv_form!AA22)</f>
        <v>1</v>
      </c>
      <c r="AB22">
        <f>IF(AND(INDEX(Data_metier!$F:$F,MATCH(AB$1,Data_metier!$B:$B,0))="Non significatif",
    INDEX(Data_metier!$F:$F,MATCH($A22,Data_metier!$B:$B,0))="Significatif"),
DE_niv_form!AB22+0.5,
DE_niv_form!AB22)</f>
        <v>0</v>
      </c>
      <c r="AC22">
        <f>IF(AND(INDEX(Data_metier!$F:$F,MATCH(AC$1,Data_metier!$B:$B,0))="Non significatif",
    INDEX(Data_metier!$F:$F,MATCH($A22,Data_metier!$B:$B,0))="Significatif"),
DE_niv_form!AC22+0.5,
DE_niv_form!AC22)</f>
        <v>0</v>
      </c>
      <c r="AD22">
        <f>IF(AND(INDEX(Data_metier!$F:$F,MATCH(AD$1,Data_metier!$B:$B,0))="Non significatif",
    INDEX(Data_metier!$F:$F,MATCH($A22,Data_metier!$B:$B,0))="Significatif"),
DE_niv_form!AD22+0.5,
DE_niv_form!AD22)</f>
        <v>-1</v>
      </c>
    </row>
    <row r="23" spans="1:30">
      <c r="A23" t="str">
        <v>Conducteur(trice) de process de production alimentaire</v>
      </c>
      <c r="B23">
        <f>IF(AND(INDEX(Data_metier!$F:$F,MATCH(B$1,Data_metier!$B:$B,0))="Non significatif",
    INDEX(Data_metier!$F:$F,MATCH($A23,Data_metier!$B:$B,0))="Significatif"),
DE_niv_form!B23+0.5,
DE_niv_form!B23)</f>
        <v>0.5</v>
      </c>
      <c r="C23">
        <f>IF(AND(INDEX(Data_metier!$F:$F,MATCH(C$1,Data_metier!$B:$B,0))="Non significatif",
    INDEX(Data_metier!$F:$F,MATCH($A23,Data_metier!$B:$B,0))="Significatif"),
DE_niv_form!C23+0.5,
DE_niv_form!C23)</f>
        <v>0.5</v>
      </c>
      <c r="D23">
        <f>IF(AND(INDEX(Data_metier!$F:$F,MATCH(D$1,Data_metier!$B:$B,0))="Non significatif",
    INDEX(Data_metier!$F:$F,MATCH($A23,Data_metier!$B:$B,0))="Significatif"),
DE_niv_form!D23+0.5,
DE_niv_form!D23)</f>
        <v>1.5</v>
      </c>
      <c r="E23">
        <f>IF(AND(INDEX(Data_metier!$F:$F,MATCH(E$1,Data_metier!$B:$B,0))="Non significatif",
    INDEX(Data_metier!$F:$F,MATCH($A23,Data_metier!$B:$B,0))="Significatif"),
DE_niv_form!E23+0.5,
DE_niv_form!E23)</f>
        <v>-1</v>
      </c>
      <c r="F23">
        <f>IF(AND(INDEX(Data_metier!$F:$F,MATCH(F$1,Data_metier!$B:$B,0))="Non significatif",
    INDEX(Data_metier!$F:$F,MATCH($A23,Data_metier!$B:$B,0))="Significatif"),
DE_niv_form!F23+0.5,
DE_niv_form!F23)</f>
        <v>-0.5</v>
      </c>
      <c r="G23">
        <f>IF(AND(INDEX(Data_metier!$F:$F,MATCH(G$1,Data_metier!$B:$B,0))="Non significatif",
    INDEX(Data_metier!$F:$F,MATCH($A23,Data_metier!$B:$B,0))="Significatif"),
DE_niv_form!G23+0.5,
DE_niv_form!G23)</f>
        <v>-1</v>
      </c>
      <c r="H23">
        <f>IF(AND(INDEX(Data_metier!$F:$F,MATCH(H$1,Data_metier!$B:$B,0))="Non significatif",
    INDEX(Data_metier!$F:$F,MATCH($A23,Data_metier!$B:$B,0))="Significatif"),
DE_niv_form!H23+0.5,
DE_niv_form!H23)</f>
        <v>-1</v>
      </c>
      <c r="I23">
        <f>IF(AND(INDEX(Data_metier!$F:$F,MATCH(I$1,Data_metier!$B:$B,0))="Non significatif",
    INDEX(Data_metier!$F:$F,MATCH($A23,Data_metier!$B:$B,0))="Significatif"),
DE_niv_form!I23+0.5,
DE_niv_form!I23)</f>
        <v>1.5</v>
      </c>
      <c r="J23">
        <f>IF(AND(INDEX(Data_metier!$F:$F,MATCH(J$1,Data_metier!$B:$B,0))="Non significatif",
    INDEX(Data_metier!$F:$F,MATCH($A23,Data_metier!$B:$B,0))="Significatif"),
DE_niv_form!J23+0.5,
DE_niv_form!J23)</f>
        <v>-0.5</v>
      </c>
      <c r="K23">
        <f>IF(AND(INDEX(Data_metier!$F:$F,MATCH(K$1,Data_metier!$B:$B,0))="Non significatif",
    INDEX(Data_metier!$F:$F,MATCH($A23,Data_metier!$B:$B,0))="Significatif"),
DE_niv_form!K23+0.5,
DE_niv_form!K23)</f>
        <v>-1</v>
      </c>
      <c r="L23">
        <f>IF(AND(INDEX(Data_metier!$F:$F,MATCH(L$1,Data_metier!$B:$B,0))="Non significatif",
    INDEX(Data_metier!$F:$F,MATCH($A23,Data_metier!$B:$B,0))="Significatif"),
DE_niv_form!L23+0.5,
DE_niv_form!L23)</f>
        <v>1.5</v>
      </c>
      <c r="M23">
        <f>IF(AND(INDEX(Data_metier!$F:$F,MATCH(M$1,Data_metier!$B:$B,0))="Non significatif",
    INDEX(Data_metier!$F:$F,MATCH($A23,Data_metier!$B:$B,0))="Significatif"),
DE_niv_form!M23+0.5,
DE_niv_form!M23)</f>
        <v>0.5</v>
      </c>
      <c r="N23">
        <f>IF(AND(INDEX(Data_metier!$F:$F,MATCH(N$1,Data_metier!$B:$B,0))="Non significatif",
    INDEX(Data_metier!$F:$F,MATCH($A23,Data_metier!$B:$B,0))="Significatif"),
DE_niv_form!N23+0.5,
DE_niv_form!N23)</f>
        <v>-1</v>
      </c>
      <c r="O23">
        <f>IF(AND(INDEX(Data_metier!$F:$F,MATCH(O$1,Data_metier!$B:$B,0))="Non significatif",
    INDEX(Data_metier!$F:$F,MATCH($A23,Data_metier!$B:$B,0))="Significatif"),
DE_niv_form!O23+0.5,
DE_niv_form!O23)</f>
        <v>1.5</v>
      </c>
      <c r="P23">
        <f>IF(AND(INDEX(Data_metier!$F:$F,MATCH(P$1,Data_metier!$B:$B,0))="Non significatif",
    INDEX(Data_metier!$F:$F,MATCH($A23,Data_metier!$B:$B,0))="Significatif"),
DE_niv_form!P23+0.5,
DE_niv_form!P23)</f>
        <v>1.5</v>
      </c>
      <c r="Q23">
        <f>IF(AND(INDEX(Data_metier!$F:$F,MATCH(Q$1,Data_metier!$B:$B,0))="Non significatif",
    INDEX(Data_metier!$F:$F,MATCH($A23,Data_metier!$B:$B,0))="Significatif"),
DE_niv_form!Q23+0.5,
DE_niv_form!Q23)</f>
        <v>-1</v>
      </c>
      <c r="R23">
        <f>IF(AND(INDEX(Data_metier!$F:$F,MATCH(R$1,Data_metier!$B:$B,0))="Non significatif",
    INDEX(Data_metier!$F:$F,MATCH($A23,Data_metier!$B:$B,0))="Significatif"),
DE_niv_form!R23+0.5,
DE_niv_form!R23)</f>
        <v>-1</v>
      </c>
      <c r="S23">
        <f>IF(AND(INDEX(Data_metier!$F:$F,MATCH(S$1,Data_metier!$B:$B,0))="Non significatif",
    INDEX(Data_metier!$F:$F,MATCH($A23,Data_metier!$B:$B,0))="Significatif"),
DE_niv_form!S23+0.5,
DE_niv_form!S23)</f>
        <v>1.5</v>
      </c>
      <c r="T23">
        <f>IF(AND(INDEX(Data_metier!$F:$F,MATCH(T$1,Data_metier!$B:$B,0))="Non significatif",
    INDEX(Data_metier!$F:$F,MATCH($A23,Data_metier!$B:$B,0))="Significatif"),
DE_niv_form!T23+0.5,
DE_niv_form!T23)</f>
        <v>1.5</v>
      </c>
      <c r="U23">
        <f>IF(AND(INDEX(Data_metier!$F:$F,MATCH(U$1,Data_metier!$B:$B,0))="Non significatif",
    INDEX(Data_metier!$F:$F,MATCH($A23,Data_metier!$B:$B,0))="Significatif"),
DE_niv_form!U23+0.5,
DE_niv_form!U23)</f>
        <v>1.5</v>
      </c>
      <c r="V23">
        <f>IF(AND(INDEX(Data_metier!$F:$F,MATCH(V$1,Data_metier!$B:$B,0))="Non significatif",
    INDEX(Data_metier!$F:$F,MATCH($A23,Data_metier!$B:$B,0))="Significatif"),
DE_niv_form!V23+0.5,
DE_niv_form!V23)</f>
        <v>0.5</v>
      </c>
      <c r="W23">
        <f>IF(AND(INDEX(Data_metier!$F:$F,MATCH(W$1,Data_metier!$B:$B,0))="Non significatif",
    INDEX(Data_metier!$F:$F,MATCH($A23,Data_metier!$B:$B,0))="Significatif"),
DE_niv_form!W23+0.5,
DE_niv_form!W23)</f>
        <v>0</v>
      </c>
      <c r="X23">
        <f>IF(AND(INDEX(Data_metier!$F:$F,MATCH(X$1,Data_metier!$B:$B,0))="Non significatif",
    INDEX(Data_metier!$F:$F,MATCH($A23,Data_metier!$B:$B,0))="Significatif"),
DE_niv_form!X23+0.5,
DE_niv_form!X23)</f>
        <v>-1</v>
      </c>
      <c r="Y23">
        <f>IF(AND(INDEX(Data_metier!$F:$F,MATCH(Y$1,Data_metier!$B:$B,0))="Non significatif",
    INDEX(Data_metier!$F:$F,MATCH($A23,Data_metier!$B:$B,0))="Significatif"),
DE_niv_form!Y23+0.5,
DE_niv_form!Y23)</f>
        <v>1.5</v>
      </c>
      <c r="Z23">
        <f>IF(AND(INDEX(Data_metier!$F:$F,MATCH(Z$1,Data_metier!$B:$B,0))="Non significatif",
    INDEX(Data_metier!$F:$F,MATCH($A23,Data_metier!$B:$B,0))="Significatif"),
DE_niv_form!Z23+0.5,
DE_niv_form!Z23)</f>
        <v>1.5</v>
      </c>
      <c r="AA23">
        <f>IF(AND(INDEX(Data_metier!$F:$F,MATCH(AA$1,Data_metier!$B:$B,0))="Non significatif",
    INDEX(Data_metier!$F:$F,MATCH($A23,Data_metier!$B:$B,0))="Significatif"),
DE_niv_form!AA23+0.5,
DE_niv_form!AA23)</f>
        <v>1.5</v>
      </c>
      <c r="AB23">
        <f>IF(AND(INDEX(Data_metier!$F:$F,MATCH(AB$1,Data_metier!$B:$B,0))="Non significatif",
    INDEX(Data_metier!$F:$F,MATCH($A23,Data_metier!$B:$B,0))="Significatif"),
DE_niv_form!AB23+0.5,
DE_niv_form!AB23)</f>
        <v>0.5</v>
      </c>
      <c r="AC23">
        <f>IF(AND(INDEX(Data_metier!$F:$F,MATCH(AC$1,Data_metier!$B:$B,0))="Non significatif",
    INDEX(Data_metier!$F:$F,MATCH($A23,Data_metier!$B:$B,0))="Significatif"),
DE_niv_form!AC23+0.5,
DE_niv_form!AC23)</f>
        <v>0.5</v>
      </c>
      <c r="AD23">
        <f>IF(AND(INDEX(Data_metier!$F:$F,MATCH(AD$1,Data_metier!$B:$B,0))="Non significatif",
    INDEX(Data_metier!$F:$F,MATCH($A23,Data_metier!$B:$B,0))="Significatif"),
DE_niv_form!AD23+0.5,
DE_niv_form!AD23)</f>
        <v>-0.5</v>
      </c>
    </row>
    <row r="24" spans="1:30">
      <c r="A24" t="str">
        <v>Responsable de plateforme/ d’exploitation logistique</v>
      </c>
      <c r="B24">
        <f>IF(AND(INDEX(Data_metier!$F:$F,MATCH(B$1,Data_metier!$B:$B,0))="Non significatif",
    INDEX(Data_metier!$F:$F,MATCH($A24,Data_metier!$B:$B,0))="Significatif"),
DE_niv_form!B24+0.5,
DE_niv_form!B24)</f>
        <v>2.5</v>
      </c>
      <c r="C24">
        <f>IF(AND(INDEX(Data_metier!$F:$F,MATCH(C$1,Data_metier!$B:$B,0))="Non significatif",
    INDEX(Data_metier!$F:$F,MATCH($A24,Data_metier!$B:$B,0))="Significatif"),
DE_niv_form!C24+0.5,
DE_niv_form!C24)</f>
        <v>2.5</v>
      </c>
      <c r="D24">
        <f>IF(AND(INDEX(Data_metier!$F:$F,MATCH(D$1,Data_metier!$B:$B,0))="Non significatif",
    INDEX(Data_metier!$F:$F,MATCH($A24,Data_metier!$B:$B,0))="Significatif"),
DE_niv_form!D24+0.5,
DE_niv_form!D24)</f>
        <v>2.5</v>
      </c>
      <c r="E24">
        <f>IF(AND(INDEX(Data_metier!$F:$F,MATCH(E$1,Data_metier!$B:$B,0))="Non significatif",
    INDEX(Data_metier!$F:$F,MATCH($A24,Data_metier!$B:$B,0))="Significatif"),
DE_niv_form!E24+0.5,
DE_niv_form!E24)</f>
        <v>1</v>
      </c>
      <c r="F24">
        <f>IF(AND(INDEX(Data_metier!$F:$F,MATCH(F$1,Data_metier!$B:$B,0))="Non significatif",
    INDEX(Data_metier!$F:$F,MATCH($A24,Data_metier!$B:$B,0))="Significatif"),
DE_niv_form!F24+0.5,
DE_niv_form!F24)</f>
        <v>0.5</v>
      </c>
      <c r="G24">
        <f>IF(AND(INDEX(Data_metier!$F:$F,MATCH(G$1,Data_metier!$B:$B,0))="Non significatif",
    INDEX(Data_metier!$F:$F,MATCH($A24,Data_metier!$B:$B,0))="Significatif"),
DE_niv_form!G24+0.5,
DE_niv_form!G24)</f>
        <v>0</v>
      </c>
      <c r="H24">
        <f>IF(AND(INDEX(Data_metier!$F:$F,MATCH(H$1,Data_metier!$B:$B,0))="Non significatif",
    INDEX(Data_metier!$F:$F,MATCH($A24,Data_metier!$B:$B,0))="Significatif"),
DE_niv_form!H24+0.5,
DE_niv_form!H24)</f>
        <v>0</v>
      </c>
      <c r="I24">
        <f>IF(AND(INDEX(Data_metier!$F:$F,MATCH(I$1,Data_metier!$B:$B,0))="Non significatif",
    INDEX(Data_metier!$F:$F,MATCH($A24,Data_metier!$B:$B,0))="Significatif"),
DE_niv_form!I24+0.5,
DE_niv_form!I24)</f>
        <v>2.5</v>
      </c>
      <c r="J24">
        <f>IF(AND(INDEX(Data_metier!$F:$F,MATCH(J$1,Data_metier!$B:$B,0))="Non significatif",
    INDEX(Data_metier!$F:$F,MATCH($A24,Data_metier!$B:$B,0))="Significatif"),
DE_niv_form!J24+0.5,
DE_niv_form!J24)</f>
        <v>1.5</v>
      </c>
      <c r="K24">
        <f>IF(AND(INDEX(Data_metier!$F:$F,MATCH(K$1,Data_metier!$B:$B,0))="Non significatif",
    INDEX(Data_metier!$F:$F,MATCH($A24,Data_metier!$B:$B,0))="Significatif"),
DE_niv_form!K24+0.5,
DE_niv_form!K24)</f>
        <v>-1</v>
      </c>
      <c r="L24">
        <f>IF(AND(INDEX(Data_metier!$F:$F,MATCH(L$1,Data_metier!$B:$B,0))="Non significatif",
    INDEX(Data_metier!$F:$F,MATCH($A24,Data_metier!$B:$B,0))="Significatif"),
DE_niv_form!L24+0.5,
DE_niv_form!L24)</f>
        <v>2.5</v>
      </c>
      <c r="M24">
        <f>IF(AND(INDEX(Data_metier!$F:$F,MATCH(M$1,Data_metier!$B:$B,0))="Non significatif",
    INDEX(Data_metier!$F:$F,MATCH($A24,Data_metier!$B:$B,0))="Significatif"),
DE_niv_form!M24+0.5,
DE_niv_form!M24)</f>
        <v>2.5</v>
      </c>
      <c r="N24">
        <f>IF(AND(INDEX(Data_metier!$F:$F,MATCH(N$1,Data_metier!$B:$B,0))="Non significatif",
    INDEX(Data_metier!$F:$F,MATCH($A24,Data_metier!$B:$B,0))="Significatif"),
DE_niv_form!N24+0.5,
DE_niv_form!N24)</f>
        <v>1</v>
      </c>
      <c r="O24">
        <f>IF(AND(INDEX(Data_metier!$F:$F,MATCH(O$1,Data_metier!$B:$B,0))="Non significatif",
    INDEX(Data_metier!$F:$F,MATCH($A24,Data_metier!$B:$B,0))="Significatif"),
DE_niv_form!O24+0.5,
DE_niv_form!O24)</f>
        <v>2.5</v>
      </c>
      <c r="P24">
        <f>IF(AND(INDEX(Data_metier!$F:$F,MATCH(P$1,Data_metier!$B:$B,0))="Non significatif",
    INDEX(Data_metier!$F:$F,MATCH($A24,Data_metier!$B:$B,0))="Significatif"),
DE_niv_form!P24+0.5,
DE_niv_form!P24)</f>
        <v>2.5</v>
      </c>
      <c r="Q24">
        <f>IF(AND(INDEX(Data_metier!$F:$F,MATCH(Q$1,Data_metier!$B:$B,0))="Non significatif",
    INDEX(Data_metier!$F:$F,MATCH($A24,Data_metier!$B:$B,0))="Significatif"),
DE_niv_form!Q24+0.5,
DE_niv_form!Q24)</f>
        <v>1</v>
      </c>
      <c r="R24">
        <f>IF(AND(INDEX(Data_metier!$F:$F,MATCH(R$1,Data_metier!$B:$B,0))="Non significatif",
    INDEX(Data_metier!$F:$F,MATCH($A24,Data_metier!$B:$B,0))="Significatif"),
DE_niv_form!R24+0.5,
DE_niv_form!R24)</f>
        <v>-1</v>
      </c>
      <c r="S24">
        <f>IF(AND(INDEX(Data_metier!$F:$F,MATCH(S$1,Data_metier!$B:$B,0))="Non significatif",
    INDEX(Data_metier!$F:$F,MATCH($A24,Data_metier!$B:$B,0))="Significatif"),
DE_niv_form!S24+0.5,
DE_niv_form!S24)</f>
        <v>2.5</v>
      </c>
      <c r="T24">
        <f>IF(AND(INDEX(Data_metier!$F:$F,MATCH(T$1,Data_metier!$B:$B,0))="Non significatif",
    INDEX(Data_metier!$F:$F,MATCH($A24,Data_metier!$B:$B,0))="Significatif"),
DE_niv_form!T24+0.5,
DE_niv_form!T24)</f>
        <v>2.5</v>
      </c>
      <c r="U24">
        <f>IF(AND(INDEX(Data_metier!$F:$F,MATCH(U$1,Data_metier!$B:$B,0))="Non significatif",
    INDEX(Data_metier!$F:$F,MATCH($A24,Data_metier!$B:$B,0))="Significatif"),
DE_niv_form!U24+0.5,
DE_niv_form!U24)</f>
        <v>2.5</v>
      </c>
      <c r="V24">
        <f>IF(AND(INDEX(Data_metier!$F:$F,MATCH(V$1,Data_metier!$B:$B,0))="Non significatif",
    INDEX(Data_metier!$F:$F,MATCH($A24,Data_metier!$B:$B,0))="Significatif"),
DE_niv_form!V24+0.5,
DE_niv_form!V24)</f>
        <v>2.5</v>
      </c>
      <c r="W24">
        <f>IF(AND(INDEX(Data_metier!$F:$F,MATCH(W$1,Data_metier!$B:$B,0))="Non significatif",
    INDEX(Data_metier!$F:$F,MATCH($A24,Data_metier!$B:$B,0))="Significatif"),
DE_niv_form!W24+0.5,
DE_niv_form!W24)</f>
        <v>2</v>
      </c>
      <c r="X24">
        <f>IF(AND(INDEX(Data_metier!$F:$F,MATCH(X$1,Data_metier!$B:$B,0))="Non significatif",
    INDEX(Data_metier!$F:$F,MATCH($A24,Data_metier!$B:$B,0))="Significatif"),
DE_niv_form!X24+0.5,
DE_niv_form!X24)</f>
        <v>0</v>
      </c>
      <c r="Y24">
        <f>IF(AND(INDEX(Data_metier!$F:$F,MATCH(Y$1,Data_metier!$B:$B,0))="Non significatif",
    INDEX(Data_metier!$F:$F,MATCH($A24,Data_metier!$B:$B,0))="Significatif"),
DE_niv_form!Y24+0.5,
DE_niv_form!Y24)</f>
        <v>2.5</v>
      </c>
      <c r="Z24">
        <f>IF(AND(INDEX(Data_metier!$F:$F,MATCH(Z$1,Data_metier!$B:$B,0))="Non significatif",
    INDEX(Data_metier!$F:$F,MATCH($A24,Data_metier!$B:$B,0))="Significatif"),
DE_niv_form!Z24+0.5,
DE_niv_form!Z24)</f>
        <v>2.5</v>
      </c>
      <c r="AA24">
        <f>IF(AND(INDEX(Data_metier!$F:$F,MATCH(AA$1,Data_metier!$B:$B,0))="Non significatif",
    INDEX(Data_metier!$F:$F,MATCH($A24,Data_metier!$B:$B,0))="Significatif"),
DE_niv_form!AA24+0.5,
DE_niv_form!AA24)</f>
        <v>2.5</v>
      </c>
      <c r="AB24">
        <f>IF(AND(INDEX(Data_metier!$F:$F,MATCH(AB$1,Data_metier!$B:$B,0))="Non significatif",
    INDEX(Data_metier!$F:$F,MATCH($A24,Data_metier!$B:$B,0))="Significatif"),
DE_niv_form!AB24+0.5,
DE_niv_form!AB24)</f>
        <v>2.5</v>
      </c>
      <c r="AC24">
        <f>IF(AND(INDEX(Data_metier!$F:$F,MATCH(AC$1,Data_metier!$B:$B,0))="Non significatif",
    INDEX(Data_metier!$F:$F,MATCH($A24,Data_metier!$B:$B,0))="Significatif"),
DE_niv_form!AC24+0.5,
DE_niv_form!AC24)</f>
        <v>2.5</v>
      </c>
      <c r="AD24">
        <f>IF(AND(INDEX(Data_metier!$F:$F,MATCH(AD$1,Data_metier!$B:$B,0))="Non significatif",
    INDEX(Data_metier!$F:$F,MATCH($A24,Data_metier!$B:$B,0))="Significatif"),
DE_niv_form!AD24+0.5,
DE_niv_form!AD24)</f>
        <v>2.5</v>
      </c>
    </row>
    <row r="25" spans="1:30">
      <c r="A25" t="str">
        <v>Opérateur(trice) de transformation des viandes</v>
      </c>
      <c r="B25">
        <f>IF(AND(INDEX(Data_metier!$F:$F,MATCH(B$1,Data_metier!$B:$B,0))="Non significatif",
    INDEX(Data_metier!$F:$F,MATCH($A25,Data_metier!$B:$B,0))="Significatif"),
DE_niv_form!B25+0.5,
DE_niv_form!B25)</f>
        <v>-1</v>
      </c>
      <c r="C25">
        <f>IF(AND(INDEX(Data_metier!$F:$F,MATCH(C$1,Data_metier!$B:$B,0))="Non significatif",
    INDEX(Data_metier!$F:$F,MATCH($A25,Data_metier!$B:$B,0))="Significatif"),
DE_niv_form!C25+0.5,
DE_niv_form!C25)</f>
        <v>-1</v>
      </c>
      <c r="D25">
        <f>IF(AND(INDEX(Data_metier!$F:$F,MATCH(D$1,Data_metier!$B:$B,0))="Non significatif",
    INDEX(Data_metier!$F:$F,MATCH($A25,Data_metier!$B:$B,0))="Significatif"),
DE_niv_form!D25+0.5,
DE_niv_form!D25)</f>
        <v>0</v>
      </c>
      <c r="E25">
        <f>IF(AND(INDEX(Data_metier!$F:$F,MATCH(E$1,Data_metier!$B:$B,0))="Non significatif",
    INDEX(Data_metier!$F:$F,MATCH($A25,Data_metier!$B:$B,0))="Significatif"),
DE_niv_form!E25+0.5,
DE_niv_form!E25)</f>
        <v>-1</v>
      </c>
      <c r="F25">
        <f>IF(AND(INDEX(Data_metier!$F:$F,MATCH(F$1,Data_metier!$B:$B,0))="Non significatif",
    INDEX(Data_metier!$F:$F,MATCH($A25,Data_metier!$B:$B,0))="Significatif"),
DE_niv_form!F25+0.5,
DE_niv_form!F25)</f>
        <v>-1</v>
      </c>
      <c r="G25">
        <f>IF(AND(INDEX(Data_metier!$F:$F,MATCH(G$1,Data_metier!$B:$B,0))="Non significatif",
    INDEX(Data_metier!$F:$F,MATCH($A25,Data_metier!$B:$B,0))="Significatif"),
DE_niv_form!G25+0.5,
DE_niv_form!G25)</f>
        <v>-1</v>
      </c>
      <c r="H25">
        <f>IF(AND(INDEX(Data_metier!$F:$F,MATCH(H$1,Data_metier!$B:$B,0))="Non significatif",
    INDEX(Data_metier!$F:$F,MATCH($A25,Data_metier!$B:$B,0))="Significatif"),
DE_niv_form!H25+0.5,
DE_niv_form!H25)</f>
        <v>-1</v>
      </c>
      <c r="I25">
        <f>IF(AND(INDEX(Data_metier!$F:$F,MATCH(I$1,Data_metier!$B:$B,0))="Non significatif",
    INDEX(Data_metier!$F:$F,MATCH($A25,Data_metier!$B:$B,0))="Significatif"),
DE_niv_form!I25+0.5,
DE_niv_form!I25)</f>
        <v>0</v>
      </c>
      <c r="J25">
        <f>IF(AND(INDEX(Data_metier!$F:$F,MATCH(J$1,Data_metier!$B:$B,0))="Non significatif",
    INDEX(Data_metier!$F:$F,MATCH($A25,Data_metier!$B:$B,0))="Significatif"),
DE_niv_form!J25+0.5,
DE_niv_form!J25)</f>
        <v>-1</v>
      </c>
      <c r="K25">
        <f>IF(AND(INDEX(Data_metier!$F:$F,MATCH(K$1,Data_metier!$B:$B,0))="Non significatif",
    INDEX(Data_metier!$F:$F,MATCH($A25,Data_metier!$B:$B,0))="Significatif"),
DE_niv_form!K25+0.5,
DE_niv_form!K25)</f>
        <v>-1</v>
      </c>
      <c r="L25">
        <f>IF(AND(INDEX(Data_metier!$F:$F,MATCH(L$1,Data_metier!$B:$B,0))="Non significatif",
    INDEX(Data_metier!$F:$F,MATCH($A25,Data_metier!$B:$B,0))="Significatif"),
DE_niv_form!L25+0.5,
DE_niv_form!L25)</f>
        <v>0</v>
      </c>
      <c r="M25">
        <f>IF(AND(INDEX(Data_metier!$F:$F,MATCH(M$1,Data_metier!$B:$B,0))="Non significatif",
    INDEX(Data_metier!$F:$F,MATCH($A25,Data_metier!$B:$B,0))="Significatif"),
DE_niv_form!M25+0.5,
DE_niv_form!M25)</f>
        <v>-1</v>
      </c>
      <c r="N25">
        <f>IF(AND(INDEX(Data_metier!$F:$F,MATCH(N$1,Data_metier!$B:$B,0))="Non significatif",
    INDEX(Data_metier!$F:$F,MATCH($A25,Data_metier!$B:$B,0))="Significatif"),
DE_niv_form!N25+0.5,
DE_niv_form!N25)</f>
        <v>-1</v>
      </c>
      <c r="O25">
        <f>IF(AND(INDEX(Data_metier!$F:$F,MATCH(O$1,Data_metier!$B:$B,0))="Non significatif",
    INDEX(Data_metier!$F:$F,MATCH($A25,Data_metier!$B:$B,0))="Significatif"),
DE_niv_form!O25+0.5,
DE_niv_form!O25)</f>
        <v>0</v>
      </c>
      <c r="P25">
        <f>IF(AND(INDEX(Data_metier!$F:$F,MATCH(P$1,Data_metier!$B:$B,0))="Non significatif",
    INDEX(Data_metier!$F:$F,MATCH($A25,Data_metier!$B:$B,0))="Significatif"),
DE_niv_form!P25+0.5,
DE_niv_form!P25)</f>
        <v>0</v>
      </c>
      <c r="Q25">
        <f>IF(AND(INDEX(Data_metier!$F:$F,MATCH(Q$1,Data_metier!$B:$B,0))="Non significatif",
    INDEX(Data_metier!$F:$F,MATCH($A25,Data_metier!$B:$B,0))="Significatif"),
DE_niv_form!Q25+0.5,
DE_niv_form!Q25)</f>
        <v>-1</v>
      </c>
      <c r="R25">
        <f>IF(AND(INDEX(Data_metier!$F:$F,MATCH(R$1,Data_metier!$B:$B,0))="Non significatif",
    INDEX(Data_metier!$F:$F,MATCH($A25,Data_metier!$B:$B,0))="Significatif"),
DE_niv_form!R25+0.5,
DE_niv_form!R25)</f>
        <v>-1</v>
      </c>
      <c r="S25">
        <f>IF(AND(INDEX(Data_metier!$F:$F,MATCH(S$1,Data_metier!$B:$B,0))="Non significatif",
    INDEX(Data_metier!$F:$F,MATCH($A25,Data_metier!$B:$B,0))="Significatif"),
DE_niv_form!S25+0.5,
DE_niv_form!S25)</f>
        <v>0</v>
      </c>
      <c r="T25">
        <f>IF(AND(INDEX(Data_metier!$F:$F,MATCH(T$1,Data_metier!$B:$B,0))="Non significatif",
    INDEX(Data_metier!$F:$F,MATCH($A25,Data_metier!$B:$B,0))="Significatif"),
DE_niv_form!T25+0.5,
DE_niv_form!T25)</f>
        <v>0</v>
      </c>
      <c r="U25">
        <f>IF(AND(INDEX(Data_metier!$F:$F,MATCH(U$1,Data_metier!$B:$B,0))="Non significatif",
    INDEX(Data_metier!$F:$F,MATCH($A25,Data_metier!$B:$B,0))="Significatif"),
DE_niv_form!U25+0.5,
DE_niv_form!U25)</f>
        <v>0</v>
      </c>
      <c r="V25">
        <f>IF(AND(INDEX(Data_metier!$F:$F,MATCH(V$1,Data_metier!$B:$B,0))="Non significatif",
    INDEX(Data_metier!$F:$F,MATCH($A25,Data_metier!$B:$B,0))="Significatif"),
DE_niv_form!V25+0.5,
DE_niv_form!V25)</f>
        <v>-1</v>
      </c>
      <c r="W25">
        <f>IF(AND(INDEX(Data_metier!$F:$F,MATCH(W$1,Data_metier!$B:$B,0))="Non significatif",
    INDEX(Data_metier!$F:$F,MATCH($A25,Data_metier!$B:$B,0))="Significatif"),
DE_niv_form!W25+0.5,
DE_niv_form!W25)</f>
        <v>-1</v>
      </c>
      <c r="X25">
        <f>IF(AND(INDEX(Data_metier!$F:$F,MATCH(X$1,Data_metier!$B:$B,0))="Non significatif",
    INDEX(Data_metier!$F:$F,MATCH($A25,Data_metier!$B:$B,0))="Significatif"),
DE_niv_form!X25+0.5,
DE_niv_form!X25)</f>
        <v>-1</v>
      </c>
      <c r="Y25">
        <f>IF(AND(INDEX(Data_metier!$F:$F,MATCH(Y$1,Data_metier!$B:$B,0))="Non significatif",
    INDEX(Data_metier!$F:$F,MATCH($A25,Data_metier!$B:$B,0))="Significatif"),
DE_niv_form!Y25+0.5,
DE_niv_form!Y25)</f>
        <v>0</v>
      </c>
      <c r="Z25">
        <f>IF(AND(INDEX(Data_metier!$F:$F,MATCH(Z$1,Data_metier!$B:$B,0))="Non significatif",
    INDEX(Data_metier!$F:$F,MATCH($A25,Data_metier!$B:$B,0))="Significatif"),
DE_niv_form!Z25+0.5,
DE_niv_form!Z25)</f>
        <v>0</v>
      </c>
      <c r="AA25">
        <f>IF(AND(INDEX(Data_metier!$F:$F,MATCH(AA$1,Data_metier!$B:$B,0))="Non significatif",
    INDEX(Data_metier!$F:$F,MATCH($A25,Data_metier!$B:$B,0))="Significatif"),
DE_niv_form!AA25+0.5,
DE_niv_form!AA25)</f>
        <v>0</v>
      </c>
      <c r="AB25">
        <f>IF(AND(INDEX(Data_metier!$F:$F,MATCH(AB$1,Data_metier!$B:$B,0))="Non significatif",
    INDEX(Data_metier!$F:$F,MATCH($A25,Data_metier!$B:$B,0))="Significatif"),
DE_niv_form!AB25+0.5,
DE_niv_form!AB25)</f>
        <v>-1</v>
      </c>
      <c r="AC25">
        <f>IF(AND(INDEX(Data_metier!$F:$F,MATCH(AC$1,Data_metier!$B:$B,0))="Non significatif",
    INDEX(Data_metier!$F:$F,MATCH($A25,Data_metier!$B:$B,0))="Significatif"),
DE_niv_form!AC25+0.5,
DE_niv_form!AC25)</f>
        <v>-1</v>
      </c>
      <c r="AD25">
        <f>IF(AND(INDEX(Data_metier!$F:$F,MATCH(AD$1,Data_metier!$B:$B,0))="Non significatif",
    INDEX(Data_metier!$F:$F,MATCH($A25,Data_metier!$B:$B,0))="Significatif"),
DE_niv_form!AD25+0.5,
DE_niv_form!AD25)</f>
        <v>-1</v>
      </c>
    </row>
    <row r="26" spans="1:30">
      <c r="A26" t="str">
        <v>Fromager(ère) industriel(le)</v>
      </c>
      <c r="B26">
        <f>IF(AND(INDEX(Data_metier!$F:$F,MATCH(B$1,Data_metier!$B:$B,0))="Non significatif",
    INDEX(Data_metier!$F:$F,MATCH($A26,Data_metier!$B:$B,0))="Significatif"),
DE_niv_form!B26+0.5,
DE_niv_form!B26)</f>
        <v>-1</v>
      </c>
      <c r="C26">
        <f>IF(AND(INDEX(Data_metier!$F:$F,MATCH(C$1,Data_metier!$B:$B,0))="Non significatif",
    INDEX(Data_metier!$F:$F,MATCH($A26,Data_metier!$B:$B,0))="Significatif"),
DE_niv_form!C26+0.5,
DE_niv_form!C26)</f>
        <v>-1</v>
      </c>
      <c r="D26">
        <f>IF(AND(INDEX(Data_metier!$F:$F,MATCH(D$1,Data_metier!$B:$B,0))="Non significatif",
    INDEX(Data_metier!$F:$F,MATCH($A26,Data_metier!$B:$B,0))="Significatif"),
DE_niv_form!D26+0.5,
DE_niv_form!D26)</f>
        <v>0</v>
      </c>
      <c r="E26">
        <f>IF(AND(INDEX(Data_metier!$F:$F,MATCH(E$1,Data_metier!$B:$B,0))="Non significatif",
    INDEX(Data_metier!$F:$F,MATCH($A26,Data_metier!$B:$B,0))="Significatif"),
DE_niv_form!E26+0.5,
DE_niv_form!E26)</f>
        <v>-1</v>
      </c>
      <c r="F26">
        <f>IF(AND(INDEX(Data_metier!$F:$F,MATCH(F$1,Data_metier!$B:$B,0))="Non significatif",
    INDEX(Data_metier!$F:$F,MATCH($A26,Data_metier!$B:$B,0))="Significatif"),
DE_niv_form!F26+0.5,
DE_niv_form!F26)</f>
        <v>-1</v>
      </c>
      <c r="G26">
        <f>IF(AND(INDEX(Data_metier!$F:$F,MATCH(G$1,Data_metier!$B:$B,0))="Non significatif",
    INDEX(Data_metier!$F:$F,MATCH($A26,Data_metier!$B:$B,0))="Significatif"),
DE_niv_form!G26+0.5,
DE_niv_form!G26)</f>
        <v>-1</v>
      </c>
      <c r="H26">
        <f>IF(AND(INDEX(Data_metier!$F:$F,MATCH(H$1,Data_metier!$B:$B,0))="Non significatif",
    INDEX(Data_metier!$F:$F,MATCH($A26,Data_metier!$B:$B,0))="Significatif"),
DE_niv_form!H26+0.5,
DE_niv_form!H26)</f>
        <v>-1</v>
      </c>
      <c r="I26">
        <f>IF(AND(INDEX(Data_metier!$F:$F,MATCH(I$1,Data_metier!$B:$B,0))="Non significatif",
    INDEX(Data_metier!$F:$F,MATCH($A26,Data_metier!$B:$B,0))="Significatif"),
DE_niv_form!I26+0.5,
DE_niv_form!I26)</f>
        <v>0</v>
      </c>
      <c r="J26">
        <f>IF(AND(INDEX(Data_metier!$F:$F,MATCH(J$1,Data_metier!$B:$B,0))="Non significatif",
    INDEX(Data_metier!$F:$F,MATCH($A26,Data_metier!$B:$B,0))="Significatif"),
DE_niv_form!J26+0.5,
DE_niv_form!J26)</f>
        <v>-1</v>
      </c>
      <c r="K26">
        <f>IF(AND(INDEX(Data_metier!$F:$F,MATCH(K$1,Data_metier!$B:$B,0))="Non significatif",
    INDEX(Data_metier!$F:$F,MATCH($A26,Data_metier!$B:$B,0))="Significatif"),
DE_niv_form!K26+0.5,
DE_niv_form!K26)</f>
        <v>-1</v>
      </c>
      <c r="L26">
        <f>IF(AND(INDEX(Data_metier!$F:$F,MATCH(L$1,Data_metier!$B:$B,0))="Non significatif",
    INDEX(Data_metier!$F:$F,MATCH($A26,Data_metier!$B:$B,0))="Significatif"),
DE_niv_form!L26+0.5,
DE_niv_form!L26)</f>
        <v>0</v>
      </c>
      <c r="M26">
        <f>IF(AND(INDEX(Data_metier!$F:$F,MATCH(M$1,Data_metier!$B:$B,0))="Non significatif",
    INDEX(Data_metier!$F:$F,MATCH($A26,Data_metier!$B:$B,0))="Significatif"),
DE_niv_form!M26+0.5,
DE_niv_form!M26)</f>
        <v>-1</v>
      </c>
      <c r="N26">
        <f>IF(AND(INDEX(Data_metier!$F:$F,MATCH(N$1,Data_metier!$B:$B,0))="Non significatif",
    INDEX(Data_metier!$F:$F,MATCH($A26,Data_metier!$B:$B,0))="Significatif"),
DE_niv_form!N26+0.5,
DE_niv_form!N26)</f>
        <v>-1</v>
      </c>
      <c r="O26">
        <f>IF(AND(INDEX(Data_metier!$F:$F,MATCH(O$1,Data_metier!$B:$B,0))="Non significatif",
    INDEX(Data_metier!$F:$F,MATCH($A26,Data_metier!$B:$B,0))="Significatif"),
DE_niv_form!O26+0.5,
DE_niv_form!O26)</f>
        <v>0</v>
      </c>
      <c r="P26">
        <f>IF(AND(INDEX(Data_metier!$F:$F,MATCH(P$1,Data_metier!$B:$B,0))="Non significatif",
    INDEX(Data_metier!$F:$F,MATCH($A26,Data_metier!$B:$B,0))="Significatif"),
DE_niv_form!P26+0.5,
DE_niv_form!P26)</f>
        <v>0</v>
      </c>
      <c r="Q26">
        <f>IF(AND(INDEX(Data_metier!$F:$F,MATCH(Q$1,Data_metier!$B:$B,0))="Non significatif",
    INDEX(Data_metier!$F:$F,MATCH($A26,Data_metier!$B:$B,0))="Significatif"),
DE_niv_form!Q26+0.5,
DE_niv_form!Q26)</f>
        <v>-1</v>
      </c>
      <c r="R26">
        <f>IF(AND(INDEX(Data_metier!$F:$F,MATCH(R$1,Data_metier!$B:$B,0))="Non significatif",
    INDEX(Data_metier!$F:$F,MATCH($A26,Data_metier!$B:$B,0))="Significatif"),
DE_niv_form!R26+0.5,
DE_niv_form!R26)</f>
        <v>-1</v>
      </c>
      <c r="S26">
        <f>IF(AND(INDEX(Data_metier!$F:$F,MATCH(S$1,Data_metier!$B:$B,0))="Non significatif",
    INDEX(Data_metier!$F:$F,MATCH($A26,Data_metier!$B:$B,0))="Significatif"),
DE_niv_form!S26+0.5,
DE_niv_form!S26)</f>
        <v>0</v>
      </c>
      <c r="T26">
        <f>IF(AND(INDEX(Data_metier!$F:$F,MATCH(T$1,Data_metier!$B:$B,0))="Non significatif",
    INDEX(Data_metier!$F:$F,MATCH($A26,Data_metier!$B:$B,0))="Significatif"),
DE_niv_form!T26+0.5,
DE_niv_form!T26)</f>
        <v>0</v>
      </c>
      <c r="U26">
        <f>IF(AND(INDEX(Data_metier!$F:$F,MATCH(U$1,Data_metier!$B:$B,0))="Non significatif",
    INDEX(Data_metier!$F:$F,MATCH($A26,Data_metier!$B:$B,0))="Significatif"),
DE_niv_form!U26+0.5,
DE_niv_form!U26)</f>
        <v>0</v>
      </c>
      <c r="V26">
        <f>IF(AND(INDEX(Data_metier!$F:$F,MATCH(V$1,Data_metier!$B:$B,0))="Non significatif",
    INDEX(Data_metier!$F:$F,MATCH($A26,Data_metier!$B:$B,0))="Significatif"),
DE_niv_form!V26+0.5,
DE_niv_form!V26)</f>
        <v>-1</v>
      </c>
      <c r="W26">
        <f>IF(AND(INDEX(Data_metier!$F:$F,MATCH(W$1,Data_metier!$B:$B,0))="Non significatif",
    INDEX(Data_metier!$F:$F,MATCH($A26,Data_metier!$B:$B,0))="Significatif"),
DE_niv_form!W26+0.5,
DE_niv_form!W26)</f>
        <v>-1</v>
      </c>
      <c r="X26">
        <f>IF(AND(INDEX(Data_metier!$F:$F,MATCH(X$1,Data_metier!$B:$B,0))="Non significatif",
    INDEX(Data_metier!$F:$F,MATCH($A26,Data_metier!$B:$B,0))="Significatif"),
DE_niv_form!X26+0.5,
DE_niv_form!X26)</f>
        <v>-1</v>
      </c>
      <c r="Y26">
        <f>IF(AND(INDEX(Data_metier!$F:$F,MATCH(Y$1,Data_metier!$B:$B,0))="Non significatif",
    INDEX(Data_metier!$F:$F,MATCH($A26,Data_metier!$B:$B,0))="Significatif"),
DE_niv_form!Y26+0.5,
DE_niv_form!Y26)</f>
        <v>0</v>
      </c>
      <c r="Z26">
        <f>IF(AND(INDEX(Data_metier!$F:$F,MATCH(Z$1,Data_metier!$B:$B,0))="Non significatif",
    INDEX(Data_metier!$F:$F,MATCH($A26,Data_metier!$B:$B,0))="Significatif"),
DE_niv_form!Z26+0.5,
DE_niv_form!Z26)</f>
        <v>0</v>
      </c>
      <c r="AA26">
        <f>IF(AND(INDEX(Data_metier!$F:$F,MATCH(AA$1,Data_metier!$B:$B,0))="Non significatif",
    INDEX(Data_metier!$F:$F,MATCH($A26,Data_metier!$B:$B,0))="Significatif"),
DE_niv_form!AA26+0.5,
DE_niv_form!AA26)</f>
        <v>0</v>
      </c>
      <c r="AB26">
        <f>IF(AND(INDEX(Data_metier!$F:$F,MATCH(AB$1,Data_metier!$B:$B,0))="Non significatif",
    INDEX(Data_metier!$F:$F,MATCH($A26,Data_metier!$B:$B,0))="Significatif"),
DE_niv_form!AB26+0.5,
DE_niv_form!AB26)</f>
        <v>-1</v>
      </c>
      <c r="AC26">
        <f>IF(AND(INDEX(Data_metier!$F:$F,MATCH(AC$1,Data_metier!$B:$B,0))="Non significatif",
    INDEX(Data_metier!$F:$F,MATCH($A26,Data_metier!$B:$B,0))="Significatif"),
DE_niv_form!AC26+0.5,
DE_niv_form!AC26)</f>
        <v>-1</v>
      </c>
      <c r="AD26">
        <f>IF(AND(INDEX(Data_metier!$F:$F,MATCH(AD$1,Data_metier!$B:$B,0))="Non significatif",
    INDEX(Data_metier!$F:$F,MATCH($A26,Data_metier!$B:$B,0))="Significatif"),
DE_niv_form!AD26+0.5,
DE_niv_form!AD26)</f>
        <v>-1</v>
      </c>
    </row>
    <row r="27" spans="1:30">
      <c r="A27" t="str">
        <v>Opérateur(trice) de préparation de poissons et de produits de la mer</v>
      </c>
      <c r="B27">
        <f>IF(AND(INDEX(Data_metier!$F:$F,MATCH(B$1,Data_metier!$B:$B,0))="Non significatif",
    INDEX(Data_metier!$F:$F,MATCH($A27,Data_metier!$B:$B,0))="Significatif"),
DE_niv_form!B27+0.5,
DE_niv_form!B27)</f>
        <v>-1</v>
      </c>
      <c r="C27">
        <f>IF(AND(INDEX(Data_metier!$F:$F,MATCH(C$1,Data_metier!$B:$B,0))="Non significatif",
    INDEX(Data_metier!$F:$F,MATCH($A27,Data_metier!$B:$B,0))="Significatif"),
DE_niv_form!C27+0.5,
DE_niv_form!C27)</f>
        <v>-1</v>
      </c>
      <c r="D27">
        <f>IF(AND(INDEX(Data_metier!$F:$F,MATCH(D$1,Data_metier!$B:$B,0))="Non significatif",
    INDEX(Data_metier!$F:$F,MATCH($A27,Data_metier!$B:$B,0))="Significatif"),
DE_niv_form!D27+0.5,
DE_niv_form!D27)</f>
        <v>0</v>
      </c>
      <c r="E27">
        <f>IF(AND(INDEX(Data_metier!$F:$F,MATCH(E$1,Data_metier!$B:$B,0))="Non significatif",
    INDEX(Data_metier!$F:$F,MATCH($A27,Data_metier!$B:$B,0))="Significatif"),
DE_niv_form!E27+0.5,
DE_niv_form!E27)</f>
        <v>-1</v>
      </c>
      <c r="F27">
        <f>IF(AND(INDEX(Data_metier!$F:$F,MATCH(F$1,Data_metier!$B:$B,0))="Non significatif",
    INDEX(Data_metier!$F:$F,MATCH($A27,Data_metier!$B:$B,0))="Significatif"),
DE_niv_form!F27+0.5,
DE_niv_form!F27)</f>
        <v>-1</v>
      </c>
      <c r="G27">
        <f>IF(AND(INDEX(Data_metier!$F:$F,MATCH(G$1,Data_metier!$B:$B,0))="Non significatif",
    INDEX(Data_metier!$F:$F,MATCH($A27,Data_metier!$B:$B,0))="Significatif"),
DE_niv_form!G27+0.5,
DE_niv_form!G27)</f>
        <v>-1</v>
      </c>
      <c r="H27">
        <f>IF(AND(INDEX(Data_metier!$F:$F,MATCH(H$1,Data_metier!$B:$B,0))="Non significatif",
    INDEX(Data_metier!$F:$F,MATCH($A27,Data_metier!$B:$B,0))="Significatif"),
DE_niv_form!H27+0.5,
DE_niv_form!H27)</f>
        <v>-1</v>
      </c>
      <c r="I27">
        <f>IF(AND(INDEX(Data_metier!$F:$F,MATCH(I$1,Data_metier!$B:$B,0))="Non significatif",
    INDEX(Data_metier!$F:$F,MATCH($A27,Data_metier!$B:$B,0))="Significatif"),
DE_niv_form!I27+0.5,
DE_niv_form!I27)</f>
        <v>0</v>
      </c>
      <c r="J27">
        <f>IF(AND(INDEX(Data_metier!$F:$F,MATCH(J$1,Data_metier!$B:$B,0))="Non significatif",
    INDEX(Data_metier!$F:$F,MATCH($A27,Data_metier!$B:$B,0))="Significatif"),
DE_niv_form!J27+0.5,
DE_niv_form!J27)</f>
        <v>-1</v>
      </c>
      <c r="K27">
        <f>IF(AND(INDEX(Data_metier!$F:$F,MATCH(K$1,Data_metier!$B:$B,0))="Non significatif",
    INDEX(Data_metier!$F:$F,MATCH($A27,Data_metier!$B:$B,0))="Significatif"),
DE_niv_form!K27+0.5,
DE_niv_form!K27)</f>
        <v>-1</v>
      </c>
      <c r="L27">
        <f>IF(AND(INDEX(Data_metier!$F:$F,MATCH(L$1,Data_metier!$B:$B,0))="Non significatif",
    INDEX(Data_metier!$F:$F,MATCH($A27,Data_metier!$B:$B,0))="Significatif"),
DE_niv_form!L27+0.5,
DE_niv_form!L27)</f>
        <v>0</v>
      </c>
      <c r="M27">
        <f>IF(AND(INDEX(Data_metier!$F:$F,MATCH(M$1,Data_metier!$B:$B,0))="Non significatif",
    INDEX(Data_metier!$F:$F,MATCH($A27,Data_metier!$B:$B,0))="Significatif"),
DE_niv_form!M27+0.5,
DE_niv_form!M27)</f>
        <v>-1</v>
      </c>
      <c r="N27">
        <f>IF(AND(INDEX(Data_metier!$F:$F,MATCH(N$1,Data_metier!$B:$B,0))="Non significatif",
    INDEX(Data_metier!$F:$F,MATCH($A27,Data_metier!$B:$B,0))="Significatif"),
DE_niv_form!N27+0.5,
DE_niv_form!N27)</f>
        <v>-1</v>
      </c>
      <c r="O27">
        <f>IF(AND(INDEX(Data_metier!$F:$F,MATCH(O$1,Data_metier!$B:$B,0))="Non significatif",
    INDEX(Data_metier!$F:$F,MATCH($A27,Data_metier!$B:$B,0))="Significatif"),
DE_niv_form!O27+0.5,
DE_niv_form!O27)</f>
        <v>0</v>
      </c>
      <c r="P27">
        <f>IF(AND(INDEX(Data_metier!$F:$F,MATCH(P$1,Data_metier!$B:$B,0))="Non significatif",
    INDEX(Data_metier!$F:$F,MATCH($A27,Data_metier!$B:$B,0))="Significatif"),
DE_niv_form!P27+0.5,
DE_niv_form!P27)</f>
        <v>0</v>
      </c>
      <c r="Q27">
        <f>IF(AND(INDEX(Data_metier!$F:$F,MATCH(Q$1,Data_metier!$B:$B,0))="Non significatif",
    INDEX(Data_metier!$F:$F,MATCH($A27,Data_metier!$B:$B,0))="Significatif"),
DE_niv_form!Q27+0.5,
DE_niv_form!Q27)</f>
        <v>-1</v>
      </c>
      <c r="R27">
        <f>IF(AND(INDEX(Data_metier!$F:$F,MATCH(R$1,Data_metier!$B:$B,0))="Non significatif",
    INDEX(Data_metier!$F:$F,MATCH($A27,Data_metier!$B:$B,0))="Significatif"),
DE_niv_form!R27+0.5,
DE_niv_form!R27)</f>
        <v>-1</v>
      </c>
      <c r="S27">
        <f>IF(AND(INDEX(Data_metier!$F:$F,MATCH(S$1,Data_metier!$B:$B,0))="Non significatif",
    INDEX(Data_metier!$F:$F,MATCH($A27,Data_metier!$B:$B,0))="Significatif"),
DE_niv_form!S27+0.5,
DE_niv_form!S27)</f>
        <v>0</v>
      </c>
      <c r="T27">
        <f>IF(AND(INDEX(Data_metier!$F:$F,MATCH(T$1,Data_metier!$B:$B,0))="Non significatif",
    INDEX(Data_metier!$F:$F,MATCH($A27,Data_metier!$B:$B,0))="Significatif"),
DE_niv_form!T27+0.5,
DE_niv_form!T27)</f>
        <v>0</v>
      </c>
      <c r="U27">
        <f>IF(AND(INDEX(Data_metier!$F:$F,MATCH(U$1,Data_metier!$B:$B,0))="Non significatif",
    INDEX(Data_metier!$F:$F,MATCH($A27,Data_metier!$B:$B,0))="Significatif"),
DE_niv_form!U27+0.5,
DE_niv_form!U27)</f>
        <v>0</v>
      </c>
      <c r="V27">
        <f>IF(AND(INDEX(Data_metier!$F:$F,MATCH(V$1,Data_metier!$B:$B,0))="Non significatif",
    INDEX(Data_metier!$F:$F,MATCH($A27,Data_metier!$B:$B,0))="Significatif"),
DE_niv_form!V27+0.5,
DE_niv_form!V27)</f>
        <v>-1</v>
      </c>
      <c r="W27">
        <f>IF(AND(INDEX(Data_metier!$F:$F,MATCH(W$1,Data_metier!$B:$B,0))="Non significatif",
    INDEX(Data_metier!$F:$F,MATCH($A27,Data_metier!$B:$B,0))="Significatif"),
DE_niv_form!W27+0.5,
DE_niv_form!W27)</f>
        <v>-1</v>
      </c>
      <c r="X27">
        <f>IF(AND(INDEX(Data_metier!$F:$F,MATCH(X$1,Data_metier!$B:$B,0))="Non significatif",
    INDEX(Data_metier!$F:$F,MATCH($A27,Data_metier!$B:$B,0))="Significatif"),
DE_niv_form!X27+0.5,
DE_niv_form!X27)</f>
        <v>-1</v>
      </c>
      <c r="Y27">
        <f>IF(AND(INDEX(Data_metier!$F:$F,MATCH(Y$1,Data_metier!$B:$B,0))="Non significatif",
    INDEX(Data_metier!$F:$F,MATCH($A27,Data_metier!$B:$B,0))="Significatif"),
DE_niv_form!Y27+0.5,
DE_niv_form!Y27)</f>
        <v>0</v>
      </c>
      <c r="Z27">
        <f>IF(AND(INDEX(Data_metier!$F:$F,MATCH(Z$1,Data_metier!$B:$B,0))="Non significatif",
    INDEX(Data_metier!$F:$F,MATCH($A27,Data_metier!$B:$B,0))="Significatif"),
DE_niv_form!Z27+0.5,
DE_niv_form!Z27)</f>
        <v>0</v>
      </c>
      <c r="AA27">
        <f>IF(AND(INDEX(Data_metier!$F:$F,MATCH(AA$1,Data_metier!$B:$B,0))="Non significatif",
    INDEX(Data_metier!$F:$F,MATCH($A27,Data_metier!$B:$B,0))="Significatif"),
DE_niv_form!AA27+0.5,
DE_niv_form!AA27)</f>
        <v>0</v>
      </c>
      <c r="AB27">
        <f>IF(AND(INDEX(Data_metier!$F:$F,MATCH(AB$1,Data_metier!$B:$B,0))="Non significatif",
    INDEX(Data_metier!$F:$F,MATCH($A27,Data_metier!$B:$B,0))="Significatif"),
DE_niv_form!AB27+0.5,
DE_niv_form!AB27)</f>
        <v>-1</v>
      </c>
      <c r="AC27">
        <f>IF(AND(INDEX(Data_metier!$F:$F,MATCH(AC$1,Data_metier!$B:$B,0))="Non significatif",
    INDEX(Data_metier!$F:$F,MATCH($A27,Data_metier!$B:$B,0))="Significatif"),
DE_niv_form!AC27+0.5,
DE_niv_form!AC27)</f>
        <v>-1</v>
      </c>
      <c r="AD27">
        <f>IF(AND(INDEX(Data_metier!$F:$F,MATCH(AD$1,Data_metier!$B:$B,0))="Non significatif",
    INDEX(Data_metier!$F:$F,MATCH($A27,Data_metier!$B:$B,0))="Significatif"),
DE_niv_form!AD27+0.5,
DE_niv_form!AD27)</f>
        <v>-1</v>
      </c>
    </row>
    <row r="28" spans="1:30">
      <c r="A28" t="str">
        <v>Mécanicien(ne) de maintenance industrielle</v>
      </c>
      <c r="B28">
        <f>IF(AND(INDEX(Data_metier!$F:$F,MATCH(B$1,Data_metier!$B:$B,0))="Non significatif",
    INDEX(Data_metier!$F:$F,MATCH($A28,Data_metier!$B:$B,0))="Significatif"),
DE_niv_form!B28+0.5,
DE_niv_form!B28)</f>
        <v>0</v>
      </c>
      <c r="C28">
        <f>IF(AND(INDEX(Data_metier!$F:$F,MATCH(C$1,Data_metier!$B:$B,0))="Non significatif",
    INDEX(Data_metier!$F:$F,MATCH($A28,Data_metier!$B:$B,0))="Significatif"),
DE_niv_form!C28+0.5,
DE_niv_form!C28)</f>
        <v>0</v>
      </c>
      <c r="D28">
        <f>IF(AND(INDEX(Data_metier!$F:$F,MATCH(D$1,Data_metier!$B:$B,0))="Non significatif",
    INDEX(Data_metier!$F:$F,MATCH($A28,Data_metier!$B:$B,0))="Significatif"),
DE_niv_form!D28+0.5,
DE_niv_form!D28)</f>
        <v>1</v>
      </c>
      <c r="E28">
        <f>IF(AND(INDEX(Data_metier!$F:$F,MATCH(E$1,Data_metier!$B:$B,0))="Non significatif",
    INDEX(Data_metier!$F:$F,MATCH($A28,Data_metier!$B:$B,0))="Significatif"),
DE_niv_form!E28+0.5,
DE_niv_form!E28)</f>
        <v>-1</v>
      </c>
      <c r="F28">
        <f>IF(AND(INDEX(Data_metier!$F:$F,MATCH(F$1,Data_metier!$B:$B,0))="Non significatif",
    INDEX(Data_metier!$F:$F,MATCH($A28,Data_metier!$B:$B,0))="Significatif"),
DE_niv_form!F28+0.5,
DE_niv_form!F28)</f>
        <v>-1</v>
      </c>
      <c r="G28">
        <f>IF(AND(INDEX(Data_metier!$F:$F,MATCH(G$1,Data_metier!$B:$B,0))="Non significatif",
    INDEX(Data_metier!$F:$F,MATCH($A28,Data_metier!$B:$B,0))="Significatif"),
DE_niv_form!G28+0.5,
DE_niv_form!G28)</f>
        <v>-1</v>
      </c>
      <c r="H28">
        <f>IF(AND(INDEX(Data_metier!$F:$F,MATCH(H$1,Data_metier!$B:$B,0))="Non significatif",
    INDEX(Data_metier!$F:$F,MATCH($A28,Data_metier!$B:$B,0))="Significatif"),
DE_niv_form!H28+0.5,
DE_niv_form!H28)</f>
        <v>-1</v>
      </c>
      <c r="I28">
        <f>IF(AND(INDEX(Data_metier!$F:$F,MATCH(I$1,Data_metier!$B:$B,0))="Non significatif",
    INDEX(Data_metier!$F:$F,MATCH($A28,Data_metier!$B:$B,0))="Significatif"),
DE_niv_form!I28+0.5,
DE_niv_form!I28)</f>
        <v>1</v>
      </c>
      <c r="J28">
        <f>IF(AND(INDEX(Data_metier!$F:$F,MATCH(J$1,Data_metier!$B:$B,0))="Non significatif",
    INDEX(Data_metier!$F:$F,MATCH($A28,Data_metier!$B:$B,0))="Significatif"),
DE_niv_form!J28+0.5,
DE_niv_form!J28)</f>
        <v>-1</v>
      </c>
      <c r="K28">
        <f>IF(AND(INDEX(Data_metier!$F:$F,MATCH(K$1,Data_metier!$B:$B,0))="Non significatif",
    INDEX(Data_metier!$F:$F,MATCH($A28,Data_metier!$B:$B,0))="Significatif"),
DE_niv_form!K28+0.5,
DE_niv_form!K28)</f>
        <v>-1</v>
      </c>
      <c r="L28">
        <f>IF(AND(INDEX(Data_metier!$F:$F,MATCH(L$1,Data_metier!$B:$B,0))="Non significatif",
    INDEX(Data_metier!$F:$F,MATCH($A28,Data_metier!$B:$B,0))="Significatif"),
DE_niv_form!L28+0.5,
DE_niv_form!L28)</f>
        <v>1</v>
      </c>
      <c r="M28">
        <f>IF(AND(INDEX(Data_metier!$F:$F,MATCH(M$1,Data_metier!$B:$B,0))="Non significatif",
    INDEX(Data_metier!$F:$F,MATCH($A28,Data_metier!$B:$B,0))="Significatif"),
DE_niv_form!M28+0.5,
DE_niv_form!M28)</f>
        <v>0</v>
      </c>
      <c r="N28">
        <f>IF(AND(INDEX(Data_metier!$F:$F,MATCH(N$1,Data_metier!$B:$B,0))="Non significatif",
    INDEX(Data_metier!$F:$F,MATCH($A28,Data_metier!$B:$B,0))="Significatif"),
DE_niv_form!N28+0.5,
DE_niv_form!N28)</f>
        <v>-1</v>
      </c>
      <c r="O28">
        <f>IF(AND(INDEX(Data_metier!$F:$F,MATCH(O$1,Data_metier!$B:$B,0))="Non significatif",
    INDEX(Data_metier!$F:$F,MATCH($A28,Data_metier!$B:$B,0))="Significatif"),
DE_niv_form!O28+0.5,
DE_niv_form!O28)</f>
        <v>1</v>
      </c>
      <c r="P28">
        <f>IF(AND(INDEX(Data_metier!$F:$F,MATCH(P$1,Data_metier!$B:$B,0))="Non significatif",
    INDEX(Data_metier!$F:$F,MATCH($A28,Data_metier!$B:$B,0))="Significatif"),
DE_niv_form!P28+0.5,
DE_niv_form!P28)</f>
        <v>1</v>
      </c>
      <c r="Q28">
        <f>IF(AND(INDEX(Data_metier!$F:$F,MATCH(Q$1,Data_metier!$B:$B,0))="Non significatif",
    INDEX(Data_metier!$F:$F,MATCH($A28,Data_metier!$B:$B,0))="Significatif"),
DE_niv_form!Q28+0.5,
DE_niv_form!Q28)</f>
        <v>-1</v>
      </c>
      <c r="R28">
        <f>IF(AND(INDEX(Data_metier!$F:$F,MATCH(R$1,Data_metier!$B:$B,0))="Non significatif",
    INDEX(Data_metier!$F:$F,MATCH($A28,Data_metier!$B:$B,0))="Significatif"),
DE_niv_form!R28+0.5,
DE_niv_form!R28)</f>
        <v>-1</v>
      </c>
      <c r="S28">
        <f>IF(AND(INDEX(Data_metier!$F:$F,MATCH(S$1,Data_metier!$B:$B,0))="Non significatif",
    INDEX(Data_metier!$F:$F,MATCH($A28,Data_metier!$B:$B,0))="Significatif"),
DE_niv_form!S28+0.5,
DE_niv_form!S28)</f>
        <v>1</v>
      </c>
      <c r="T28">
        <f>IF(AND(INDEX(Data_metier!$F:$F,MATCH(T$1,Data_metier!$B:$B,0))="Non significatif",
    INDEX(Data_metier!$F:$F,MATCH($A28,Data_metier!$B:$B,0))="Significatif"),
DE_niv_form!T28+0.5,
DE_niv_form!T28)</f>
        <v>1</v>
      </c>
      <c r="U28">
        <f>IF(AND(INDEX(Data_metier!$F:$F,MATCH(U$1,Data_metier!$B:$B,0))="Non significatif",
    INDEX(Data_metier!$F:$F,MATCH($A28,Data_metier!$B:$B,0))="Significatif"),
DE_niv_form!U28+0.5,
DE_niv_form!U28)</f>
        <v>1</v>
      </c>
      <c r="V28">
        <f>IF(AND(INDEX(Data_metier!$F:$F,MATCH(V$1,Data_metier!$B:$B,0))="Non significatif",
    INDEX(Data_metier!$F:$F,MATCH($A28,Data_metier!$B:$B,0))="Significatif"),
DE_niv_form!V28+0.5,
DE_niv_form!V28)</f>
        <v>0</v>
      </c>
      <c r="W28">
        <f>IF(AND(INDEX(Data_metier!$F:$F,MATCH(W$1,Data_metier!$B:$B,0))="Non significatif",
    INDEX(Data_metier!$F:$F,MATCH($A28,Data_metier!$B:$B,0))="Significatif"),
DE_niv_form!W28+0.5,
DE_niv_form!W28)</f>
        <v>0</v>
      </c>
      <c r="X28">
        <f>IF(AND(INDEX(Data_metier!$F:$F,MATCH(X$1,Data_metier!$B:$B,0))="Non significatif",
    INDEX(Data_metier!$F:$F,MATCH($A28,Data_metier!$B:$B,0))="Significatif"),
DE_niv_form!X28+0.5,
DE_niv_form!X28)</f>
        <v>-1</v>
      </c>
      <c r="Y28">
        <f>IF(AND(INDEX(Data_metier!$F:$F,MATCH(Y$1,Data_metier!$B:$B,0))="Non significatif",
    INDEX(Data_metier!$F:$F,MATCH($A28,Data_metier!$B:$B,0))="Significatif"),
DE_niv_form!Y28+0.5,
DE_niv_form!Y28)</f>
        <v>1</v>
      </c>
      <c r="Z28">
        <f>IF(AND(INDEX(Data_metier!$F:$F,MATCH(Z$1,Data_metier!$B:$B,0))="Non significatif",
    INDEX(Data_metier!$F:$F,MATCH($A28,Data_metier!$B:$B,0))="Significatif"),
DE_niv_form!Z28+0.5,
DE_niv_form!Z28)</f>
        <v>1</v>
      </c>
      <c r="AA28">
        <f>IF(AND(INDEX(Data_metier!$F:$F,MATCH(AA$1,Data_metier!$B:$B,0))="Non significatif",
    INDEX(Data_metier!$F:$F,MATCH($A28,Data_metier!$B:$B,0))="Significatif"),
DE_niv_form!AA28+0.5,
DE_niv_form!AA28)</f>
        <v>1</v>
      </c>
      <c r="AB28">
        <f>IF(AND(INDEX(Data_metier!$F:$F,MATCH(AB$1,Data_metier!$B:$B,0))="Non significatif",
    INDEX(Data_metier!$F:$F,MATCH($A28,Data_metier!$B:$B,0))="Significatif"),
DE_niv_form!AB28+0.5,
DE_niv_form!AB28)</f>
        <v>0</v>
      </c>
      <c r="AC28">
        <f>IF(AND(INDEX(Data_metier!$F:$F,MATCH(AC$1,Data_metier!$B:$B,0))="Non significatif",
    INDEX(Data_metier!$F:$F,MATCH($A28,Data_metier!$B:$B,0))="Significatif"),
DE_niv_form!AC28+0.5,
DE_niv_form!AC28)</f>
        <v>0</v>
      </c>
      <c r="AD28">
        <f>IF(AND(INDEX(Data_metier!$F:$F,MATCH(AD$1,Data_metier!$B:$B,0))="Non significatif",
    INDEX(Data_metier!$F:$F,MATCH($A28,Data_metier!$B:$B,0))="Significatif"),
DE_niv_form!AD28+0.5,
DE_niv_form!AD28)</f>
        <v>-1</v>
      </c>
    </row>
    <row r="29" spans="1:30">
      <c r="A29" t="str">
        <v>Mécanicien(ne)-sertisseur(euse)</v>
      </c>
      <c r="B29">
        <f>IF(AND(INDEX(Data_metier!$F:$F,MATCH(B$1,Data_metier!$B:$B,0))="Non significatif",
    INDEX(Data_metier!$F:$F,MATCH($A29,Data_metier!$B:$B,0))="Significatif"),
DE_niv_form!B29+0.5,
DE_niv_form!B29)</f>
        <v>0</v>
      </c>
      <c r="C29">
        <f>IF(AND(INDEX(Data_metier!$F:$F,MATCH(C$1,Data_metier!$B:$B,0))="Non significatif",
    INDEX(Data_metier!$F:$F,MATCH($A29,Data_metier!$B:$B,0))="Significatif"),
DE_niv_form!C29+0.5,
DE_niv_form!C29)</f>
        <v>0</v>
      </c>
      <c r="D29">
        <f>IF(AND(INDEX(Data_metier!$F:$F,MATCH(D$1,Data_metier!$B:$B,0))="Non significatif",
    INDEX(Data_metier!$F:$F,MATCH($A29,Data_metier!$B:$B,0))="Significatif"),
DE_niv_form!D29+0.5,
DE_niv_form!D29)</f>
        <v>1</v>
      </c>
      <c r="E29">
        <f>IF(AND(INDEX(Data_metier!$F:$F,MATCH(E$1,Data_metier!$B:$B,0))="Non significatif",
    INDEX(Data_metier!$F:$F,MATCH($A29,Data_metier!$B:$B,0))="Significatif"),
DE_niv_form!E29+0.5,
DE_niv_form!E29)</f>
        <v>-1</v>
      </c>
      <c r="F29">
        <f>IF(AND(INDEX(Data_metier!$F:$F,MATCH(F$1,Data_metier!$B:$B,0))="Non significatif",
    INDEX(Data_metier!$F:$F,MATCH($A29,Data_metier!$B:$B,0))="Significatif"),
DE_niv_form!F29+0.5,
DE_niv_form!F29)</f>
        <v>-1</v>
      </c>
      <c r="G29">
        <f>IF(AND(INDEX(Data_metier!$F:$F,MATCH(G$1,Data_metier!$B:$B,0))="Non significatif",
    INDEX(Data_metier!$F:$F,MATCH($A29,Data_metier!$B:$B,0))="Significatif"),
DE_niv_form!G29+0.5,
DE_niv_form!G29)</f>
        <v>-1</v>
      </c>
      <c r="H29">
        <f>IF(AND(INDEX(Data_metier!$F:$F,MATCH(H$1,Data_metier!$B:$B,0))="Non significatif",
    INDEX(Data_metier!$F:$F,MATCH($A29,Data_metier!$B:$B,0))="Significatif"),
DE_niv_form!H29+0.5,
DE_niv_form!H29)</f>
        <v>-1</v>
      </c>
      <c r="I29">
        <f>IF(AND(INDEX(Data_metier!$F:$F,MATCH(I$1,Data_metier!$B:$B,0))="Non significatif",
    INDEX(Data_metier!$F:$F,MATCH($A29,Data_metier!$B:$B,0))="Significatif"),
DE_niv_form!I29+0.5,
DE_niv_form!I29)</f>
        <v>1</v>
      </c>
      <c r="J29">
        <f>IF(AND(INDEX(Data_metier!$F:$F,MATCH(J$1,Data_metier!$B:$B,0))="Non significatif",
    INDEX(Data_metier!$F:$F,MATCH($A29,Data_metier!$B:$B,0))="Significatif"),
DE_niv_form!J29+0.5,
DE_niv_form!J29)</f>
        <v>-1</v>
      </c>
      <c r="K29">
        <f>IF(AND(INDEX(Data_metier!$F:$F,MATCH(K$1,Data_metier!$B:$B,0))="Non significatif",
    INDEX(Data_metier!$F:$F,MATCH($A29,Data_metier!$B:$B,0))="Significatif"),
DE_niv_form!K29+0.5,
DE_niv_form!K29)</f>
        <v>-1</v>
      </c>
      <c r="L29">
        <f>IF(AND(INDEX(Data_metier!$F:$F,MATCH(L$1,Data_metier!$B:$B,0))="Non significatif",
    INDEX(Data_metier!$F:$F,MATCH($A29,Data_metier!$B:$B,0))="Significatif"),
DE_niv_form!L29+0.5,
DE_niv_form!L29)</f>
        <v>1</v>
      </c>
      <c r="M29">
        <f>IF(AND(INDEX(Data_metier!$F:$F,MATCH(M$1,Data_metier!$B:$B,0))="Non significatif",
    INDEX(Data_metier!$F:$F,MATCH($A29,Data_metier!$B:$B,0))="Significatif"),
DE_niv_form!M29+0.5,
DE_niv_form!M29)</f>
        <v>0</v>
      </c>
      <c r="N29">
        <f>IF(AND(INDEX(Data_metier!$F:$F,MATCH(N$1,Data_metier!$B:$B,0))="Non significatif",
    INDEX(Data_metier!$F:$F,MATCH($A29,Data_metier!$B:$B,0))="Significatif"),
DE_niv_form!N29+0.5,
DE_niv_form!N29)</f>
        <v>-1</v>
      </c>
      <c r="O29">
        <f>IF(AND(INDEX(Data_metier!$F:$F,MATCH(O$1,Data_metier!$B:$B,0))="Non significatif",
    INDEX(Data_metier!$F:$F,MATCH($A29,Data_metier!$B:$B,0))="Significatif"),
DE_niv_form!O29+0.5,
DE_niv_form!O29)</f>
        <v>1</v>
      </c>
      <c r="P29">
        <f>IF(AND(INDEX(Data_metier!$F:$F,MATCH(P$1,Data_metier!$B:$B,0))="Non significatif",
    INDEX(Data_metier!$F:$F,MATCH($A29,Data_metier!$B:$B,0))="Significatif"),
DE_niv_form!P29+0.5,
DE_niv_form!P29)</f>
        <v>1</v>
      </c>
      <c r="Q29">
        <f>IF(AND(INDEX(Data_metier!$F:$F,MATCH(Q$1,Data_metier!$B:$B,0))="Non significatif",
    INDEX(Data_metier!$F:$F,MATCH($A29,Data_metier!$B:$B,0))="Significatif"),
DE_niv_form!Q29+0.5,
DE_niv_form!Q29)</f>
        <v>-1</v>
      </c>
      <c r="R29">
        <f>IF(AND(INDEX(Data_metier!$F:$F,MATCH(R$1,Data_metier!$B:$B,0))="Non significatif",
    INDEX(Data_metier!$F:$F,MATCH($A29,Data_metier!$B:$B,0))="Significatif"),
DE_niv_form!R29+0.5,
DE_niv_form!R29)</f>
        <v>-1</v>
      </c>
      <c r="S29">
        <f>IF(AND(INDEX(Data_metier!$F:$F,MATCH(S$1,Data_metier!$B:$B,0))="Non significatif",
    INDEX(Data_metier!$F:$F,MATCH($A29,Data_metier!$B:$B,0))="Significatif"),
DE_niv_form!S29+0.5,
DE_niv_form!S29)</f>
        <v>1</v>
      </c>
      <c r="T29">
        <f>IF(AND(INDEX(Data_metier!$F:$F,MATCH(T$1,Data_metier!$B:$B,0))="Non significatif",
    INDEX(Data_metier!$F:$F,MATCH($A29,Data_metier!$B:$B,0))="Significatif"),
DE_niv_form!T29+0.5,
DE_niv_form!T29)</f>
        <v>1</v>
      </c>
      <c r="U29">
        <f>IF(AND(INDEX(Data_metier!$F:$F,MATCH(U$1,Data_metier!$B:$B,0))="Non significatif",
    INDEX(Data_metier!$F:$F,MATCH($A29,Data_metier!$B:$B,0))="Significatif"),
DE_niv_form!U29+0.5,
DE_niv_form!U29)</f>
        <v>1</v>
      </c>
      <c r="V29">
        <f>IF(AND(INDEX(Data_metier!$F:$F,MATCH(V$1,Data_metier!$B:$B,0))="Non significatif",
    INDEX(Data_metier!$F:$F,MATCH($A29,Data_metier!$B:$B,0))="Significatif"),
DE_niv_form!V29+0.5,
DE_niv_form!V29)</f>
        <v>0</v>
      </c>
      <c r="W29">
        <f>IF(AND(INDEX(Data_metier!$F:$F,MATCH(W$1,Data_metier!$B:$B,0))="Non significatif",
    INDEX(Data_metier!$F:$F,MATCH($A29,Data_metier!$B:$B,0))="Significatif"),
DE_niv_form!W29+0.5,
DE_niv_form!W29)</f>
        <v>0</v>
      </c>
      <c r="X29">
        <f>IF(AND(INDEX(Data_metier!$F:$F,MATCH(X$1,Data_metier!$B:$B,0))="Non significatif",
    INDEX(Data_metier!$F:$F,MATCH($A29,Data_metier!$B:$B,0))="Significatif"),
DE_niv_form!X29+0.5,
DE_niv_form!X29)</f>
        <v>-1</v>
      </c>
      <c r="Y29">
        <f>IF(AND(INDEX(Data_metier!$F:$F,MATCH(Y$1,Data_metier!$B:$B,0))="Non significatif",
    INDEX(Data_metier!$F:$F,MATCH($A29,Data_metier!$B:$B,0))="Significatif"),
DE_niv_form!Y29+0.5,
DE_niv_form!Y29)</f>
        <v>1</v>
      </c>
      <c r="Z29">
        <f>IF(AND(INDEX(Data_metier!$F:$F,MATCH(Z$1,Data_metier!$B:$B,0))="Non significatif",
    INDEX(Data_metier!$F:$F,MATCH($A29,Data_metier!$B:$B,0))="Significatif"),
DE_niv_form!Z29+0.5,
DE_niv_form!Z29)</f>
        <v>1</v>
      </c>
      <c r="AA29">
        <f>IF(AND(INDEX(Data_metier!$F:$F,MATCH(AA$1,Data_metier!$B:$B,0))="Non significatif",
    INDEX(Data_metier!$F:$F,MATCH($A29,Data_metier!$B:$B,0))="Significatif"),
DE_niv_form!AA29+0.5,
DE_niv_form!AA29)</f>
        <v>1</v>
      </c>
      <c r="AB29">
        <f>IF(AND(INDEX(Data_metier!$F:$F,MATCH(AB$1,Data_metier!$B:$B,0))="Non significatif",
    INDEX(Data_metier!$F:$F,MATCH($A29,Data_metier!$B:$B,0))="Significatif"),
DE_niv_form!AB29+0.5,
DE_niv_form!AB29)</f>
        <v>0</v>
      </c>
      <c r="AC29">
        <f>IF(AND(INDEX(Data_metier!$F:$F,MATCH(AC$1,Data_metier!$B:$B,0))="Non significatif",
    INDEX(Data_metier!$F:$F,MATCH($A29,Data_metier!$B:$B,0))="Significatif"),
DE_niv_form!AC29+0.5,
DE_niv_form!AC29)</f>
        <v>0</v>
      </c>
      <c r="AD29">
        <f>IF(AND(INDEX(Data_metier!$F:$F,MATCH(AD$1,Data_metier!$B:$B,0))="Non significatif",
    INDEX(Data_metier!$F:$F,MATCH($A29,Data_metier!$B:$B,0))="Significatif"),
DE_niv_form!AD29+0.5,
DE_niv_form!AD29)</f>
        <v>-1</v>
      </c>
    </row>
    <row r="30" spans="1:30">
      <c r="A30" t="str">
        <v>Electromécanicien(ne) de maintenance industrielle</v>
      </c>
      <c r="B30">
        <f>IF(AND(INDEX(Data_metier!$F:$F,MATCH(B$1,Data_metier!$B:$B,0))="Non significatif",
    INDEX(Data_metier!$F:$F,MATCH($A30,Data_metier!$B:$B,0))="Significatif"),
DE_niv_form!B30+0.5,
DE_niv_form!B30)</f>
        <v>1</v>
      </c>
      <c r="C30">
        <f>IF(AND(INDEX(Data_metier!$F:$F,MATCH(C$1,Data_metier!$B:$B,0))="Non significatif",
    INDEX(Data_metier!$F:$F,MATCH($A30,Data_metier!$B:$B,0))="Significatif"),
DE_niv_form!C30+0.5,
DE_niv_form!C30)</f>
        <v>1</v>
      </c>
      <c r="D30">
        <f>IF(AND(INDEX(Data_metier!$F:$F,MATCH(D$1,Data_metier!$B:$B,0))="Non significatif",
    INDEX(Data_metier!$F:$F,MATCH($A30,Data_metier!$B:$B,0))="Significatif"),
DE_niv_form!D30+0.5,
DE_niv_form!D30)</f>
        <v>2</v>
      </c>
      <c r="E30">
        <f>IF(AND(INDEX(Data_metier!$F:$F,MATCH(E$1,Data_metier!$B:$B,0))="Non significatif",
    INDEX(Data_metier!$F:$F,MATCH($A30,Data_metier!$B:$B,0))="Significatif"),
DE_niv_form!E30+0.5,
DE_niv_form!E30)</f>
        <v>-1</v>
      </c>
      <c r="F30">
        <f>IF(AND(INDEX(Data_metier!$F:$F,MATCH(F$1,Data_metier!$B:$B,0))="Non significatif",
    INDEX(Data_metier!$F:$F,MATCH($A30,Data_metier!$B:$B,0))="Significatif"),
DE_niv_form!F30+0.5,
DE_niv_form!F30)</f>
        <v>-1</v>
      </c>
      <c r="G30">
        <f>IF(AND(INDEX(Data_metier!$F:$F,MATCH(G$1,Data_metier!$B:$B,0))="Non significatif",
    INDEX(Data_metier!$F:$F,MATCH($A30,Data_metier!$B:$B,0))="Significatif"),
DE_niv_form!G30+0.5,
DE_niv_form!G30)</f>
        <v>-1</v>
      </c>
      <c r="H30">
        <f>IF(AND(INDEX(Data_metier!$F:$F,MATCH(H$1,Data_metier!$B:$B,0))="Non significatif",
    INDEX(Data_metier!$F:$F,MATCH($A30,Data_metier!$B:$B,0))="Significatif"),
DE_niv_form!H30+0.5,
DE_niv_form!H30)</f>
        <v>-1</v>
      </c>
      <c r="I30">
        <f>IF(AND(INDEX(Data_metier!$F:$F,MATCH(I$1,Data_metier!$B:$B,0))="Non significatif",
    INDEX(Data_metier!$F:$F,MATCH($A30,Data_metier!$B:$B,0))="Significatif"),
DE_niv_form!I30+0.5,
DE_niv_form!I30)</f>
        <v>2</v>
      </c>
      <c r="J30">
        <f>IF(AND(INDEX(Data_metier!$F:$F,MATCH(J$1,Data_metier!$B:$B,0))="Non significatif",
    INDEX(Data_metier!$F:$F,MATCH($A30,Data_metier!$B:$B,0))="Significatif"),
DE_niv_form!J30+0.5,
DE_niv_form!J30)</f>
        <v>-1</v>
      </c>
      <c r="K30">
        <f>IF(AND(INDEX(Data_metier!$F:$F,MATCH(K$1,Data_metier!$B:$B,0))="Non significatif",
    INDEX(Data_metier!$F:$F,MATCH($A30,Data_metier!$B:$B,0))="Significatif"),
DE_niv_form!K30+0.5,
DE_niv_form!K30)</f>
        <v>-1</v>
      </c>
      <c r="L30">
        <f>IF(AND(INDEX(Data_metier!$F:$F,MATCH(L$1,Data_metier!$B:$B,0))="Non significatif",
    INDEX(Data_metier!$F:$F,MATCH($A30,Data_metier!$B:$B,0))="Significatif"),
DE_niv_form!L30+0.5,
DE_niv_form!L30)</f>
        <v>2</v>
      </c>
      <c r="M30">
        <f>IF(AND(INDEX(Data_metier!$F:$F,MATCH(M$1,Data_metier!$B:$B,0))="Non significatif",
    INDEX(Data_metier!$F:$F,MATCH($A30,Data_metier!$B:$B,0))="Significatif"),
DE_niv_form!M30+0.5,
DE_niv_form!M30)</f>
        <v>1</v>
      </c>
      <c r="N30">
        <f>IF(AND(INDEX(Data_metier!$F:$F,MATCH(N$1,Data_metier!$B:$B,0))="Non significatif",
    INDEX(Data_metier!$F:$F,MATCH($A30,Data_metier!$B:$B,0))="Significatif"),
DE_niv_form!N30+0.5,
DE_niv_form!N30)</f>
        <v>-1</v>
      </c>
      <c r="O30">
        <f>IF(AND(INDEX(Data_metier!$F:$F,MATCH(O$1,Data_metier!$B:$B,0))="Non significatif",
    INDEX(Data_metier!$F:$F,MATCH($A30,Data_metier!$B:$B,0))="Significatif"),
DE_niv_form!O30+0.5,
DE_niv_form!O30)</f>
        <v>2</v>
      </c>
      <c r="P30">
        <f>IF(AND(INDEX(Data_metier!$F:$F,MATCH(P$1,Data_metier!$B:$B,0))="Non significatif",
    INDEX(Data_metier!$F:$F,MATCH($A30,Data_metier!$B:$B,0))="Significatif"),
DE_niv_form!P30+0.5,
DE_niv_form!P30)</f>
        <v>2</v>
      </c>
      <c r="Q30">
        <f>IF(AND(INDEX(Data_metier!$F:$F,MATCH(Q$1,Data_metier!$B:$B,0))="Non significatif",
    INDEX(Data_metier!$F:$F,MATCH($A30,Data_metier!$B:$B,0))="Significatif"),
DE_niv_form!Q30+0.5,
DE_niv_form!Q30)</f>
        <v>-1</v>
      </c>
      <c r="R30">
        <f>IF(AND(INDEX(Data_metier!$F:$F,MATCH(R$1,Data_metier!$B:$B,0))="Non significatif",
    INDEX(Data_metier!$F:$F,MATCH($A30,Data_metier!$B:$B,0))="Significatif"),
DE_niv_form!R30+0.5,
DE_niv_form!R30)</f>
        <v>-1</v>
      </c>
      <c r="S30">
        <f>IF(AND(INDEX(Data_metier!$F:$F,MATCH(S$1,Data_metier!$B:$B,0))="Non significatif",
    INDEX(Data_metier!$F:$F,MATCH($A30,Data_metier!$B:$B,0))="Significatif"),
DE_niv_form!S30+0.5,
DE_niv_form!S30)</f>
        <v>2</v>
      </c>
      <c r="T30">
        <f>IF(AND(INDEX(Data_metier!$F:$F,MATCH(T$1,Data_metier!$B:$B,0))="Non significatif",
    INDEX(Data_metier!$F:$F,MATCH($A30,Data_metier!$B:$B,0))="Significatif"),
DE_niv_form!T30+0.5,
DE_niv_form!T30)</f>
        <v>2</v>
      </c>
      <c r="U30">
        <f>IF(AND(INDEX(Data_metier!$F:$F,MATCH(U$1,Data_metier!$B:$B,0))="Non significatif",
    INDEX(Data_metier!$F:$F,MATCH($A30,Data_metier!$B:$B,0))="Significatif"),
DE_niv_form!U30+0.5,
DE_niv_form!U30)</f>
        <v>2</v>
      </c>
      <c r="V30">
        <f>IF(AND(INDEX(Data_metier!$F:$F,MATCH(V$1,Data_metier!$B:$B,0))="Non significatif",
    INDEX(Data_metier!$F:$F,MATCH($A30,Data_metier!$B:$B,0))="Significatif"),
DE_niv_form!V30+0.5,
DE_niv_form!V30)</f>
        <v>1</v>
      </c>
      <c r="W30">
        <f>IF(AND(INDEX(Data_metier!$F:$F,MATCH(W$1,Data_metier!$B:$B,0))="Non significatif",
    INDEX(Data_metier!$F:$F,MATCH($A30,Data_metier!$B:$B,0))="Significatif"),
DE_niv_form!W30+0.5,
DE_niv_form!W30)</f>
        <v>1</v>
      </c>
      <c r="X30">
        <f>IF(AND(INDEX(Data_metier!$F:$F,MATCH(X$1,Data_metier!$B:$B,0))="Non significatif",
    INDEX(Data_metier!$F:$F,MATCH($A30,Data_metier!$B:$B,0))="Significatif"),
DE_niv_form!X30+0.5,
DE_niv_form!X30)</f>
        <v>-1</v>
      </c>
      <c r="Y30">
        <f>IF(AND(INDEX(Data_metier!$F:$F,MATCH(Y$1,Data_metier!$B:$B,0))="Non significatif",
    INDEX(Data_metier!$F:$F,MATCH($A30,Data_metier!$B:$B,0))="Significatif"),
DE_niv_form!Y30+0.5,
DE_niv_form!Y30)</f>
        <v>2</v>
      </c>
      <c r="Z30">
        <f>IF(AND(INDEX(Data_metier!$F:$F,MATCH(Z$1,Data_metier!$B:$B,0))="Non significatif",
    INDEX(Data_metier!$F:$F,MATCH($A30,Data_metier!$B:$B,0))="Significatif"),
DE_niv_form!Z30+0.5,
DE_niv_form!Z30)</f>
        <v>2</v>
      </c>
      <c r="AA30">
        <f>IF(AND(INDEX(Data_metier!$F:$F,MATCH(AA$1,Data_metier!$B:$B,0))="Non significatif",
    INDEX(Data_metier!$F:$F,MATCH($A30,Data_metier!$B:$B,0))="Significatif"),
DE_niv_form!AA30+0.5,
DE_niv_form!AA30)</f>
        <v>2</v>
      </c>
      <c r="AB30">
        <f>IF(AND(INDEX(Data_metier!$F:$F,MATCH(AB$1,Data_metier!$B:$B,0))="Non significatif",
    INDEX(Data_metier!$F:$F,MATCH($A30,Data_metier!$B:$B,0))="Significatif"),
DE_niv_form!AB30+0.5,
DE_niv_form!AB30)</f>
        <v>1</v>
      </c>
      <c r="AC30">
        <f>IF(AND(INDEX(Data_metier!$F:$F,MATCH(AC$1,Data_metier!$B:$B,0))="Non significatif",
    INDEX(Data_metier!$F:$F,MATCH($A30,Data_metier!$B:$B,0))="Significatif"),
DE_niv_form!AC30+0.5,
DE_niv_form!AC30)</f>
        <v>1</v>
      </c>
      <c r="AD30">
        <f>IF(AND(INDEX(Data_metier!$F:$F,MATCH(AD$1,Data_metier!$B:$B,0))="Non significatif",
    INDEX(Data_metier!$F:$F,MATCH($A30,Data_metier!$B:$B,0))="Significatif"),
DE_niv_form!AD30+0.5,
DE_niv_form!AD30)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001F-CEE6-4D0E-893A-6EFC5AEE7F7B}">
  <sheetPr codeName="Feuil7"/>
  <dimension ref="A1:AD30"/>
  <sheetViews>
    <sheetView workbookViewId="0">
      <selection activeCell="B3" sqref="B3"/>
    </sheetView>
  </sheetViews>
  <sheetFormatPr defaultColWidth="11.42578125" defaultRowHeight="15"/>
  <sheetData>
    <row r="1" spans="1:30">
      <c r="B1" t="str" cm="1">
        <f t="array" ref="B1:AD1">TRANSPOSE(Tableau1[INT_METIER])</f>
        <v>Caviste</v>
      </c>
      <c r="C1" t="str">
        <v>Agent de silo</v>
      </c>
      <c r="D1" t="str">
        <v>Opérateur(trice) logistique</v>
      </c>
      <c r="E1" t="str">
        <v>Manager(euse) logistique</v>
      </c>
      <c r="F1" t="str">
        <v>Maître(sse) de chai</v>
      </c>
      <c r="G1" t="str">
        <v>Superviseur(se) de production (fabrication / conditionnement)</v>
      </c>
      <c r="H1" t="str">
        <v>Spécialiste planning / ordonnancement</v>
      </c>
      <c r="I1" t="str">
        <v>Opérateur(trice) logistique</v>
      </c>
      <c r="J1" t="str">
        <v>Logisticien(ne) approvisionneur(se)</v>
      </c>
      <c r="K1" t="str">
        <v>Responsable de production de produits alimentaires (fabrication / conditionnement)</v>
      </c>
      <c r="L1" t="str">
        <v>Chauffeur(se) livreur(se)</v>
      </c>
      <c r="M1" t="str">
        <v>Régleur(se)</v>
      </c>
      <c r="N1" t="str">
        <v>Spécialiste procédés et installations de production alimentaire</v>
      </c>
      <c r="O1" t="str">
        <v>Conducteur(trice) de livraison et de collecte</v>
      </c>
      <c r="P1" t="str">
        <v>Opérateur(trice) hygiène / sanitation</v>
      </c>
      <c r="Q1" t="str">
        <v>Chef(fe) de silo</v>
      </c>
      <c r="R1" t="str">
        <v>Acheteur(se) / négociateur(trice) de matières premières</v>
      </c>
      <c r="S1" t="str">
        <v>Opérateur(trice) de production alimentaire</v>
      </c>
      <c r="T1" t="str">
        <v>Conducteur(trice) de machine(s) de production alimentaire (fabrication / conditionnement)</v>
      </c>
      <c r="U1" t="str">
        <v>Boulanger(ère)/pâtissier(ère) industriel(le)</v>
      </c>
      <c r="V1" t="str">
        <v>Conducteur(trice) de ligne(s)de production alimentaire (fabrication/conditionnement)</v>
      </c>
      <c r="W1" t="str">
        <v>Conducteur(trice) de process de production alimentaire</v>
      </c>
      <c r="X1" t="str">
        <v>Responsable de plateforme/ d’exploitation logistique</v>
      </c>
      <c r="Y1" t="str">
        <v>Opérateur(trice) de transformation des viandes</v>
      </c>
      <c r="Z1" t="str">
        <v>Fromager(ère) industriel(le)</v>
      </c>
      <c r="AA1" t="str">
        <v>Opérateur(trice) de préparation de poissons et de produits de la mer</v>
      </c>
      <c r="AB1" t="str">
        <v>Mécanicien(ne) de maintenance industrielle</v>
      </c>
      <c r="AC1" t="str">
        <v>Mécanicien(ne)-sertisseur(euse)</v>
      </c>
      <c r="AD1" t="str">
        <v>Electromécanicien(ne) de maintenance industrielle</v>
      </c>
    </row>
    <row r="2" spans="1:30">
      <c r="A2" t="str" cm="1">
        <f t="array" ref="A2:A30">Tableau1[INT_METIER]</f>
        <v>Caviste</v>
      </c>
      <c r="B2">
        <f>IF(DE_respon_transv!B2=-1,-1,
DE_respon_transv!B2+IF((MATCH(INDEX(Data_metier!$C:$C,MATCH($A2,Data_metier!$B:$B,0)),{"Non Concerné";"Niveau 1";"Niveau 2";"Niveau 3";"Niveau 4"},0)-1)&gt;(MATCH(INDEX(Data_metier!$C:$C,MATCH(B$1,Data_metier!$B:$B,0)),{"Non Concerné";"Niveau 1";"Niveau 2";"Niveau 3";"Niveau 4"},0)-1),
1/6,0)+IF((MATCH(INDEX(Data_metier!$D:$D,MATCH($A2,Data_metier!$B:$B,0)),{"Non Concerné";"Niveau 1";"Niveau 2";"Niveau 3";"Niveau 4"},0)-1)&gt;(MATCH(INDEX(Data_metier!$D:$D,MATCH(B$1,Data_metier!$B:$B,0)),{"Non Concerné";"Niveau 1";"Niveau 2";"Niveau 3";"Niveau 4"},0)-1),
1/6,0)+IF((MATCH(INDEX(Data_metier!$E:$E,MATCH($A2,Data_metier!$B:$B,0)),{"Non Concerné";"Niveau 1";"Niveau 2";"Niveau 3";"Niveau 4"},0)-1)&gt;(MATCH(INDEX(Data_metier!$E:$E,MATCH(B$1,Data_metier!$B:$B,0)),{"Non Concerné";"Niveau 1";"Niveau 2";"Niveau 3";"Niveau 4"},0)-1),
1/6,0))</f>
        <v>0</v>
      </c>
      <c r="C2">
        <f>IF(DE_respon_transv!C2=-1,-1,
DE_respon_transv!C2+IF((MATCH(INDEX(Data_metier!$C:$C,MATCH($A2,Data_metier!$B:$B,0)),{"Non Concerné";"Niveau 1";"Niveau 2";"Niveau 3";"Niveau 4"},0)-1)&gt;(MATCH(INDEX(Data_metier!$C:$C,MATCH(C$1,Data_metier!$B:$B,0)),{"Non Concerné";"Niveau 1";"Niveau 2";"Niveau 3";"Niveau 4"},0)-1),
1/6,0)+IF((MATCH(INDEX(Data_metier!$D:$D,MATCH($A2,Data_metier!$B:$B,0)),{"Non Concerné";"Niveau 1";"Niveau 2";"Niveau 3";"Niveau 4"},0)-1)&gt;(MATCH(INDEX(Data_metier!$D:$D,MATCH(C$1,Data_metier!$B:$B,0)),{"Non Concerné";"Niveau 1";"Niveau 2";"Niveau 3";"Niveau 4"},0)-1),
1/6,0)+IF((MATCH(INDEX(Data_metier!$E:$E,MATCH($A2,Data_metier!$B:$B,0)),{"Non Concerné";"Niveau 1";"Niveau 2";"Niveau 3";"Niveau 4"},0)-1)&gt;(MATCH(INDEX(Data_metier!$E:$E,MATCH(C$1,Data_metier!$B:$B,0)),{"Non Concerné";"Niveau 1";"Niveau 2";"Niveau 3";"Niveau 4"},0)-1),
1/6,0))</f>
        <v>0</v>
      </c>
      <c r="D2">
        <f>IF(DE_respon_transv!D2=-1,-1,
DE_respon_transv!D2+IF((MATCH(INDEX(Data_metier!$C:$C,MATCH($A2,Data_metier!$B:$B,0)),{"Non Concerné";"Niveau 1";"Niveau 2";"Niveau 3";"Niveau 4"},0)-1)&gt;(MATCH(INDEX(Data_metier!$C:$C,MATCH(D$1,Data_metier!$B:$B,0)),{"Non Concerné";"Niveau 1";"Niveau 2";"Niveau 3";"Niveau 4"},0)-1),
1/6,0)+IF((MATCH(INDEX(Data_metier!$D:$D,MATCH($A2,Data_metier!$B:$B,0)),{"Non Concerné";"Niveau 1";"Niveau 2";"Niveau 3";"Niveau 4"},0)-1)&gt;(MATCH(INDEX(Data_metier!$D:$D,MATCH(D$1,Data_metier!$B:$B,0)),{"Non Concerné";"Niveau 1";"Niveau 2";"Niveau 3";"Niveau 4"},0)-1),
1/6,0)+IF((MATCH(INDEX(Data_metier!$E:$E,MATCH($A2,Data_metier!$B:$B,0)),{"Non Concerné";"Niveau 1";"Niveau 2";"Niveau 3";"Niveau 4"},0)-1)&gt;(MATCH(INDEX(Data_metier!$E:$E,MATCH(D$1,Data_metier!$B:$B,0)),{"Non Concerné";"Niveau 1";"Niveau 2";"Niveau 3";"Niveau 4"},0)-1),
1/6,0))</f>
        <v>1</v>
      </c>
      <c r="E2">
        <f>IF(DE_respon_transv!E2=-1,-1,
DE_respon_transv!E2+IF((MATCH(INDEX(Data_metier!$C:$C,MATCH($A2,Data_metier!$B:$B,0)),{"Non Concerné";"Niveau 1";"Niveau 2";"Niveau 3";"Niveau 4"},0)-1)&gt;(MATCH(INDEX(Data_metier!$C:$C,MATCH(E$1,Data_metier!$B:$B,0)),{"Non Concerné";"Niveau 1";"Niveau 2";"Niveau 3";"Niveau 4"},0)-1),
1/6,0)+IF((MATCH(INDEX(Data_metier!$D:$D,MATCH($A2,Data_metier!$B:$B,0)),{"Non Concerné";"Niveau 1";"Niveau 2";"Niveau 3";"Niveau 4"},0)-1)&gt;(MATCH(INDEX(Data_metier!$D:$D,MATCH(E$1,Data_metier!$B:$B,0)),{"Non Concerné";"Niveau 1";"Niveau 2";"Niveau 3";"Niveau 4"},0)-1),
1/6,0)+IF((MATCH(INDEX(Data_metier!$E:$E,MATCH($A2,Data_metier!$B:$B,0)),{"Non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2">
        <f>IF(DE_respon_transv!F2=-1,-1,
DE_respon_transv!F2+IF((MATCH(INDEX(Data_metier!$C:$C,MATCH($A2,Data_metier!$B:$B,0)),{"Non Concerné";"Niveau 1";"Niveau 2";"Niveau 3";"Niveau 4"},0)-1)&gt;(MATCH(INDEX(Data_metier!$C:$C,MATCH(F$1,Data_metier!$B:$B,0)),{"Non Concerné";"Niveau 1";"Niveau 2";"Niveau 3";"Niveau 4"},0)-1),
1/6,0)+IF((MATCH(INDEX(Data_metier!$D:$D,MATCH($A2,Data_metier!$B:$B,0)),{"Non Concerné";"Niveau 1";"Niveau 2";"Niveau 3";"Niveau 4"},0)-1)&gt;(MATCH(INDEX(Data_metier!$D:$D,MATCH(F$1,Data_metier!$B:$B,0)),{"Non Concerné";"Niveau 1";"Niveau 2";"Niveau 3";"Niveau 4"},0)-1),
1/6,0)+IF((MATCH(INDEX(Data_metier!$E:$E,MATCH($A2,Data_metier!$B:$B,0)),{"Non Concerné";"Niveau 1";"Niveau 2";"Niveau 3";"Niveau 4"},0)-1)&gt;(MATCH(INDEX(Data_metier!$E:$E,MATCH(F$1,Data_metier!$B:$B,0)),{"Non Concerné";"Niveau 1";"Niveau 2";"Niveau 3";"Niveau 4"},0)-1),
1/6,0))</f>
        <v>-1</v>
      </c>
      <c r="G2">
        <f>IF(DE_respon_transv!G2=-1,-1,
DE_respon_transv!G2+IF((MATCH(INDEX(Data_metier!$C:$C,MATCH($A2,Data_metier!$B:$B,0)),{"Non Concerné";"Niveau 1";"Niveau 2";"Niveau 3";"Niveau 4"},0)-1)&gt;(MATCH(INDEX(Data_metier!$C:$C,MATCH(G$1,Data_metier!$B:$B,0)),{"Non Concerné";"Niveau 1";"Niveau 2";"Niveau 3";"Niveau 4"},0)-1),
1/6,0)+IF((MATCH(INDEX(Data_metier!$D:$D,MATCH($A2,Data_metier!$B:$B,0)),{"Non Concerné";"Niveau 1";"Niveau 2";"Niveau 3";"Niveau 4"},0)-1)&gt;(MATCH(INDEX(Data_metier!$D:$D,MATCH(G$1,Data_metier!$B:$B,0)),{"Non Concerné";"Niveau 1";"Niveau 2";"Niveau 3";"Niveau 4"},0)-1),
1/6,0)+IF((MATCH(INDEX(Data_metier!$E:$E,MATCH($A2,Data_metier!$B:$B,0)),{"Non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2">
        <f>IF(DE_respon_transv!H2=-1,-1,
DE_respon_transv!H2+IF((MATCH(INDEX(Data_metier!$C:$C,MATCH($A2,Data_metier!$B:$B,0)),{"Non Concerné";"Niveau 1";"Niveau 2";"Niveau 3";"Niveau 4"},0)-1)&gt;(MATCH(INDEX(Data_metier!$C:$C,MATCH(H$1,Data_metier!$B:$B,0)),{"Non Concerné";"Niveau 1";"Niveau 2";"Niveau 3";"Niveau 4"},0)-1),
1/6,0)+IF((MATCH(INDEX(Data_metier!$D:$D,MATCH($A2,Data_metier!$B:$B,0)),{"Non Concerné";"Niveau 1";"Niveau 2";"Niveau 3";"Niveau 4"},0)-1)&gt;(MATCH(INDEX(Data_metier!$D:$D,MATCH(H$1,Data_metier!$B:$B,0)),{"Non Concerné";"Niveau 1";"Niveau 2";"Niveau 3";"Niveau 4"},0)-1),
1/6,0)+IF((MATCH(INDEX(Data_metier!$E:$E,MATCH($A2,Data_metier!$B:$B,0)),{"Non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2">
        <f>IF(DE_respon_transv!I2=-1,-1,
DE_respon_transv!I2+IF((MATCH(INDEX(Data_metier!$C:$C,MATCH($A2,Data_metier!$B:$B,0)),{"Non Concerné";"Niveau 1";"Niveau 2";"Niveau 3";"Niveau 4"},0)-1)&gt;(MATCH(INDEX(Data_metier!$C:$C,MATCH(I$1,Data_metier!$B:$B,0)),{"Non Concerné";"Niveau 1";"Niveau 2";"Niveau 3";"Niveau 4"},0)-1),
1/6,0)+IF((MATCH(INDEX(Data_metier!$D:$D,MATCH($A2,Data_metier!$B:$B,0)),{"Non Concerné";"Niveau 1";"Niveau 2";"Niveau 3";"Niveau 4"},0)-1)&gt;(MATCH(INDEX(Data_metier!$D:$D,MATCH(I$1,Data_metier!$B:$B,0)),{"Non Concerné";"Niveau 1";"Niveau 2";"Niveau 3";"Niveau 4"},0)-1),
1/6,0)+IF((MATCH(INDEX(Data_metier!$E:$E,MATCH($A2,Data_metier!$B:$B,0)),{"Non Concerné";"Niveau 1";"Niveau 2";"Niveau 3";"Niveau 4"},0)-1)&gt;(MATCH(INDEX(Data_metier!$E:$E,MATCH(I$1,Data_metier!$B:$B,0)),{"Non Concerné";"Niveau 1";"Niveau 2";"Niveau 3";"Niveau 4"},0)-1),
1/6,0))</f>
        <v>1</v>
      </c>
      <c r="J2">
        <f>IF(DE_respon_transv!J2=-1,-1,
DE_respon_transv!J2+IF((MATCH(INDEX(Data_metier!$C:$C,MATCH($A2,Data_metier!$B:$B,0)),{"Non Concerné";"Niveau 1";"Niveau 2";"Niveau 3";"Niveau 4"},0)-1)&gt;(MATCH(INDEX(Data_metier!$C:$C,MATCH(J$1,Data_metier!$B:$B,0)),{"Non Concerné";"Niveau 1";"Niveau 2";"Niveau 3";"Niveau 4"},0)-1),
1/6,0)+IF((MATCH(INDEX(Data_metier!$D:$D,MATCH($A2,Data_metier!$B:$B,0)),{"Non Concerné";"Niveau 1";"Niveau 2";"Niveau 3";"Niveau 4"},0)-1)&gt;(MATCH(INDEX(Data_metier!$D:$D,MATCH(J$1,Data_metier!$B:$B,0)),{"Non Concerné";"Niveau 1";"Niveau 2";"Niveau 3";"Niveau 4"},0)-1),
1/6,0)+IF((MATCH(INDEX(Data_metier!$E:$E,MATCH($A2,Data_metier!$B:$B,0)),{"Non Concerné";"Niveau 1";"Niveau 2";"Niveau 3";"Niveau 4"},0)-1)&gt;(MATCH(INDEX(Data_metier!$E:$E,MATCH(J$1,Data_metier!$B:$B,0)),{"Non Concerné";"Niveau 1";"Niveau 2";"Niveau 3";"Niveau 4"},0)-1),
1/6,0))</f>
        <v>-1</v>
      </c>
      <c r="K2">
        <f>IF(DE_respon_transv!K2=-1,-1,
DE_respon_transv!K2+IF((MATCH(INDEX(Data_metier!$C:$C,MATCH($A2,Data_metier!$B:$B,0)),{"Non Concerné";"Niveau 1";"Niveau 2";"Niveau 3";"Niveau 4"},0)-1)&gt;(MATCH(INDEX(Data_metier!$C:$C,MATCH(K$1,Data_metier!$B:$B,0)),{"Non Concerné";"Niveau 1";"Niveau 2";"Niveau 3";"Niveau 4"},0)-1),
1/6,0)+IF((MATCH(INDEX(Data_metier!$D:$D,MATCH($A2,Data_metier!$B:$B,0)),{"Non Concerné";"Niveau 1";"Niveau 2";"Niveau 3";"Niveau 4"},0)-1)&gt;(MATCH(INDEX(Data_metier!$D:$D,MATCH(K$1,Data_metier!$B:$B,0)),{"Non Concerné";"Niveau 1";"Niveau 2";"Niveau 3";"Niveau 4"},0)-1),
1/6,0)+IF((MATCH(INDEX(Data_metier!$E:$E,MATCH($A2,Data_metier!$B:$B,0)),{"Non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2">
        <f>IF(DE_respon_transv!L2=-1,-1,
DE_respon_transv!L2+IF((MATCH(INDEX(Data_metier!$C:$C,MATCH($A2,Data_metier!$B:$B,0)),{"Non Concerné";"Niveau 1";"Niveau 2";"Niveau 3";"Niveau 4"},0)-1)&gt;(MATCH(INDEX(Data_metier!$C:$C,MATCH(L$1,Data_metier!$B:$B,0)),{"Non Concerné";"Niveau 1";"Niveau 2";"Niveau 3";"Niveau 4"},0)-1),
1/6,0)+IF((MATCH(INDEX(Data_metier!$D:$D,MATCH($A2,Data_metier!$B:$B,0)),{"Non Concerné";"Niveau 1";"Niveau 2";"Niveau 3";"Niveau 4"},0)-1)&gt;(MATCH(INDEX(Data_metier!$D:$D,MATCH(L$1,Data_metier!$B:$B,0)),{"Non Concerné";"Niveau 1";"Niveau 2";"Niveau 3";"Niveau 4"},0)-1),
1/6,0)+IF((MATCH(INDEX(Data_metier!$E:$E,MATCH($A2,Data_metier!$B:$B,0)),{"Non Concerné";"Niveau 1";"Niveau 2";"Niveau 3";"Niveau 4"},0)-1)&gt;(MATCH(INDEX(Data_metier!$E:$E,MATCH(L$1,Data_metier!$B:$B,0)),{"Non Concerné";"Niveau 1";"Niveau 2";"Niveau 3";"Niveau 4"},0)-1),
1/6,0))</f>
        <v>1</v>
      </c>
      <c r="M2">
        <f>IF(DE_respon_transv!M2=-1,-1,
DE_respon_transv!M2+IF((MATCH(INDEX(Data_metier!$C:$C,MATCH($A2,Data_metier!$B:$B,0)),{"Non Concerné";"Niveau 1";"Niveau 2";"Niveau 3";"Niveau 4"},0)-1)&gt;(MATCH(INDEX(Data_metier!$C:$C,MATCH(M$1,Data_metier!$B:$B,0)),{"Non Concerné";"Niveau 1";"Niveau 2";"Niveau 3";"Niveau 4"},0)-1),
1/6,0)+IF((MATCH(INDEX(Data_metier!$D:$D,MATCH($A2,Data_metier!$B:$B,0)),{"Non Concerné";"Niveau 1";"Niveau 2";"Niveau 3";"Niveau 4"},0)-1)&gt;(MATCH(INDEX(Data_metier!$D:$D,MATCH(M$1,Data_metier!$B:$B,0)),{"Non Concerné";"Niveau 1";"Niveau 2";"Niveau 3";"Niveau 4"},0)-1),
1/6,0)+IF((MATCH(INDEX(Data_metier!$E:$E,MATCH($A2,Data_metier!$B:$B,0)),{"Non Concerné";"Niveau 1";"Niveau 2";"Niveau 3";"Niveau 4"},0)-1)&gt;(MATCH(INDEX(Data_metier!$E:$E,MATCH(M$1,Data_metier!$B:$B,0)),{"Non Concerné";"Niveau 1";"Niveau 2";"Niveau 3";"Niveau 4"},0)-1),
1/6,0))</f>
        <v>0</v>
      </c>
      <c r="N2">
        <f>IF(DE_respon_transv!N2=-1,-1,
DE_respon_transv!N2+IF((MATCH(INDEX(Data_metier!$C:$C,MATCH($A2,Data_metier!$B:$B,0)),{"Non Concerné";"Niveau 1";"Niveau 2";"Niveau 3";"Niveau 4"},0)-1)&gt;(MATCH(INDEX(Data_metier!$C:$C,MATCH(N$1,Data_metier!$B:$B,0)),{"Non Concerné";"Niveau 1";"Niveau 2";"Niveau 3";"Niveau 4"},0)-1),
1/6,0)+IF((MATCH(INDEX(Data_metier!$D:$D,MATCH($A2,Data_metier!$B:$B,0)),{"Non Concerné";"Niveau 1";"Niveau 2";"Niveau 3";"Niveau 4"},0)-1)&gt;(MATCH(INDEX(Data_metier!$D:$D,MATCH(N$1,Data_metier!$B:$B,0)),{"Non Concerné";"Niveau 1";"Niveau 2";"Niveau 3";"Niveau 4"},0)-1),
1/6,0)+IF((MATCH(INDEX(Data_metier!$E:$E,MATCH($A2,Data_metier!$B:$B,0)),{"Non Concerné";"Niveau 1";"Niveau 2";"Niveau 3";"Niveau 4"},0)-1)&gt;(MATCH(INDEX(Data_metier!$E:$E,MATCH(N$1,Data_metier!$B:$B,0)),{"Non Concerné";"Niveau 1";"Niveau 2";"Niveau 3";"Niveau 4"},0)-1),
1/6,0))</f>
        <v>-1</v>
      </c>
      <c r="O2">
        <f>IF(DE_respon_transv!O2=-1,-1,
DE_respon_transv!O2+IF((MATCH(INDEX(Data_metier!$C:$C,MATCH($A2,Data_metier!$B:$B,0)),{"Non Concerné";"Niveau 1";"Niveau 2";"Niveau 3";"Niveau 4"},0)-1)&gt;(MATCH(INDEX(Data_metier!$C:$C,MATCH(O$1,Data_metier!$B:$B,0)),{"Non Concerné";"Niveau 1";"Niveau 2";"Niveau 3";"Niveau 4"},0)-1),
1/6,0)+IF((MATCH(INDEX(Data_metier!$D:$D,MATCH($A2,Data_metier!$B:$B,0)),{"Non Concerné";"Niveau 1";"Niveau 2";"Niveau 3";"Niveau 4"},0)-1)&gt;(MATCH(INDEX(Data_metier!$D:$D,MATCH(O$1,Data_metier!$B:$B,0)),{"Non Concerné";"Niveau 1";"Niveau 2";"Niveau 3";"Niveau 4"},0)-1),
1/6,0)+IF((MATCH(INDEX(Data_metier!$E:$E,MATCH($A2,Data_metier!$B:$B,0)),{"Non Concerné";"Niveau 1";"Niveau 2";"Niveau 3";"Niveau 4"},0)-1)&gt;(MATCH(INDEX(Data_metier!$E:$E,MATCH(O$1,Data_metier!$B:$B,0)),{"Non Concerné";"Niveau 1";"Niveau 2";"Niveau 3";"Niveau 4"},0)-1),
1/6,0))</f>
        <v>1</v>
      </c>
      <c r="P2">
        <f>IF(DE_respon_transv!P2=-1,-1,
DE_respon_transv!P2+IF((MATCH(INDEX(Data_metier!$C:$C,MATCH($A2,Data_metier!$B:$B,0)),{"Non Concerné";"Niveau 1";"Niveau 2";"Niveau 3";"Niveau 4"},0)-1)&gt;(MATCH(INDEX(Data_metier!$C:$C,MATCH(P$1,Data_metier!$B:$B,0)),{"Non Concerné";"Niveau 1";"Niveau 2";"Niveau 3";"Niveau 4"},0)-1),
1/6,0)+IF((MATCH(INDEX(Data_metier!$D:$D,MATCH($A2,Data_metier!$B:$B,0)),{"Non Concerné";"Niveau 1";"Niveau 2";"Niveau 3";"Niveau 4"},0)-1)&gt;(MATCH(INDEX(Data_metier!$D:$D,MATCH(P$1,Data_metier!$B:$B,0)),{"Non Concerné";"Niveau 1";"Niveau 2";"Niveau 3";"Niveau 4"},0)-1),
1/6,0)+IF((MATCH(INDEX(Data_metier!$E:$E,MATCH($A2,Data_metier!$B:$B,0)),{"Non Concerné";"Niveau 1";"Niveau 2";"Niveau 3";"Niveau 4"},0)-1)&gt;(MATCH(INDEX(Data_metier!$E:$E,MATCH(P$1,Data_metier!$B:$B,0)),{"Non Concerné";"Niveau 1";"Niveau 2";"Niveau 3";"Niveau 4"},0)-1),
1/6,0))</f>
        <v>1</v>
      </c>
      <c r="Q2">
        <f>IF(DE_respon_transv!Q2=-1,-1,
DE_respon_transv!Q2+IF((MATCH(INDEX(Data_metier!$C:$C,MATCH($A2,Data_metier!$B:$B,0)),{"Non Concerné";"Niveau 1";"Niveau 2";"Niveau 3";"Niveau 4"},0)-1)&gt;(MATCH(INDEX(Data_metier!$C:$C,MATCH(Q$1,Data_metier!$B:$B,0)),{"Non Concerné";"Niveau 1";"Niveau 2";"Niveau 3";"Niveau 4"},0)-1),
1/6,0)+IF((MATCH(INDEX(Data_metier!$D:$D,MATCH($A2,Data_metier!$B:$B,0)),{"Non Concerné";"Niveau 1";"Niveau 2";"Niveau 3";"Niveau 4"},0)-1)&gt;(MATCH(INDEX(Data_metier!$D:$D,MATCH(Q$1,Data_metier!$B:$B,0)),{"Non Concerné";"Niveau 1";"Niveau 2";"Niveau 3";"Niveau 4"},0)-1),
1/6,0)+IF((MATCH(INDEX(Data_metier!$E:$E,MATCH($A2,Data_metier!$B:$B,0)),{"Non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2">
        <f>IF(DE_respon_transv!R2=-1,-1,
DE_respon_transv!R2+IF((MATCH(INDEX(Data_metier!$C:$C,MATCH($A2,Data_metier!$B:$B,0)),{"Non Concerné";"Niveau 1";"Niveau 2";"Niveau 3";"Niveau 4"},0)-1)&gt;(MATCH(INDEX(Data_metier!$C:$C,MATCH(R$1,Data_metier!$B:$B,0)),{"Non Concerné";"Niveau 1";"Niveau 2";"Niveau 3";"Niveau 4"},0)-1),
1/6,0)+IF((MATCH(INDEX(Data_metier!$D:$D,MATCH($A2,Data_metier!$B:$B,0)),{"Non Concerné";"Niveau 1";"Niveau 2";"Niveau 3";"Niveau 4"},0)-1)&gt;(MATCH(INDEX(Data_metier!$D:$D,MATCH(R$1,Data_metier!$B:$B,0)),{"Non Concerné";"Niveau 1";"Niveau 2";"Niveau 3";"Niveau 4"},0)-1),
1/6,0)+IF((MATCH(INDEX(Data_metier!$E:$E,MATCH($A2,Data_metier!$B:$B,0)),{"Non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2">
        <f>IF(DE_respon_transv!S2=-1,-1,
DE_respon_transv!S2+IF((MATCH(INDEX(Data_metier!$C:$C,MATCH($A2,Data_metier!$B:$B,0)),{"Non Concerné";"Niveau 1";"Niveau 2";"Niveau 3";"Niveau 4"},0)-1)&gt;(MATCH(INDEX(Data_metier!$C:$C,MATCH(S$1,Data_metier!$B:$B,0)),{"Non Concerné";"Niveau 1";"Niveau 2";"Niveau 3";"Niveau 4"},0)-1),
1/6,0)+IF((MATCH(INDEX(Data_metier!$D:$D,MATCH($A2,Data_metier!$B:$B,0)),{"Non Concerné";"Niveau 1";"Niveau 2";"Niveau 3";"Niveau 4"},0)-1)&gt;(MATCH(INDEX(Data_metier!$D:$D,MATCH(S$1,Data_metier!$B:$B,0)),{"Non Concerné";"Niveau 1";"Niveau 2";"Niveau 3";"Niveau 4"},0)-1),
1/6,0)+IF((MATCH(INDEX(Data_metier!$E:$E,MATCH($A2,Data_metier!$B:$B,0)),{"Non Concerné";"Niveau 1";"Niveau 2";"Niveau 3";"Niveau 4"},0)-1)&gt;(MATCH(INDEX(Data_metier!$E:$E,MATCH(S$1,Data_metier!$B:$B,0)),{"Non Concerné";"Niveau 1";"Niveau 2";"Niveau 3";"Niveau 4"},0)-1),
1/6,0))</f>
        <v>1</v>
      </c>
      <c r="T2">
        <f>IF(DE_respon_transv!T2=-1,-1,
DE_respon_transv!T2+IF((MATCH(INDEX(Data_metier!$C:$C,MATCH($A2,Data_metier!$B:$B,0)),{"Non Concerné";"Niveau 1";"Niveau 2";"Niveau 3";"Niveau 4"},0)-1)&gt;(MATCH(INDEX(Data_metier!$C:$C,MATCH(T$1,Data_metier!$B:$B,0)),{"Non Concerné";"Niveau 1";"Niveau 2";"Niveau 3";"Niveau 4"},0)-1),
1/6,0)+IF((MATCH(INDEX(Data_metier!$D:$D,MATCH($A2,Data_metier!$B:$B,0)),{"Non Concerné";"Niveau 1";"Niveau 2";"Niveau 3";"Niveau 4"},0)-1)&gt;(MATCH(INDEX(Data_metier!$D:$D,MATCH(T$1,Data_metier!$B:$B,0)),{"Non Concerné";"Niveau 1";"Niveau 2";"Niveau 3";"Niveau 4"},0)-1),
1/6,0)+IF((MATCH(INDEX(Data_metier!$E:$E,MATCH($A2,Data_metier!$B:$B,0)),{"Non Concerné";"Niveau 1";"Niveau 2";"Niveau 3";"Niveau 4"},0)-1)&gt;(MATCH(INDEX(Data_metier!$E:$E,MATCH(T$1,Data_metier!$B:$B,0)),{"Non Concerné";"Niveau 1";"Niveau 2";"Niveau 3";"Niveau 4"},0)-1),
1/6,0))</f>
        <v>1</v>
      </c>
      <c r="U2">
        <f>IF(DE_respon_transv!U2=-1,-1,
DE_respon_transv!U2+IF((MATCH(INDEX(Data_metier!$C:$C,MATCH($A2,Data_metier!$B:$B,0)),{"Non Concerné";"Niveau 1";"Niveau 2";"Niveau 3";"Niveau 4"},0)-1)&gt;(MATCH(INDEX(Data_metier!$C:$C,MATCH(U$1,Data_metier!$B:$B,0)),{"Non Concerné";"Niveau 1";"Niveau 2";"Niveau 3";"Niveau 4"},0)-1),
1/6,0)+IF((MATCH(INDEX(Data_metier!$D:$D,MATCH($A2,Data_metier!$B:$B,0)),{"Non Concerné";"Niveau 1";"Niveau 2";"Niveau 3";"Niveau 4"},0)-1)&gt;(MATCH(INDEX(Data_metier!$D:$D,MATCH(U$1,Data_metier!$B:$B,0)),{"Non Concerné";"Niveau 1";"Niveau 2";"Niveau 3";"Niveau 4"},0)-1),
1/6,0)+IF((MATCH(INDEX(Data_metier!$E:$E,MATCH($A2,Data_metier!$B:$B,0)),{"Non Concerné";"Niveau 1";"Niveau 2";"Niveau 3";"Niveau 4"},0)-1)&gt;(MATCH(INDEX(Data_metier!$E:$E,MATCH(U$1,Data_metier!$B:$B,0)),{"Non Concerné";"Niveau 1";"Niveau 2";"Niveau 3";"Niveau 4"},0)-1),
1/6,0))</f>
        <v>1</v>
      </c>
      <c r="V2">
        <f>IF(DE_respon_transv!V2=-1,-1,
DE_respon_transv!V2+IF((MATCH(INDEX(Data_metier!$C:$C,MATCH($A2,Data_metier!$B:$B,0)),{"Non Concerné";"Niveau 1";"Niveau 2";"Niveau 3";"Niveau 4"},0)-1)&gt;(MATCH(INDEX(Data_metier!$C:$C,MATCH(V$1,Data_metier!$B:$B,0)),{"Non Concerné";"Niveau 1";"Niveau 2";"Niveau 3";"Niveau 4"},0)-1),
1/6,0)+IF((MATCH(INDEX(Data_metier!$D:$D,MATCH($A2,Data_metier!$B:$B,0)),{"Non Concerné";"Niveau 1";"Niveau 2";"Niveau 3";"Niveau 4"},0)-1)&gt;(MATCH(INDEX(Data_metier!$D:$D,MATCH(V$1,Data_metier!$B:$B,0)),{"Non Concerné";"Niveau 1";"Niveau 2";"Niveau 3";"Niveau 4"},0)-1),
1/6,0)+IF((MATCH(INDEX(Data_metier!$E:$E,MATCH($A2,Data_metier!$B:$B,0)),{"Non Concerné";"Niveau 1";"Niveau 2";"Niveau 3";"Niveau 4"},0)-1)&gt;(MATCH(INDEX(Data_metier!$E:$E,MATCH(V$1,Data_metier!$B:$B,0)),{"Non Concerné";"Niveau 1";"Niveau 2";"Niveau 3";"Niveau 4"},0)-1),
1/6,0))</f>
        <v>0</v>
      </c>
      <c r="W2">
        <f>IF(DE_respon_transv!W2=-1,-1,
DE_respon_transv!W2+IF((MATCH(INDEX(Data_metier!$C:$C,MATCH($A2,Data_metier!$B:$B,0)),{"Non Concerné";"Niveau 1";"Niveau 2";"Niveau 3";"Niveau 4"},0)-1)&gt;(MATCH(INDEX(Data_metier!$C:$C,MATCH(W$1,Data_metier!$B:$B,0)),{"Non Concerné";"Niveau 1";"Niveau 2";"Niveau 3";"Niveau 4"},0)-1),
1/6,0)+IF((MATCH(INDEX(Data_metier!$D:$D,MATCH($A2,Data_metier!$B:$B,0)),{"Non Concerné";"Niveau 1";"Niveau 2";"Niveau 3";"Niveau 4"},0)-1)&gt;(MATCH(INDEX(Data_metier!$D:$D,MATCH(W$1,Data_metier!$B:$B,0)),{"Non Concerné";"Niveau 1";"Niveau 2";"Niveau 3";"Niveau 4"},0)-1),
1/6,0)+IF((MATCH(INDEX(Data_metier!$E:$E,MATCH($A2,Data_metier!$B:$B,0)),{"Non Concerné";"Niveau 1";"Niveau 2";"Niveau 3";"Niveau 4"},0)-1)&gt;(MATCH(INDEX(Data_metier!$E:$E,MATCH(W$1,Data_metier!$B:$B,0)),{"Non Concerné";"Niveau 1";"Niveau 2";"Niveau 3";"Niveau 4"},0)-1),
1/6,0))</f>
        <v>0</v>
      </c>
      <c r="X2">
        <f>IF(DE_respon_transv!X2=-1,-1,
DE_respon_transv!X2+IF((MATCH(INDEX(Data_metier!$C:$C,MATCH($A2,Data_metier!$B:$B,0)),{"Non Concerné";"Niveau 1";"Niveau 2";"Niveau 3";"Niveau 4"},0)-1)&gt;(MATCH(INDEX(Data_metier!$C:$C,MATCH(X$1,Data_metier!$B:$B,0)),{"Non Concerné";"Niveau 1";"Niveau 2";"Niveau 3";"Niveau 4"},0)-1),
1/6,0)+IF((MATCH(INDEX(Data_metier!$D:$D,MATCH($A2,Data_metier!$B:$B,0)),{"Non Concerné";"Niveau 1";"Niveau 2";"Niveau 3";"Niveau 4"},0)-1)&gt;(MATCH(INDEX(Data_metier!$D:$D,MATCH(X$1,Data_metier!$B:$B,0)),{"Non Concerné";"Niveau 1";"Niveau 2";"Niveau 3";"Niveau 4"},0)-1),
1/6,0)+IF((MATCH(INDEX(Data_metier!$E:$E,MATCH($A2,Data_metier!$B:$B,0)),{"Non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2">
        <f>IF(DE_respon_transv!Y2=-1,-1,
DE_respon_transv!Y2+IF((MATCH(INDEX(Data_metier!$C:$C,MATCH($A2,Data_metier!$B:$B,0)),{"Non Concerné";"Niveau 1";"Niveau 2";"Niveau 3";"Niveau 4"},0)-1)&gt;(MATCH(INDEX(Data_metier!$C:$C,MATCH(Y$1,Data_metier!$B:$B,0)),{"Non Concerné";"Niveau 1";"Niveau 2";"Niveau 3";"Niveau 4"},0)-1),
1/6,0)+IF((MATCH(INDEX(Data_metier!$D:$D,MATCH($A2,Data_metier!$B:$B,0)),{"Non Concerné";"Niveau 1";"Niveau 2";"Niveau 3";"Niveau 4"},0)-1)&gt;(MATCH(INDEX(Data_metier!$D:$D,MATCH(Y$1,Data_metier!$B:$B,0)),{"Non Concerné";"Niveau 1";"Niveau 2";"Niveau 3";"Niveau 4"},0)-1),
1/6,0)+IF((MATCH(INDEX(Data_metier!$E:$E,MATCH($A2,Data_metier!$B:$B,0)),{"Non Concerné";"Niveau 1";"Niveau 2";"Niveau 3";"Niveau 4"},0)-1)&gt;(MATCH(INDEX(Data_metier!$E:$E,MATCH(Y$1,Data_metier!$B:$B,0)),{"Non Concerné";"Niveau 1";"Niveau 2";"Niveau 3";"Niveau 4"},0)-1),
1/6,0))</f>
        <v>1</v>
      </c>
      <c r="Z2">
        <f>IF(DE_respon_transv!Z2=-1,-1,
DE_respon_transv!Z2+IF((MATCH(INDEX(Data_metier!$C:$C,MATCH($A2,Data_metier!$B:$B,0)),{"Non Concerné";"Niveau 1";"Niveau 2";"Niveau 3";"Niveau 4"},0)-1)&gt;(MATCH(INDEX(Data_metier!$C:$C,MATCH(Z$1,Data_metier!$B:$B,0)),{"Non Concerné";"Niveau 1";"Niveau 2";"Niveau 3";"Niveau 4"},0)-1),
1/6,0)+IF((MATCH(INDEX(Data_metier!$D:$D,MATCH($A2,Data_metier!$B:$B,0)),{"Non Concerné";"Niveau 1";"Niveau 2";"Niveau 3";"Niveau 4"},0)-1)&gt;(MATCH(INDEX(Data_metier!$D:$D,MATCH(Z$1,Data_metier!$B:$B,0)),{"Non Concerné";"Niveau 1";"Niveau 2";"Niveau 3";"Niveau 4"},0)-1),
1/6,0)+IF((MATCH(INDEX(Data_metier!$E:$E,MATCH($A2,Data_metier!$B:$B,0)),{"Non Concerné";"Niveau 1";"Niveau 2";"Niveau 3";"Niveau 4"},0)-1)&gt;(MATCH(INDEX(Data_metier!$E:$E,MATCH(Z$1,Data_metier!$B:$B,0)),{"Non Concerné";"Niveau 1";"Niveau 2";"Niveau 3";"Niveau 4"},0)-1),
1/6,0))</f>
        <v>1</v>
      </c>
      <c r="AA2">
        <f>IF(DE_respon_transv!AA2=-1,-1,
DE_respon_transv!AA2+IF((MATCH(INDEX(Data_metier!$C:$C,MATCH($A2,Data_metier!$B:$B,0)),{"Non Concerné";"Niveau 1";"Niveau 2";"Niveau 3";"Niveau 4"},0)-1)&gt;(MATCH(INDEX(Data_metier!$C:$C,MATCH(AA$1,Data_metier!$B:$B,0)),{"Non Concerné";"Niveau 1";"Niveau 2";"Niveau 3";"Niveau 4"},0)-1),
1/6,0)+IF((MATCH(INDEX(Data_metier!$D:$D,MATCH($A2,Data_metier!$B:$B,0)),{"Non Concerné";"Niveau 1";"Niveau 2";"Niveau 3";"Niveau 4"},0)-1)&gt;(MATCH(INDEX(Data_metier!$D:$D,MATCH(AA$1,Data_metier!$B:$B,0)),{"Non Concerné";"Niveau 1";"Niveau 2";"Niveau 3";"Niveau 4"},0)-1),
1/6,0)+IF((MATCH(INDEX(Data_metier!$E:$E,MATCH($A2,Data_metier!$B:$B,0)),{"Non Concerné";"Niveau 1";"Niveau 2";"Niveau 3";"Niveau 4"},0)-1)&gt;(MATCH(INDEX(Data_metier!$E:$E,MATCH(AA$1,Data_metier!$B:$B,0)),{"Non Concerné";"Niveau 1";"Niveau 2";"Niveau 3";"Niveau 4"},0)-1),
1/6,0))</f>
        <v>1</v>
      </c>
      <c r="AB2">
        <f>IF(DE_respon_transv!AB2=-1,-1,
DE_respon_transv!AB2+IF((MATCH(INDEX(Data_metier!$C:$C,MATCH($A2,Data_metier!$B:$B,0)),{"Non Concerné";"Niveau 1";"Niveau 2";"Niveau 3";"Niveau 4"},0)-1)&gt;(MATCH(INDEX(Data_metier!$C:$C,MATCH(AB$1,Data_metier!$B:$B,0)),{"Non Concerné";"Niveau 1";"Niveau 2";"Niveau 3";"Niveau 4"},0)-1),
1/6,0)+IF((MATCH(INDEX(Data_metier!$D:$D,MATCH($A2,Data_metier!$B:$B,0)),{"Non Concerné";"Niveau 1";"Niveau 2";"Niveau 3";"Niveau 4"},0)-1)&gt;(MATCH(INDEX(Data_metier!$D:$D,MATCH(AB$1,Data_metier!$B:$B,0)),{"Non Concerné";"Niveau 1";"Niveau 2";"Niveau 3";"Niveau 4"},0)-1),
1/6,0)+IF((MATCH(INDEX(Data_metier!$E:$E,MATCH($A2,Data_metier!$B:$B,0)),{"Non Concerné";"Niveau 1";"Niveau 2";"Niveau 3";"Niveau 4"},0)-1)&gt;(MATCH(INDEX(Data_metier!$E:$E,MATCH(AB$1,Data_metier!$B:$B,0)),{"Non Concerné";"Niveau 1";"Niveau 2";"Niveau 3";"Niveau 4"},0)-1),
1/6,0))</f>
        <v>0</v>
      </c>
      <c r="AC2">
        <f>IF(DE_respon_transv!AC2=-1,-1,
DE_respon_transv!AC2+IF((MATCH(INDEX(Data_metier!$C:$C,MATCH($A2,Data_metier!$B:$B,0)),{"Non Concerné";"Niveau 1";"Niveau 2";"Niveau 3";"Niveau 4"},0)-1)&gt;(MATCH(INDEX(Data_metier!$C:$C,MATCH(AC$1,Data_metier!$B:$B,0)),{"Non Concerné";"Niveau 1";"Niveau 2";"Niveau 3";"Niveau 4"},0)-1),
1/6,0)+IF((MATCH(INDEX(Data_metier!$D:$D,MATCH($A2,Data_metier!$B:$B,0)),{"Non Concerné";"Niveau 1";"Niveau 2";"Niveau 3";"Niveau 4"},0)-1)&gt;(MATCH(INDEX(Data_metier!$D:$D,MATCH(AC$1,Data_metier!$B:$B,0)),{"Non Concerné";"Niveau 1";"Niveau 2";"Niveau 3";"Niveau 4"},0)-1),
1/6,0)+IF((MATCH(INDEX(Data_metier!$E:$E,MATCH($A2,Data_metier!$B:$B,0)),{"Non Concerné";"Niveau 1";"Niveau 2";"Niveau 3";"Niveau 4"},0)-1)&gt;(MATCH(INDEX(Data_metier!$E:$E,MATCH(AC$1,Data_metier!$B:$B,0)),{"Non Concerné";"Niveau 1";"Niveau 2";"Niveau 3";"Niveau 4"},0)-1),
1/6,0))</f>
        <v>0</v>
      </c>
      <c r="AD2">
        <f>IF(DE_respon_transv!AD2=-1,-1,
DE_respon_transv!AD2+IF((MATCH(INDEX(Data_metier!$C:$C,MATCH($A2,Data_metier!$B:$B,0)),{"Non Concerné";"Niveau 1";"Niveau 2";"Niveau 3";"Niveau 4"},0)-1)&gt;(MATCH(INDEX(Data_metier!$C:$C,MATCH(AD$1,Data_metier!$B:$B,0)),{"Non Concerné";"Niveau 1";"Niveau 2";"Niveau 3";"Niveau 4"},0)-1),
1/6,0)+IF((MATCH(INDEX(Data_metier!$D:$D,MATCH($A2,Data_metier!$B:$B,0)),{"Non Concerné";"Niveau 1";"Niveau 2";"Niveau 3";"Niveau 4"},0)-1)&gt;(MATCH(INDEX(Data_metier!$D:$D,MATCH(AD$1,Data_metier!$B:$B,0)),{"Non Concerné";"Niveau 1";"Niveau 2";"Niveau 3";"Niveau 4"},0)-1),
1/6,0)+IF((MATCH(INDEX(Data_metier!$E:$E,MATCH($A2,Data_metier!$B:$B,0)),{"Non Concerné";"Niveau 1";"Niveau 2";"Niveau 3";"Niveau 4"},0)-1)&gt;(MATCH(INDEX(Data_metier!$E:$E,MATCH(AD$1,Data_metier!$B:$B,0)),{"Non Concerné";"Niveau 1";"Niveau 2";"Niveau 3";"Niveau 4"},0)-1),
1/6,0))</f>
        <v>-1</v>
      </c>
    </row>
    <row r="3" spans="1:30">
      <c r="A3" t="str">
        <v>Agent de silo</v>
      </c>
      <c r="B3">
        <f>IF(DE_respon_transv!B3=-1,-1,
DE_respon_transv!B3+IF((MATCH(INDEX(Data_metier!$C:$C,MATCH($A3,Data_metier!$B:$B,0)),{"Non Concerné";"Niveau 1";"Niveau 2";"Niveau 3";"Niveau 4"},0)-1)&gt;(MATCH(INDEX(Data_metier!$C:$C,MATCH(B$1,Data_metier!$B:$B,0)),{"Non Concerné";"Niveau 1";"Niveau 2";"Niveau 3";"Niveau 4"},0)-1),
1/6,0)+IF((MATCH(INDEX(Data_metier!$D:$D,MATCH($A3,Data_metier!$B:$B,0)),{"Non Concerné";"Niveau 1";"Niveau 2";"Niveau 3";"Niveau 4"},0)-1)&gt;(MATCH(INDEX(Data_metier!$D:$D,MATCH(B$1,Data_metier!$B:$B,0)),{"Non Concerné";"Niveau 1";"Niveau 2";"Niveau 3";"Niveau 4"},0)-1),
1/6,0)+IF((MATCH(INDEX(Data_metier!$E:$E,MATCH($A3,Data_metier!$B:$B,0)),{"Non Concerné";"Niveau 1";"Niveau 2";"Niveau 3";"Niveau 4"},0)-1)&gt;(MATCH(INDEX(Data_metier!$E:$E,MATCH(B$1,Data_metier!$B:$B,0)),{"Non Concerné";"Niveau 1";"Niveau 2";"Niveau 3";"Niveau 4"},0)-1),
1/6,0))</f>
        <v>0.33333333333333331</v>
      </c>
      <c r="C3">
        <f>IF(DE_respon_transv!C3=-1,-1,
DE_respon_transv!C3+IF((MATCH(INDEX(Data_metier!$C:$C,MATCH($A3,Data_metier!$B:$B,0)),{"Non Concerné";"Niveau 1";"Niveau 2";"Niveau 3";"Niveau 4"},0)-1)&gt;(MATCH(INDEX(Data_metier!$C:$C,MATCH(C$1,Data_metier!$B:$B,0)),{"Non Concerné";"Niveau 1";"Niveau 2";"Niveau 3";"Niveau 4"},0)-1),
1/6,0)+IF((MATCH(INDEX(Data_metier!$D:$D,MATCH($A3,Data_metier!$B:$B,0)),{"Non Concerné";"Niveau 1";"Niveau 2";"Niveau 3";"Niveau 4"},0)-1)&gt;(MATCH(INDEX(Data_metier!$D:$D,MATCH(C$1,Data_metier!$B:$B,0)),{"Non Concerné";"Niveau 1";"Niveau 2";"Niveau 3";"Niveau 4"},0)-1),
1/6,0)+IF((MATCH(INDEX(Data_metier!$E:$E,MATCH($A3,Data_metier!$B:$B,0)),{"Non Concerné";"Niveau 1";"Niveau 2";"Niveau 3";"Niveau 4"},0)-1)&gt;(MATCH(INDEX(Data_metier!$E:$E,MATCH(C$1,Data_metier!$B:$B,0)),{"Non Concerné";"Niveau 1";"Niveau 2";"Niveau 3";"Niveau 4"},0)-1),
1/6,0))</f>
        <v>0</v>
      </c>
      <c r="D3">
        <f>IF(DE_respon_transv!D3=-1,-1,
DE_respon_transv!D3+IF((MATCH(INDEX(Data_metier!$C:$C,MATCH($A3,Data_metier!$B:$B,0)),{"Non Concerné";"Niveau 1";"Niveau 2";"Niveau 3";"Niveau 4"},0)-1)&gt;(MATCH(INDEX(Data_metier!$C:$C,MATCH(D$1,Data_metier!$B:$B,0)),{"Non Concerné";"Niveau 1";"Niveau 2";"Niveau 3";"Niveau 4"},0)-1),
1/6,0)+IF((MATCH(INDEX(Data_metier!$D:$D,MATCH($A3,Data_metier!$B:$B,0)),{"Non Concerné";"Niveau 1";"Niveau 2";"Niveau 3";"Niveau 4"},0)-1)&gt;(MATCH(INDEX(Data_metier!$D:$D,MATCH(D$1,Data_metier!$B:$B,0)),{"Non Concerné";"Niveau 1";"Niveau 2";"Niveau 3";"Niveau 4"},0)-1),
1/6,0)+IF((MATCH(INDEX(Data_metier!$E:$E,MATCH($A3,Data_metier!$B:$B,0)),{"Non Concerné";"Niveau 1";"Niveau 2";"Niveau 3";"Niveau 4"},0)-1)&gt;(MATCH(INDEX(Data_metier!$E:$E,MATCH(D$1,Data_metier!$B:$B,0)),{"Non Concerné";"Niveau 1";"Niveau 2";"Niveau 3";"Niveau 4"},0)-1),
1/6,0))</f>
        <v>1.3333333333333335</v>
      </c>
      <c r="E3">
        <f>IF(DE_respon_transv!E3=-1,-1,
DE_respon_transv!E3+IF((MATCH(INDEX(Data_metier!$C:$C,MATCH($A3,Data_metier!$B:$B,0)),{"Non Concerné";"Niveau 1";"Niveau 2";"Niveau 3";"Niveau 4"},0)-1)&gt;(MATCH(INDEX(Data_metier!$C:$C,MATCH(E$1,Data_metier!$B:$B,0)),{"Non Concerné";"Niveau 1";"Niveau 2";"Niveau 3";"Niveau 4"},0)-1),
1/6,0)+IF((MATCH(INDEX(Data_metier!$D:$D,MATCH($A3,Data_metier!$B:$B,0)),{"Non Concerné";"Niveau 1";"Niveau 2";"Niveau 3";"Niveau 4"},0)-1)&gt;(MATCH(INDEX(Data_metier!$D:$D,MATCH(E$1,Data_metier!$B:$B,0)),{"Non Concerné";"Niveau 1";"Niveau 2";"Niveau 3";"Niveau 4"},0)-1),
1/6,0)+IF((MATCH(INDEX(Data_metier!$E:$E,MATCH($A3,Data_metier!$B:$B,0)),{"Non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3">
        <f>IF(DE_respon_transv!F3=-1,-1,
DE_respon_transv!F3+IF((MATCH(INDEX(Data_metier!$C:$C,MATCH($A3,Data_metier!$B:$B,0)),{"Non Concerné";"Niveau 1";"Niveau 2";"Niveau 3";"Niveau 4"},0)-1)&gt;(MATCH(INDEX(Data_metier!$C:$C,MATCH(F$1,Data_metier!$B:$B,0)),{"Non Concerné";"Niveau 1";"Niveau 2";"Niveau 3";"Niveau 4"},0)-1),
1/6,0)+IF((MATCH(INDEX(Data_metier!$D:$D,MATCH($A3,Data_metier!$B:$B,0)),{"Non Concerné";"Niveau 1";"Niveau 2";"Niveau 3";"Niveau 4"},0)-1)&gt;(MATCH(INDEX(Data_metier!$D:$D,MATCH(F$1,Data_metier!$B:$B,0)),{"Non Concerné";"Niveau 1";"Niveau 2";"Niveau 3";"Niveau 4"},0)-1),
1/6,0)+IF((MATCH(INDEX(Data_metier!$E:$E,MATCH($A3,Data_metier!$B:$B,0)),{"Non Concerné";"Niveau 1";"Niveau 2";"Niveau 3";"Niveau 4"},0)-1)&gt;(MATCH(INDEX(Data_metier!$E:$E,MATCH(F$1,Data_metier!$B:$B,0)),{"Non Concerné";"Niveau 1";"Niveau 2";"Niveau 3";"Niveau 4"},0)-1),
1/6,0))</f>
        <v>-1</v>
      </c>
      <c r="G3">
        <f>IF(DE_respon_transv!G3=-1,-1,
DE_respon_transv!G3+IF((MATCH(INDEX(Data_metier!$C:$C,MATCH($A3,Data_metier!$B:$B,0)),{"Non Concerné";"Niveau 1";"Niveau 2";"Niveau 3";"Niveau 4"},0)-1)&gt;(MATCH(INDEX(Data_metier!$C:$C,MATCH(G$1,Data_metier!$B:$B,0)),{"Non Concerné";"Niveau 1";"Niveau 2";"Niveau 3";"Niveau 4"},0)-1),
1/6,0)+IF((MATCH(INDEX(Data_metier!$D:$D,MATCH($A3,Data_metier!$B:$B,0)),{"Non Concerné";"Niveau 1";"Niveau 2";"Niveau 3";"Niveau 4"},0)-1)&gt;(MATCH(INDEX(Data_metier!$D:$D,MATCH(G$1,Data_metier!$B:$B,0)),{"Non Concerné";"Niveau 1";"Niveau 2";"Niveau 3";"Niveau 4"},0)-1),
1/6,0)+IF((MATCH(INDEX(Data_metier!$E:$E,MATCH($A3,Data_metier!$B:$B,0)),{"Non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3">
        <f>IF(DE_respon_transv!H3=-1,-1,
DE_respon_transv!H3+IF((MATCH(INDEX(Data_metier!$C:$C,MATCH($A3,Data_metier!$B:$B,0)),{"Non Concerné";"Niveau 1";"Niveau 2";"Niveau 3";"Niveau 4"},0)-1)&gt;(MATCH(INDEX(Data_metier!$C:$C,MATCH(H$1,Data_metier!$B:$B,0)),{"Non Concerné";"Niveau 1";"Niveau 2";"Niveau 3";"Niveau 4"},0)-1),
1/6,0)+IF((MATCH(INDEX(Data_metier!$D:$D,MATCH($A3,Data_metier!$B:$B,0)),{"Non Concerné";"Niveau 1";"Niveau 2";"Niveau 3";"Niveau 4"},0)-1)&gt;(MATCH(INDEX(Data_metier!$D:$D,MATCH(H$1,Data_metier!$B:$B,0)),{"Non Concerné";"Niveau 1";"Niveau 2";"Niveau 3";"Niveau 4"},0)-1),
1/6,0)+IF((MATCH(INDEX(Data_metier!$E:$E,MATCH($A3,Data_metier!$B:$B,0)),{"Non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3">
        <f>IF(DE_respon_transv!I3=-1,-1,
DE_respon_transv!I3+IF((MATCH(INDEX(Data_metier!$C:$C,MATCH($A3,Data_metier!$B:$B,0)),{"Non Concerné";"Niveau 1";"Niveau 2";"Niveau 3";"Niveau 4"},0)-1)&gt;(MATCH(INDEX(Data_metier!$C:$C,MATCH(I$1,Data_metier!$B:$B,0)),{"Non Concerné";"Niveau 1";"Niveau 2";"Niveau 3";"Niveau 4"},0)-1),
1/6,0)+IF((MATCH(INDEX(Data_metier!$D:$D,MATCH($A3,Data_metier!$B:$B,0)),{"Non Concerné";"Niveau 1";"Niveau 2";"Niveau 3";"Niveau 4"},0)-1)&gt;(MATCH(INDEX(Data_metier!$D:$D,MATCH(I$1,Data_metier!$B:$B,0)),{"Non Concerné";"Niveau 1";"Niveau 2";"Niveau 3";"Niveau 4"},0)-1),
1/6,0)+IF((MATCH(INDEX(Data_metier!$E:$E,MATCH($A3,Data_metier!$B:$B,0)),{"Non Concerné";"Niveau 1";"Niveau 2";"Niveau 3";"Niveau 4"},0)-1)&gt;(MATCH(INDEX(Data_metier!$E:$E,MATCH(I$1,Data_metier!$B:$B,0)),{"Non Concerné";"Niveau 1";"Niveau 2";"Niveau 3";"Niveau 4"},0)-1),
1/6,0))</f>
        <v>1.3333333333333335</v>
      </c>
      <c r="J3">
        <f>IF(DE_respon_transv!J3=-1,-1,
DE_respon_transv!J3+IF((MATCH(INDEX(Data_metier!$C:$C,MATCH($A3,Data_metier!$B:$B,0)),{"Non Concerné";"Niveau 1";"Niveau 2";"Niveau 3";"Niveau 4"},0)-1)&gt;(MATCH(INDEX(Data_metier!$C:$C,MATCH(J$1,Data_metier!$B:$B,0)),{"Non Concerné";"Niveau 1";"Niveau 2";"Niveau 3";"Niveau 4"},0)-1),
1/6,0)+IF((MATCH(INDEX(Data_metier!$D:$D,MATCH($A3,Data_metier!$B:$B,0)),{"Non Concerné";"Niveau 1";"Niveau 2";"Niveau 3";"Niveau 4"},0)-1)&gt;(MATCH(INDEX(Data_metier!$D:$D,MATCH(J$1,Data_metier!$B:$B,0)),{"Non Concerné";"Niveau 1";"Niveau 2";"Niveau 3";"Niveau 4"},0)-1),
1/6,0)+IF((MATCH(INDEX(Data_metier!$E:$E,MATCH($A3,Data_metier!$B:$B,0)),{"Non Concerné";"Niveau 1";"Niveau 2";"Niveau 3";"Niveau 4"},0)-1)&gt;(MATCH(INDEX(Data_metier!$E:$E,MATCH(J$1,Data_metier!$B:$B,0)),{"Non Concerné";"Niveau 1";"Niveau 2";"Niveau 3";"Niveau 4"},0)-1),
1/6,0))</f>
        <v>-1</v>
      </c>
      <c r="K3">
        <f>IF(DE_respon_transv!K3=-1,-1,
DE_respon_transv!K3+IF((MATCH(INDEX(Data_metier!$C:$C,MATCH($A3,Data_metier!$B:$B,0)),{"Non Concerné";"Niveau 1";"Niveau 2";"Niveau 3";"Niveau 4"},0)-1)&gt;(MATCH(INDEX(Data_metier!$C:$C,MATCH(K$1,Data_metier!$B:$B,0)),{"Non Concerné";"Niveau 1";"Niveau 2";"Niveau 3";"Niveau 4"},0)-1),
1/6,0)+IF((MATCH(INDEX(Data_metier!$D:$D,MATCH($A3,Data_metier!$B:$B,0)),{"Non Concerné";"Niveau 1";"Niveau 2";"Niveau 3";"Niveau 4"},0)-1)&gt;(MATCH(INDEX(Data_metier!$D:$D,MATCH(K$1,Data_metier!$B:$B,0)),{"Non Concerné";"Niveau 1";"Niveau 2";"Niveau 3";"Niveau 4"},0)-1),
1/6,0)+IF((MATCH(INDEX(Data_metier!$E:$E,MATCH($A3,Data_metier!$B:$B,0)),{"Non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3">
        <f>IF(DE_respon_transv!L3=-1,-1,
DE_respon_transv!L3+IF((MATCH(INDEX(Data_metier!$C:$C,MATCH($A3,Data_metier!$B:$B,0)),{"Non Concerné";"Niveau 1";"Niveau 2";"Niveau 3";"Niveau 4"},0)-1)&gt;(MATCH(INDEX(Data_metier!$C:$C,MATCH(L$1,Data_metier!$B:$B,0)),{"Non Concerné";"Niveau 1";"Niveau 2";"Niveau 3";"Niveau 4"},0)-1),
1/6,0)+IF((MATCH(INDEX(Data_metier!$D:$D,MATCH($A3,Data_metier!$B:$B,0)),{"Non Concerné";"Niveau 1";"Niveau 2";"Niveau 3";"Niveau 4"},0)-1)&gt;(MATCH(INDEX(Data_metier!$D:$D,MATCH(L$1,Data_metier!$B:$B,0)),{"Non Concerné";"Niveau 1";"Niveau 2";"Niveau 3";"Niveau 4"},0)-1),
1/6,0)+IF((MATCH(INDEX(Data_metier!$E:$E,MATCH($A3,Data_metier!$B:$B,0)),{"Non Concerné";"Niveau 1";"Niveau 2";"Niveau 3";"Niveau 4"},0)-1)&gt;(MATCH(INDEX(Data_metier!$E:$E,MATCH(L$1,Data_metier!$B:$B,0)),{"Non Concerné";"Niveau 1";"Niveau 2";"Niveau 3";"Niveau 4"},0)-1),
1/6,0))</f>
        <v>1</v>
      </c>
      <c r="M3">
        <f>IF(DE_respon_transv!M3=-1,-1,
DE_respon_transv!M3+IF((MATCH(INDEX(Data_metier!$C:$C,MATCH($A3,Data_metier!$B:$B,0)),{"Non Concerné";"Niveau 1";"Niveau 2";"Niveau 3";"Niveau 4"},0)-1)&gt;(MATCH(INDEX(Data_metier!$C:$C,MATCH(M$1,Data_metier!$B:$B,0)),{"Non Concerné";"Niveau 1";"Niveau 2";"Niveau 3";"Niveau 4"},0)-1),
1/6,0)+IF((MATCH(INDEX(Data_metier!$D:$D,MATCH($A3,Data_metier!$B:$B,0)),{"Non Concerné";"Niveau 1";"Niveau 2";"Niveau 3";"Niveau 4"},0)-1)&gt;(MATCH(INDEX(Data_metier!$D:$D,MATCH(M$1,Data_metier!$B:$B,0)),{"Non Concerné";"Niveau 1";"Niveau 2";"Niveau 3";"Niveau 4"},0)-1),
1/6,0)+IF((MATCH(INDEX(Data_metier!$E:$E,MATCH($A3,Data_metier!$B:$B,0)),{"Non Concerné";"Niveau 1";"Niveau 2";"Niveau 3";"Niveau 4"},0)-1)&gt;(MATCH(INDEX(Data_metier!$E:$E,MATCH(M$1,Data_metier!$B:$B,0)),{"Non Concerné";"Niveau 1";"Niveau 2";"Niveau 3";"Niveau 4"},0)-1),
1/6,0))</f>
        <v>0.16666666666666666</v>
      </c>
      <c r="N3">
        <f>IF(DE_respon_transv!N3=-1,-1,
DE_respon_transv!N3+IF((MATCH(INDEX(Data_metier!$C:$C,MATCH($A3,Data_metier!$B:$B,0)),{"Non Concerné";"Niveau 1";"Niveau 2";"Niveau 3";"Niveau 4"},0)-1)&gt;(MATCH(INDEX(Data_metier!$C:$C,MATCH(N$1,Data_metier!$B:$B,0)),{"Non Concerné";"Niveau 1";"Niveau 2";"Niveau 3";"Niveau 4"},0)-1),
1/6,0)+IF((MATCH(INDEX(Data_metier!$D:$D,MATCH($A3,Data_metier!$B:$B,0)),{"Non Concerné";"Niveau 1";"Niveau 2";"Niveau 3";"Niveau 4"},0)-1)&gt;(MATCH(INDEX(Data_metier!$D:$D,MATCH(N$1,Data_metier!$B:$B,0)),{"Non Concerné";"Niveau 1";"Niveau 2";"Niveau 3";"Niveau 4"},0)-1),
1/6,0)+IF((MATCH(INDEX(Data_metier!$E:$E,MATCH($A3,Data_metier!$B:$B,0)),{"Non Concerné";"Niveau 1";"Niveau 2";"Niveau 3";"Niveau 4"},0)-1)&gt;(MATCH(INDEX(Data_metier!$E:$E,MATCH(N$1,Data_metier!$B:$B,0)),{"Non Concerné";"Niveau 1";"Niveau 2";"Niveau 3";"Niveau 4"},0)-1),
1/6,0))</f>
        <v>-1</v>
      </c>
      <c r="O3">
        <f>IF(DE_respon_transv!O3=-1,-1,
DE_respon_transv!O3+IF((MATCH(INDEX(Data_metier!$C:$C,MATCH($A3,Data_metier!$B:$B,0)),{"Non Concerné";"Niveau 1";"Niveau 2";"Niveau 3";"Niveau 4"},0)-1)&gt;(MATCH(INDEX(Data_metier!$C:$C,MATCH(O$1,Data_metier!$B:$B,0)),{"Non Concerné";"Niveau 1";"Niveau 2";"Niveau 3";"Niveau 4"},0)-1),
1/6,0)+IF((MATCH(INDEX(Data_metier!$D:$D,MATCH($A3,Data_metier!$B:$B,0)),{"Non Concerné";"Niveau 1";"Niveau 2";"Niveau 3";"Niveau 4"},0)-1)&gt;(MATCH(INDEX(Data_metier!$D:$D,MATCH(O$1,Data_metier!$B:$B,0)),{"Non Concerné";"Niveau 1";"Niveau 2";"Niveau 3";"Niveau 4"},0)-1),
1/6,0)+IF((MATCH(INDEX(Data_metier!$E:$E,MATCH($A3,Data_metier!$B:$B,0)),{"Non Concerné";"Niveau 1";"Niveau 2";"Niveau 3";"Niveau 4"},0)-1)&gt;(MATCH(INDEX(Data_metier!$E:$E,MATCH(O$1,Data_metier!$B:$B,0)),{"Non Concerné";"Niveau 1";"Niveau 2";"Niveau 3";"Niveau 4"},0)-1),
1/6,0))</f>
        <v>1</v>
      </c>
      <c r="P3">
        <f>IF(DE_respon_transv!P3=-1,-1,
DE_respon_transv!P3+IF((MATCH(INDEX(Data_metier!$C:$C,MATCH($A3,Data_metier!$B:$B,0)),{"Non Concerné";"Niveau 1";"Niveau 2";"Niveau 3";"Niveau 4"},0)-1)&gt;(MATCH(INDEX(Data_metier!$C:$C,MATCH(P$1,Data_metier!$B:$B,0)),{"Non Concerné";"Niveau 1";"Niveau 2";"Niveau 3";"Niveau 4"},0)-1),
1/6,0)+IF((MATCH(INDEX(Data_metier!$D:$D,MATCH($A3,Data_metier!$B:$B,0)),{"Non Concerné";"Niveau 1";"Niveau 2";"Niveau 3";"Niveau 4"},0)-1)&gt;(MATCH(INDEX(Data_metier!$D:$D,MATCH(P$1,Data_metier!$B:$B,0)),{"Non Concerné";"Niveau 1";"Niveau 2";"Niveau 3";"Niveau 4"},0)-1),
1/6,0)+IF((MATCH(INDEX(Data_metier!$E:$E,MATCH($A3,Data_metier!$B:$B,0)),{"Non Concerné";"Niveau 1";"Niveau 2";"Niveau 3";"Niveau 4"},0)-1)&gt;(MATCH(INDEX(Data_metier!$E:$E,MATCH(P$1,Data_metier!$B:$B,0)),{"Non Concerné";"Niveau 1";"Niveau 2";"Niveau 3";"Niveau 4"},0)-1),
1/6,0))</f>
        <v>1.3333333333333335</v>
      </c>
      <c r="Q3">
        <f>IF(DE_respon_transv!Q3=-1,-1,
DE_respon_transv!Q3+IF((MATCH(INDEX(Data_metier!$C:$C,MATCH($A3,Data_metier!$B:$B,0)),{"Non Concerné";"Niveau 1";"Niveau 2";"Niveau 3";"Niveau 4"},0)-1)&gt;(MATCH(INDEX(Data_metier!$C:$C,MATCH(Q$1,Data_metier!$B:$B,0)),{"Non Concerné";"Niveau 1";"Niveau 2";"Niveau 3";"Niveau 4"},0)-1),
1/6,0)+IF((MATCH(INDEX(Data_metier!$D:$D,MATCH($A3,Data_metier!$B:$B,0)),{"Non Concerné";"Niveau 1";"Niveau 2";"Niveau 3";"Niveau 4"},0)-1)&gt;(MATCH(INDEX(Data_metier!$D:$D,MATCH(Q$1,Data_metier!$B:$B,0)),{"Non Concerné";"Niveau 1";"Niveau 2";"Niveau 3";"Niveau 4"},0)-1),
1/6,0)+IF((MATCH(INDEX(Data_metier!$E:$E,MATCH($A3,Data_metier!$B:$B,0)),{"Non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3">
        <f>IF(DE_respon_transv!R3=-1,-1,
DE_respon_transv!R3+IF((MATCH(INDEX(Data_metier!$C:$C,MATCH($A3,Data_metier!$B:$B,0)),{"Non Concerné";"Niveau 1";"Niveau 2";"Niveau 3";"Niveau 4"},0)-1)&gt;(MATCH(INDEX(Data_metier!$C:$C,MATCH(R$1,Data_metier!$B:$B,0)),{"Non Concerné";"Niveau 1";"Niveau 2";"Niveau 3";"Niveau 4"},0)-1),
1/6,0)+IF((MATCH(INDEX(Data_metier!$D:$D,MATCH($A3,Data_metier!$B:$B,0)),{"Non Concerné";"Niveau 1";"Niveau 2";"Niveau 3";"Niveau 4"},0)-1)&gt;(MATCH(INDEX(Data_metier!$D:$D,MATCH(R$1,Data_metier!$B:$B,0)),{"Non Concerné";"Niveau 1";"Niveau 2";"Niveau 3";"Niveau 4"},0)-1),
1/6,0)+IF((MATCH(INDEX(Data_metier!$E:$E,MATCH($A3,Data_metier!$B:$B,0)),{"Non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3">
        <f>IF(DE_respon_transv!S3=-1,-1,
DE_respon_transv!S3+IF((MATCH(INDEX(Data_metier!$C:$C,MATCH($A3,Data_metier!$B:$B,0)),{"Non Concerné";"Niveau 1";"Niveau 2";"Niveau 3";"Niveau 4"},0)-1)&gt;(MATCH(INDEX(Data_metier!$C:$C,MATCH(S$1,Data_metier!$B:$B,0)),{"Non Concerné";"Niveau 1";"Niveau 2";"Niveau 3";"Niveau 4"},0)-1),
1/6,0)+IF((MATCH(INDEX(Data_metier!$D:$D,MATCH($A3,Data_metier!$B:$B,0)),{"Non Concerné";"Niveau 1";"Niveau 2";"Niveau 3";"Niveau 4"},0)-1)&gt;(MATCH(INDEX(Data_metier!$D:$D,MATCH(S$1,Data_metier!$B:$B,0)),{"Non Concerné";"Niveau 1";"Niveau 2";"Niveau 3";"Niveau 4"},0)-1),
1/6,0)+IF((MATCH(INDEX(Data_metier!$E:$E,MATCH($A3,Data_metier!$B:$B,0)),{"Non Concerné";"Niveau 1";"Niveau 2";"Niveau 3";"Niveau 4"},0)-1)&gt;(MATCH(INDEX(Data_metier!$E:$E,MATCH(S$1,Data_metier!$B:$B,0)),{"Non Concerné";"Niveau 1";"Niveau 2";"Niveau 3";"Niveau 4"},0)-1),
1/6,0))</f>
        <v>1.3333333333333335</v>
      </c>
      <c r="T3">
        <f>IF(DE_respon_transv!T3=-1,-1,
DE_respon_transv!T3+IF((MATCH(INDEX(Data_metier!$C:$C,MATCH($A3,Data_metier!$B:$B,0)),{"Non Concerné";"Niveau 1";"Niveau 2";"Niveau 3";"Niveau 4"},0)-1)&gt;(MATCH(INDEX(Data_metier!$C:$C,MATCH(T$1,Data_metier!$B:$B,0)),{"Non Concerné";"Niveau 1";"Niveau 2";"Niveau 3";"Niveau 4"},0)-1),
1/6,0)+IF((MATCH(INDEX(Data_metier!$D:$D,MATCH($A3,Data_metier!$B:$B,0)),{"Non Concerné";"Niveau 1";"Niveau 2";"Niveau 3";"Niveau 4"},0)-1)&gt;(MATCH(INDEX(Data_metier!$D:$D,MATCH(T$1,Data_metier!$B:$B,0)),{"Non Concerné";"Niveau 1";"Niveau 2";"Niveau 3";"Niveau 4"},0)-1),
1/6,0)+IF((MATCH(INDEX(Data_metier!$E:$E,MATCH($A3,Data_metier!$B:$B,0)),{"Non Concerné";"Niveau 1";"Niveau 2";"Niveau 3";"Niveau 4"},0)-1)&gt;(MATCH(INDEX(Data_metier!$E:$E,MATCH(T$1,Data_metier!$B:$B,0)),{"Non Concerné";"Niveau 1";"Niveau 2";"Niveau 3";"Niveau 4"},0)-1),
1/6,0))</f>
        <v>1.1666666666666667</v>
      </c>
      <c r="U3">
        <f>IF(DE_respon_transv!U3=-1,-1,
DE_respon_transv!U3+IF((MATCH(INDEX(Data_metier!$C:$C,MATCH($A3,Data_metier!$B:$B,0)),{"Non Concerné";"Niveau 1";"Niveau 2";"Niveau 3";"Niveau 4"},0)-1)&gt;(MATCH(INDEX(Data_metier!$C:$C,MATCH(U$1,Data_metier!$B:$B,0)),{"Non Concerné";"Niveau 1";"Niveau 2";"Niveau 3";"Niveau 4"},0)-1),
1/6,0)+IF((MATCH(INDEX(Data_metier!$D:$D,MATCH($A3,Data_metier!$B:$B,0)),{"Non Concerné";"Niveau 1";"Niveau 2";"Niveau 3";"Niveau 4"},0)-1)&gt;(MATCH(INDEX(Data_metier!$D:$D,MATCH(U$1,Data_metier!$B:$B,0)),{"Non Concerné";"Niveau 1";"Niveau 2";"Niveau 3";"Niveau 4"},0)-1),
1/6,0)+IF((MATCH(INDEX(Data_metier!$E:$E,MATCH($A3,Data_metier!$B:$B,0)),{"Non Concerné";"Niveau 1";"Niveau 2";"Niveau 3";"Niveau 4"},0)-1)&gt;(MATCH(INDEX(Data_metier!$E:$E,MATCH(U$1,Data_metier!$B:$B,0)),{"Non Concerné";"Niveau 1";"Niveau 2";"Niveau 3";"Niveau 4"},0)-1),
1/6,0))</f>
        <v>1.3333333333333335</v>
      </c>
      <c r="V3">
        <f>IF(DE_respon_transv!V3=-1,-1,
DE_respon_transv!V3+IF((MATCH(INDEX(Data_metier!$C:$C,MATCH($A3,Data_metier!$B:$B,0)),{"Non Concerné";"Niveau 1";"Niveau 2";"Niveau 3";"Niveau 4"},0)-1)&gt;(MATCH(INDEX(Data_metier!$C:$C,MATCH(V$1,Data_metier!$B:$B,0)),{"Non Concerné";"Niveau 1";"Niveau 2";"Niveau 3";"Niveau 4"},0)-1),
1/6,0)+IF((MATCH(INDEX(Data_metier!$D:$D,MATCH($A3,Data_metier!$B:$B,0)),{"Non Concerné";"Niveau 1";"Niveau 2";"Niveau 3";"Niveau 4"},0)-1)&gt;(MATCH(INDEX(Data_metier!$D:$D,MATCH(V$1,Data_metier!$B:$B,0)),{"Non Concerné";"Niveau 1";"Niveau 2";"Niveau 3";"Niveau 4"},0)-1),
1/6,0)+IF((MATCH(INDEX(Data_metier!$E:$E,MATCH($A3,Data_metier!$B:$B,0)),{"Non Concerné";"Niveau 1";"Niveau 2";"Niveau 3";"Niveau 4"},0)-1)&gt;(MATCH(INDEX(Data_metier!$E:$E,MATCH(V$1,Data_metier!$B:$B,0)),{"Non Concerné";"Niveau 1";"Niveau 2";"Niveau 3";"Niveau 4"},0)-1),
1/6,0))</f>
        <v>0</v>
      </c>
      <c r="W3">
        <f>IF(DE_respon_transv!W3=-1,-1,
DE_respon_transv!W3+IF((MATCH(INDEX(Data_metier!$C:$C,MATCH($A3,Data_metier!$B:$B,0)),{"Non Concerné";"Niveau 1";"Niveau 2";"Niveau 3";"Niveau 4"},0)-1)&gt;(MATCH(INDEX(Data_metier!$C:$C,MATCH(W$1,Data_metier!$B:$B,0)),{"Non Concerné";"Niveau 1";"Niveau 2";"Niveau 3";"Niveau 4"},0)-1),
1/6,0)+IF((MATCH(INDEX(Data_metier!$D:$D,MATCH($A3,Data_metier!$B:$B,0)),{"Non Concerné";"Niveau 1";"Niveau 2";"Niveau 3";"Niveau 4"},0)-1)&gt;(MATCH(INDEX(Data_metier!$D:$D,MATCH(W$1,Data_metier!$B:$B,0)),{"Non Concerné";"Niveau 1";"Niveau 2";"Niveau 3";"Niveau 4"},0)-1),
1/6,0)+IF((MATCH(INDEX(Data_metier!$E:$E,MATCH($A3,Data_metier!$B:$B,0)),{"Non Concerné";"Niveau 1";"Niveau 2";"Niveau 3";"Niveau 4"},0)-1)&gt;(MATCH(INDEX(Data_metier!$E:$E,MATCH(W$1,Data_metier!$B:$B,0)),{"Non Concerné";"Niveau 1";"Niveau 2";"Niveau 3";"Niveau 4"},0)-1),
1/6,0))</f>
        <v>0</v>
      </c>
      <c r="X3">
        <f>IF(DE_respon_transv!X3=-1,-1,
DE_respon_transv!X3+IF((MATCH(INDEX(Data_metier!$C:$C,MATCH($A3,Data_metier!$B:$B,0)),{"Non Concerné";"Niveau 1";"Niveau 2";"Niveau 3";"Niveau 4"},0)-1)&gt;(MATCH(INDEX(Data_metier!$C:$C,MATCH(X$1,Data_metier!$B:$B,0)),{"Non Concerné";"Niveau 1";"Niveau 2";"Niveau 3";"Niveau 4"},0)-1),
1/6,0)+IF((MATCH(INDEX(Data_metier!$D:$D,MATCH($A3,Data_metier!$B:$B,0)),{"Non Concerné";"Niveau 1";"Niveau 2";"Niveau 3";"Niveau 4"},0)-1)&gt;(MATCH(INDEX(Data_metier!$D:$D,MATCH(X$1,Data_metier!$B:$B,0)),{"Non Concerné";"Niveau 1";"Niveau 2";"Niveau 3";"Niveau 4"},0)-1),
1/6,0)+IF((MATCH(INDEX(Data_metier!$E:$E,MATCH($A3,Data_metier!$B:$B,0)),{"Non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3">
        <f>IF(DE_respon_transv!Y3=-1,-1,
DE_respon_transv!Y3+IF((MATCH(INDEX(Data_metier!$C:$C,MATCH($A3,Data_metier!$B:$B,0)),{"Non Concerné";"Niveau 1";"Niveau 2";"Niveau 3";"Niveau 4"},0)-1)&gt;(MATCH(INDEX(Data_metier!$C:$C,MATCH(Y$1,Data_metier!$B:$B,0)),{"Non Concerné";"Niveau 1";"Niveau 2";"Niveau 3";"Niveau 4"},0)-1),
1/6,0)+IF((MATCH(INDEX(Data_metier!$D:$D,MATCH($A3,Data_metier!$B:$B,0)),{"Non Concerné";"Niveau 1";"Niveau 2";"Niveau 3";"Niveau 4"},0)-1)&gt;(MATCH(INDEX(Data_metier!$D:$D,MATCH(Y$1,Data_metier!$B:$B,0)),{"Non Concerné";"Niveau 1";"Niveau 2";"Niveau 3";"Niveau 4"},0)-1),
1/6,0)+IF((MATCH(INDEX(Data_metier!$E:$E,MATCH($A3,Data_metier!$B:$B,0)),{"Non Concerné";"Niveau 1";"Niveau 2";"Niveau 3";"Niveau 4"},0)-1)&gt;(MATCH(INDEX(Data_metier!$E:$E,MATCH(Y$1,Data_metier!$B:$B,0)),{"Non Concerné";"Niveau 1";"Niveau 2";"Niveau 3";"Niveau 4"},0)-1),
1/6,0))</f>
        <v>1.3333333333333335</v>
      </c>
      <c r="Z3">
        <f>IF(DE_respon_transv!Z3=-1,-1,
DE_respon_transv!Z3+IF((MATCH(INDEX(Data_metier!$C:$C,MATCH($A3,Data_metier!$B:$B,0)),{"Non Concerné";"Niveau 1";"Niveau 2";"Niveau 3";"Niveau 4"},0)-1)&gt;(MATCH(INDEX(Data_metier!$C:$C,MATCH(Z$1,Data_metier!$B:$B,0)),{"Non Concerné";"Niveau 1";"Niveau 2";"Niveau 3";"Niveau 4"},0)-1),
1/6,0)+IF((MATCH(INDEX(Data_metier!$D:$D,MATCH($A3,Data_metier!$B:$B,0)),{"Non Concerné";"Niveau 1";"Niveau 2";"Niveau 3";"Niveau 4"},0)-1)&gt;(MATCH(INDEX(Data_metier!$D:$D,MATCH(Z$1,Data_metier!$B:$B,0)),{"Non Concerné";"Niveau 1";"Niveau 2";"Niveau 3";"Niveau 4"},0)-1),
1/6,0)+IF((MATCH(INDEX(Data_metier!$E:$E,MATCH($A3,Data_metier!$B:$B,0)),{"Non Concerné";"Niveau 1";"Niveau 2";"Niveau 3";"Niveau 4"},0)-1)&gt;(MATCH(INDEX(Data_metier!$E:$E,MATCH(Z$1,Data_metier!$B:$B,0)),{"Non Concerné";"Niveau 1";"Niveau 2";"Niveau 3";"Niveau 4"},0)-1),
1/6,0))</f>
        <v>1.3333333333333335</v>
      </c>
      <c r="AA3">
        <f>IF(DE_respon_transv!AA3=-1,-1,
DE_respon_transv!AA3+IF((MATCH(INDEX(Data_metier!$C:$C,MATCH($A3,Data_metier!$B:$B,0)),{"Non Concerné";"Niveau 1";"Niveau 2";"Niveau 3";"Niveau 4"},0)-1)&gt;(MATCH(INDEX(Data_metier!$C:$C,MATCH(AA$1,Data_metier!$B:$B,0)),{"Non Concerné";"Niveau 1";"Niveau 2";"Niveau 3";"Niveau 4"},0)-1),
1/6,0)+IF((MATCH(INDEX(Data_metier!$D:$D,MATCH($A3,Data_metier!$B:$B,0)),{"Non Concerné";"Niveau 1";"Niveau 2";"Niveau 3";"Niveau 4"},0)-1)&gt;(MATCH(INDEX(Data_metier!$D:$D,MATCH(AA$1,Data_metier!$B:$B,0)),{"Non Concerné";"Niveau 1";"Niveau 2";"Niveau 3";"Niveau 4"},0)-1),
1/6,0)+IF((MATCH(INDEX(Data_metier!$E:$E,MATCH($A3,Data_metier!$B:$B,0)),{"Non Concerné";"Niveau 1";"Niveau 2";"Niveau 3";"Niveau 4"},0)-1)&gt;(MATCH(INDEX(Data_metier!$E:$E,MATCH(AA$1,Data_metier!$B:$B,0)),{"Non Concerné";"Niveau 1";"Niveau 2";"Niveau 3";"Niveau 4"},0)-1),
1/6,0))</f>
        <v>1.3333333333333335</v>
      </c>
      <c r="AB3">
        <f>IF(DE_respon_transv!AB3=-1,-1,
DE_respon_transv!AB3+IF((MATCH(INDEX(Data_metier!$C:$C,MATCH($A3,Data_metier!$B:$B,0)),{"Non Concerné";"Niveau 1";"Niveau 2";"Niveau 3";"Niveau 4"},0)-1)&gt;(MATCH(INDEX(Data_metier!$C:$C,MATCH(AB$1,Data_metier!$B:$B,0)),{"Non Concerné";"Niveau 1";"Niveau 2";"Niveau 3";"Niveau 4"},0)-1),
1/6,0)+IF((MATCH(INDEX(Data_metier!$D:$D,MATCH($A3,Data_metier!$B:$B,0)),{"Non Concerné";"Niveau 1";"Niveau 2";"Niveau 3";"Niveau 4"},0)-1)&gt;(MATCH(INDEX(Data_metier!$D:$D,MATCH(AB$1,Data_metier!$B:$B,0)),{"Non Concerné";"Niveau 1";"Niveau 2";"Niveau 3";"Niveau 4"},0)-1),
1/6,0)+IF((MATCH(INDEX(Data_metier!$E:$E,MATCH($A3,Data_metier!$B:$B,0)),{"Non Concerné";"Niveau 1";"Niveau 2";"Niveau 3";"Niveau 4"},0)-1)&gt;(MATCH(INDEX(Data_metier!$E:$E,MATCH(AB$1,Data_metier!$B:$B,0)),{"Non Concerné";"Niveau 1";"Niveau 2";"Niveau 3";"Niveau 4"},0)-1),
1/6,0))</f>
        <v>0</v>
      </c>
      <c r="AC3">
        <f>IF(DE_respon_transv!AC3=-1,-1,
DE_respon_transv!AC3+IF((MATCH(INDEX(Data_metier!$C:$C,MATCH($A3,Data_metier!$B:$B,0)),{"Non Concerné";"Niveau 1";"Niveau 2";"Niveau 3";"Niveau 4"},0)-1)&gt;(MATCH(INDEX(Data_metier!$C:$C,MATCH(AC$1,Data_metier!$B:$B,0)),{"Non Concerné";"Niveau 1";"Niveau 2";"Niveau 3";"Niveau 4"},0)-1),
1/6,0)+IF((MATCH(INDEX(Data_metier!$D:$D,MATCH($A3,Data_metier!$B:$B,0)),{"Non Concerné";"Niveau 1";"Niveau 2";"Niveau 3";"Niveau 4"},0)-1)&gt;(MATCH(INDEX(Data_metier!$D:$D,MATCH(AC$1,Data_metier!$B:$B,0)),{"Non Concerné";"Niveau 1";"Niveau 2";"Niveau 3";"Niveau 4"},0)-1),
1/6,0)+IF((MATCH(INDEX(Data_metier!$E:$E,MATCH($A3,Data_metier!$B:$B,0)),{"Non Concerné";"Niveau 1";"Niveau 2";"Niveau 3";"Niveau 4"},0)-1)&gt;(MATCH(INDEX(Data_metier!$E:$E,MATCH(AC$1,Data_metier!$B:$B,0)),{"Non Concerné";"Niveau 1";"Niveau 2";"Niveau 3";"Niveau 4"},0)-1),
1/6,0))</f>
        <v>0</v>
      </c>
      <c r="AD3">
        <f>IF(DE_respon_transv!AD3=-1,-1,
DE_respon_transv!AD3+IF((MATCH(INDEX(Data_metier!$C:$C,MATCH($A3,Data_metier!$B:$B,0)),{"Non Concerné";"Niveau 1";"Niveau 2";"Niveau 3";"Niveau 4"},0)-1)&gt;(MATCH(INDEX(Data_metier!$C:$C,MATCH(AD$1,Data_metier!$B:$B,0)),{"Non Concerné";"Niveau 1";"Niveau 2";"Niveau 3";"Niveau 4"},0)-1),
1/6,0)+IF((MATCH(INDEX(Data_metier!$D:$D,MATCH($A3,Data_metier!$B:$B,0)),{"Non Concerné";"Niveau 1";"Niveau 2";"Niveau 3";"Niveau 4"},0)-1)&gt;(MATCH(INDEX(Data_metier!$D:$D,MATCH(AD$1,Data_metier!$B:$B,0)),{"Non Concerné";"Niveau 1";"Niveau 2";"Niveau 3";"Niveau 4"},0)-1),
1/6,0)+IF((MATCH(INDEX(Data_metier!$E:$E,MATCH($A3,Data_metier!$B:$B,0)),{"Non Concerné";"Niveau 1";"Niveau 2";"Niveau 3";"Niveau 4"},0)-1)&gt;(MATCH(INDEX(Data_metier!$E:$E,MATCH(AD$1,Data_metier!$B:$B,0)),{"Non Concerné";"Niveau 1";"Niveau 2";"Niveau 3";"Niveau 4"},0)-1),
1/6,0))</f>
        <v>-1</v>
      </c>
    </row>
    <row r="4" spans="1:30">
      <c r="A4" t="str">
        <v>Opérateur(trice) logistique</v>
      </c>
      <c r="B4">
        <f>IF(DE_respon_transv!B4=-1,-1,
DE_respon_transv!B4+IF((MATCH(INDEX(Data_metier!$C:$C,MATCH($A4,Data_metier!$B:$B,0)),{"Non Concerné";"Niveau 1";"Niveau 2";"Niveau 3";"Niveau 4"},0)-1)&gt;(MATCH(INDEX(Data_metier!$C:$C,MATCH(B$1,Data_metier!$B:$B,0)),{"Non Concerné";"Niveau 1";"Niveau 2";"Niveau 3";"Niveau 4"},0)-1),
1/6,0)+IF((MATCH(INDEX(Data_metier!$D:$D,MATCH($A4,Data_metier!$B:$B,0)),{"Non Concerné";"Niveau 1";"Niveau 2";"Niveau 3";"Niveau 4"},0)-1)&gt;(MATCH(INDEX(Data_metier!$D:$D,MATCH(B$1,Data_metier!$B:$B,0)),{"Non Concerné";"Niveau 1";"Niveau 2";"Niveau 3";"Niveau 4"},0)-1),
1/6,0)+IF((MATCH(INDEX(Data_metier!$E:$E,MATCH($A4,Data_metier!$B:$B,0)),{"Non Concerné";"Niveau 1";"Niveau 2";"Niveau 3";"Niveau 4"},0)-1)&gt;(MATCH(INDEX(Data_metier!$E:$E,MATCH(B$1,Data_metier!$B:$B,0)),{"Non Concerné";"Niveau 1";"Niveau 2";"Niveau 3";"Niveau 4"},0)-1),
1/6,0))</f>
        <v>-1</v>
      </c>
      <c r="C4">
        <f>IF(DE_respon_transv!C4=-1,-1,
DE_respon_transv!C4+IF((MATCH(INDEX(Data_metier!$C:$C,MATCH($A4,Data_metier!$B:$B,0)),{"Non Concerné";"Niveau 1";"Niveau 2";"Niveau 3";"Niveau 4"},0)-1)&gt;(MATCH(INDEX(Data_metier!$C:$C,MATCH(C$1,Data_metier!$B:$B,0)),{"Non Concerné";"Niveau 1";"Niveau 2";"Niveau 3";"Niveau 4"},0)-1),
1/6,0)+IF((MATCH(INDEX(Data_metier!$D:$D,MATCH($A4,Data_metier!$B:$B,0)),{"Non Concerné";"Niveau 1";"Niveau 2";"Niveau 3";"Niveau 4"},0)-1)&gt;(MATCH(INDEX(Data_metier!$D:$D,MATCH(C$1,Data_metier!$B:$B,0)),{"Non Concerné";"Niveau 1";"Niveau 2";"Niveau 3";"Niveau 4"},0)-1),
1/6,0)+IF((MATCH(INDEX(Data_metier!$E:$E,MATCH($A4,Data_metier!$B:$B,0)),{"Non Concerné";"Niveau 1";"Niveau 2";"Niveau 3";"Niveau 4"},0)-1)&gt;(MATCH(INDEX(Data_metier!$E:$E,MATCH(C$1,Data_metier!$B:$B,0)),{"Non Concerné";"Niveau 1";"Niveau 2";"Niveau 3";"Niveau 4"},0)-1),
1/6,0))</f>
        <v>-1</v>
      </c>
      <c r="D4">
        <f>IF(DE_respon_transv!D4=-1,-1,
DE_respon_transv!D4+IF((MATCH(INDEX(Data_metier!$C:$C,MATCH($A4,Data_metier!$B:$B,0)),{"Non Concerné";"Niveau 1";"Niveau 2";"Niveau 3";"Niveau 4"},0)-1)&gt;(MATCH(INDEX(Data_metier!$C:$C,MATCH(D$1,Data_metier!$B:$B,0)),{"Non Concerné";"Niveau 1";"Niveau 2";"Niveau 3";"Niveau 4"},0)-1),
1/6,0)+IF((MATCH(INDEX(Data_metier!$D:$D,MATCH($A4,Data_metier!$B:$B,0)),{"Non Concerné";"Niveau 1";"Niveau 2";"Niveau 3";"Niveau 4"},0)-1)&gt;(MATCH(INDEX(Data_metier!$D:$D,MATCH(D$1,Data_metier!$B:$B,0)),{"Non Concerné";"Niveau 1";"Niveau 2";"Niveau 3";"Niveau 4"},0)-1),
1/6,0)+IF((MATCH(INDEX(Data_metier!$E:$E,MATCH($A4,Data_metier!$B:$B,0)),{"Non Concerné";"Niveau 1";"Niveau 2";"Niveau 3";"Niveau 4"},0)-1)&gt;(MATCH(INDEX(Data_metier!$E:$E,MATCH(D$1,Data_metier!$B:$B,0)),{"Non Concerné";"Niveau 1";"Niveau 2";"Niveau 3";"Niveau 4"},0)-1),
1/6,0))</f>
        <v>0</v>
      </c>
      <c r="E4">
        <f>IF(DE_respon_transv!E4=-1,-1,
DE_respon_transv!E4+IF((MATCH(INDEX(Data_metier!$C:$C,MATCH($A4,Data_metier!$B:$B,0)),{"Non Concerné";"Niveau 1";"Niveau 2";"Niveau 3";"Niveau 4"},0)-1)&gt;(MATCH(INDEX(Data_metier!$C:$C,MATCH(E$1,Data_metier!$B:$B,0)),{"Non Concerné";"Niveau 1";"Niveau 2";"Niveau 3";"Niveau 4"},0)-1),
1/6,0)+IF((MATCH(INDEX(Data_metier!$D:$D,MATCH($A4,Data_metier!$B:$B,0)),{"Non Concerné";"Niveau 1";"Niveau 2";"Niveau 3";"Niveau 4"},0)-1)&gt;(MATCH(INDEX(Data_metier!$D:$D,MATCH(E$1,Data_metier!$B:$B,0)),{"Non Concerné";"Niveau 1";"Niveau 2";"Niveau 3";"Niveau 4"},0)-1),
1/6,0)+IF((MATCH(INDEX(Data_metier!$E:$E,MATCH($A4,Data_metier!$B:$B,0)),{"Non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4">
        <f>IF(DE_respon_transv!F4=-1,-1,
DE_respon_transv!F4+IF((MATCH(INDEX(Data_metier!$C:$C,MATCH($A4,Data_metier!$B:$B,0)),{"Non Concerné";"Niveau 1";"Niveau 2";"Niveau 3";"Niveau 4"},0)-1)&gt;(MATCH(INDEX(Data_metier!$C:$C,MATCH(F$1,Data_metier!$B:$B,0)),{"Non Concerné";"Niveau 1";"Niveau 2";"Niveau 3";"Niveau 4"},0)-1),
1/6,0)+IF((MATCH(INDEX(Data_metier!$D:$D,MATCH($A4,Data_metier!$B:$B,0)),{"Non Concerné";"Niveau 1";"Niveau 2";"Niveau 3";"Niveau 4"},0)-1)&gt;(MATCH(INDEX(Data_metier!$D:$D,MATCH(F$1,Data_metier!$B:$B,0)),{"Non Concerné";"Niveau 1";"Niveau 2";"Niveau 3";"Niveau 4"},0)-1),
1/6,0)+IF((MATCH(INDEX(Data_metier!$E:$E,MATCH($A4,Data_metier!$B:$B,0)),{"Non Concerné";"Niveau 1";"Niveau 2";"Niveau 3";"Niveau 4"},0)-1)&gt;(MATCH(INDEX(Data_metier!$E:$E,MATCH(F$1,Data_metier!$B:$B,0)),{"Non Concerné";"Niveau 1";"Niveau 2";"Niveau 3";"Niveau 4"},0)-1),
1/6,0))</f>
        <v>-1</v>
      </c>
      <c r="G4">
        <f>IF(DE_respon_transv!G4=-1,-1,
DE_respon_transv!G4+IF((MATCH(INDEX(Data_metier!$C:$C,MATCH($A4,Data_metier!$B:$B,0)),{"Non Concerné";"Niveau 1";"Niveau 2";"Niveau 3";"Niveau 4"},0)-1)&gt;(MATCH(INDEX(Data_metier!$C:$C,MATCH(G$1,Data_metier!$B:$B,0)),{"Non Concerné";"Niveau 1";"Niveau 2";"Niveau 3";"Niveau 4"},0)-1),
1/6,0)+IF((MATCH(INDEX(Data_metier!$D:$D,MATCH($A4,Data_metier!$B:$B,0)),{"Non Concerné";"Niveau 1";"Niveau 2";"Niveau 3";"Niveau 4"},0)-1)&gt;(MATCH(INDEX(Data_metier!$D:$D,MATCH(G$1,Data_metier!$B:$B,0)),{"Non Concerné";"Niveau 1";"Niveau 2";"Niveau 3";"Niveau 4"},0)-1),
1/6,0)+IF((MATCH(INDEX(Data_metier!$E:$E,MATCH($A4,Data_metier!$B:$B,0)),{"Non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4">
        <f>IF(DE_respon_transv!H4=-1,-1,
DE_respon_transv!H4+IF((MATCH(INDEX(Data_metier!$C:$C,MATCH($A4,Data_metier!$B:$B,0)),{"Non Concerné";"Niveau 1";"Niveau 2";"Niveau 3";"Niveau 4"},0)-1)&gt;(MATCH(INDEX(Data_metier!$C:$C,MATCH(H$1,Data_metier!$B:$B,0)),{"Non Concerné";"Niveau 1";"Niveau 2";"Niveau 3";"Niveau 4"},0)-1),
1/6,0)+IF((MATCH(INDEX(Data_metier!$D:$D,MATCH($A4,Data_metier!$B:$B,0)),{"Non Concerné";"Niveau 1";"Niveau 2";"Niveau 3";"Niveau 4"},0)-1)&gt;(MATCH(INDEX(Data_metier!$D:$D,MATCH(H$1,Data_metier!$B:$B,0)),{"Non Concerné";"Niveau 1";"Niveau 2";"Niveau 3";"Niveau 4"},0)-1),
1/6,0)+IF((MATCH(INDEX(Data_metier!$E:$E,MATCH($A4,Data_metier!$B:$B,0)),{"Non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4">
        <f>IF(DE_respon_transv!I4=-1,-1,
DE_respon_transv!I4+IF((MATCH(INDEX(Data_metier!$C:$C,MATCH($A4,Data_metier!$B:$B,0)),{"Non Concerné";"Niveau 1";"Niveau 2";"Niveau 3";"Niveau 4"},0)-1)&gt;(MATCH(INDEX(Data_metier!$C:$C,MATCH(I$1,Data_metier!$B:$B,0)),{"Non Concerné";"Niveau 1";"Niveau 2";"Niveau 3";"Niveau 4"},0)-1),
1/6,0)+IF((MATCH(INDEX(Data_metier!$D:$D,MATCH($A4,Data_metier!$B:$B,0)),{"Non Concerné";"Niveau 1";"Niveau 2";"Niveau 3";"Niveau 4"},0)-1)&gt;(MATCH(INDEX(Data_metier!$D:$D,MATCH(I$1,Data_metier!$B:$B,0)),{"Non Concerné";"Niveau 1";"Niveau 2";"Niveau 3";"Niveau 4"},0)-1),
1/6,0)+IF((MATCH(INDEX(Data_metier!$E:$E,MATCH($A4,Data_metier!$B:$B,0)),{"Non Concerné";"Niveau 1";"Niveau 2";"Niveau 3";"Niveau 4"},0)-1)&gt;(MATCH(INDEX(Data_metier!$E:$E,MATCH(I$1,Data_metier!$B:$B,0)),{"Non Concerné";"Niveau 1";"Niveau 2";"Niveau 3";"Niveau 4"},0)-1),
1/6,0))</f>
        <v>0</v>
      </c>
      <c r="J4">
        <f>IF(DE_respon_transv!J4=-1,-1,
DE_respon_transv!J4+IF((MATCH(INDEX(Data_metier!$C:$C,MATCH($A4,Data_metier!$B:$B,0)),{"Non Concerné";"Niveau 1";"Niveau 2";"Niveau 3";"Niveau 4"},0)-1)&gt;(MATCH(INDEX(Data_metier!$C:$C,MATCH(J$1,Data_metier!$B:$B,0)),{"Non Concerné";"Niveau 1";"Niveau 2";"Niveau 3";"Niveau 4"},0)-1),
1/6,0)+IF((MATCH(INDEX(Data_metier!$D:$D,MATCH($A4,Data_metier!$B:$B,0)),{"Non Concerné";"Niveau 1";"Niveau 2";"Niveau 3";"Niveau 4"},0)-1)&gt;(MATCH(INDEX(Data_metier!$D:$D,MATCH(J$1,Data_metier!$B:$B,0)),{"Non Concerné";"Niveau 1";"Niveau 2";"Niveau 3";"Niveau 4"},0)-1),
1/6,0)+IF((MATCH(INDEX(Data_metier!$E:$E,MATCH($A4,Data_metier!$B:$B,0)),{"Non Concerné";"Niveau 1";"Niveau 2";"Niveau 3";"Niveau 4"},0)-1)&gt;(MATCH(INDEX(Data_metier!$E:$E,MATCH(J$1,Data_metier!$B:$B,0)),{"Non Concerné";"Niveau 1";"Niveau 2";"Niveau 3";"Niveau 4"},0)-1),
1/6,0))</f>
        <v>-1</v>
      </c>
      <c r="K4">
        <f>IF(DE_respon_transv!K4=-1,-1,
DE_respon_transv!K4+IF((MATCH(INDEX(Data_metier!$C:$C,MATCH($A4,Data_metier!$B:$B,0)),{"Non Concerné";"Niveau 1";"Niveau 2";"Niveau 3";"Niveau 4"},0)-1)&gt;(MATCH(INDEX(Data_metier!$C:$C,MATCH(K$1,Data_metier!$B:$B,0)),{"Non Concerné";"Niveau 1";"Niveau 2";"Niveau 3";"Niveau 4"},0)-1),
1/6,0)+IF((MATCH(INDEX(Data_metier!$D:$D,MATCH($A4,Data_metier!$B:$B,0)),{"Non Concerné";"Niveau 1";"Niveau 2";"Niveau 3";"Niveau 4"},0)-1)&gt;(MATCH(INDEX(Data_metier!$D:$D,MATCH(K$1,Data_metier!$B:$B,0)),{"Non Concerné";"Niveau 1";"Niveau 2";"Niveau 3";"Niveau 4"},0)-1),
1/6,0)+IF((MATCH(INDEX(Data_metier!$E:$E,MATCH($A4,Data_metier!$B:$B,0)),{"Non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4">
        <f>IF(DE_respon_transv!L4=-1,-1,
DE_respon_transv!L4+IF((MATCH(INDEX(Data_metier!$C:$C,MATCH($A4,Data_metier!$B:$B,0)),{"Non Concerné";"Niveau 1";"Niveau 2";"Niveau 3";"Niveau 4"},0)-1)&gt;(MATCH(INDEX(Data_metier!$C:$C,MATCH(L$1,Data_metier!$B:$B,0)),{"Non Concerné";"Niveau 1";"Niveau 2";"Niveau 3";"Niveau 4"},0)-1),
1/6,0)+IF((MATCH(INDEX(Data_metier!$D:$D,MATCH($A4,Data_metier!$B:$B,0)),{"Non Concerné";"Niveau 1";"Niveau 2";"Niveau 3";"Niveau 4"},0)-1)&gt;(MATCH(INDEX(Data_metier!$D:$D,MATCH(L$1,Data_metier!$B:$B,0)),{"Non Concerné";"Niveau 1";"Niveau 2";"Niveau 3";"Niveau 4"},0)-1),
1/6,0)+IF((MATCH(INDEX(Data_metier!$E:$E,MATCH($A4,Data_metier!$B:$B,0)),{"Non Concerné";"Niveau 1";"Niveau 2";"Niveau 3";"Niveau 4"},0)-1)&gt;(MATCH(INDEX(Data_metier!$E:$E,MATCH(L$1,Data_metier!$B:$B,0)),{"Non Concerné";"Niveau 1";"Niveau 2";"Niveau 3";"Niveau 4"},0)-1),
1/6,0))</f>
        <v>0</v>
      </c>
      <c r="M4">
        <f>IF(DE_respon_transv!M4=-1,-1,
DE_respon_transv!M4+IF((MATCH(INDEX(Data_metier!$C:$C,MATCH($A4,Data_metier!$B:$B,0)),{"Non Concerné";"Niveau 1";"Niveau 2";"Niveau 3";"Niveau 4"},0)-1)&gt;(MATCH(INDEX(Data_metier!$C:$C,MATCH(M$1,Data_metier!$B:$B,0)),{"Non Concerné";"Niveau 1";"Niveau 2";"Niveau 3";"Niveau 4"},0)-1),
1/6,0)+IF((MATCH(INDEX(Data_metier!$D:$D,MATCH($A4,Data_metier!$B:$B,0)),{"Non Concerné";"Niveau 1";"Niveau 2";"Niveau 3";"Niveau 4"},0)-1)&gt;(MATCH(INDEX(Data_metier!$D:$D,MATCH(M$1,Data_metier!$B:$B,0)),{"Non Concerné";"Niveau 1";"Niveau 2";"Niveau 3";"Niveau 4"},0)-1),
1/6,0)+IF((MATCH(INDEX(Data_metier!$E:$E,MATCH($A4,Data_metier!$B:$B,0)),{"Non Concerné";"Niveau 1";"Niveau 2";"Niveau 3";"Niveau 4"},0)-1)&gt;(MATCH(INDEX(Data_metier!$E:$E,MATCH(M$1,Data_metier!$B:$B,0)),{"Non Concerné";"Niveau 1";"Niveau 2";"Niveau 3";"Niveau 4"},0)-1),
1/6,0))</f>
        <v>-1</v>
      </c>
      <c r="N4">
        <f>IF(DE_respon_transv!N4=-1,-1,
DE_respon_transv!N4+IF((MATCH(INDEX(Data_metier!$C:$C,MATCH($A4,Data_metier!$B:$B,0)),{"Non Concerné";"Niveau 1";"Niveau 2";"Niveau 3";"Niveau 4"},0)-1)&gt;(MATCH(INDEX(Data_metier!$C:$C,MATCH(N$1,Data_metier!$B:$B,0)),{"Non Concerné";"Niveau 1";"Niveau 2";"Niveau 3";"Niveau 4"},0)-1),
1/6,0)+IF((MATCH(INDEX(Data_metier!$D:$D,MATCH($A4,Data_metier!$B:$B,0)),{"Non Concerné";"Niveau 1";"Niveau 2";"Niveau 3";"Niveau 4"},0)-1)&gt;(MATCH(INDEX(Data_metier!$D:$D,MATCH(N$1,Data_metier!$B:$B,0)),{"Non Concerné";"Niveau 1";"Niveau 2";"Niveau 3";"Niveau 4"},0)-1),
1/6,0)+IF((MATCH(INDEX(Data_metier!$E:$E,MATCH($A4,Data_metier!$B:$B,0)),{"Non Concerné";"Niveau 1";"Niveau 2";"Niveau 3";"Niveau 4"},0)-1)&gt;(MATCH(INDEX(Data_metier!$E:$E,MATCH(N$1,Data_metier!$B:$B,0)),{"Non Concerné";"Niveau 1";"Niveau 2";"Niveau 3";"Niveau 4"},0)-1),
1/6,0))</f>
        <v>-1</v>
      </c>
      <c r="O4">
        <f>IF(DE_respon_transv!O4=-1,-1,
DE_respon_transv!O4+IF((MATCH(INDEX(Data_metier!$C:$C,MATCH($A4,Data_metier!$B:$B,0)),{"Non Concerné";"Niveau 1";"Niveau 2";"Niveau 3";"Niveau 4"},0)-1)&gt;(MATCH(INDEX(Data_metier!$C:$C,MATCH(O$1,Data_metier!$B:$B,0)),{"Non Concerné";"Niveau 1";"Niveau 2";"Niveau 3";"Niveau 4"},0)-1),
1/6,0)+IF((MATCH(INDEX(Data_metier!$D:$D,MATCH($A4,Data_metier!$B:$B,0)),{"Non Concerné";"Niveau 1";"Niveau 2";"Niveau 3";"Niveau 4"},0)-1)&gt;(MATCH(INDEX(Data_metier!$D:$D,MATCH(O$1,Data_metier!$B:$B,0)),{"Non Concerné";"Niveau 1";"Niveau 2";"Niveau 3";"Niveau 4"},0)-1),
1/6,0)+IF((MATCH(INDEX(Data_metier!$E:$E,MATCH($A4,Data_metier!$B:$B,0)),{"Non Concerné";"Niveau 1";"Niveau 2";"Niveau 3";"Niveau 4"},0)-1)&gt;(MATCH(INDEX(Data_metier!$E:$E,MATCH(O$1,Data_metier!$B:$B,0)),{"Non Concerné";"Niveau 1";"Niveau 2";"Niveau 3";"Niveau 4"},0)-1),
1/6,0))</f>
        <v>0</v>
      </c>
      <c r="P4">
        <f>IF(DE_respon_transv!P4=-1,-1,
DE_respon_transv!P4+IF((MATCH(INDEX(Data_metier!$C:$C,MATCH($A4,Data_metier!$B:$B,0)),{"Non Concerné";"Niveau 1";"Niveau 2";"Niveau 3";"Niveau 4"},0)-1)&gt;(MATCH(INDEX(Data_metier!$C:$C,MATCH(P$1,Data_metier!$B:$B,0)),{"Non Concerné";"Niveau 1";"Niveau 2";"Niveau 3";"Niveau 4"},0)-1),
1/6,0)+IF((MATCH(INDEX(Data_metier!$D:$D,MATCH($A4,Data_metier!$B:$B,0)),{"Non Concerné";"Niveau 1";"Niveau 2";"Niveau 3";"Niveau 4"},0)-1)&gt;(MATCH(INDEX(Data_metier!$D:$D,MATCH(P$1,Data_metier!$B:$B,0)),{"Non Concerné";"Niveau 1";"Niveau 2";"Niveau 3";"Niveau 4"},0)-1),
1/6,0)+IF((MATCH(INDEX(Data_metier!$E:$E,MATCH($A4,Data_metier!$B:$B,0)),{"Non Concerné";"Niveau 1";"Niveau 2";"Niveau 3";"Niveau 4"},0)-1)&gt;(MATCH(INDEX(Data_metier!$E:$E,MATCH(P$1,Data_metier!$B:$B,0)),{"Non Concerné";"Niveau 1";"Niveau 2";"Niveau 3";"Niveau 4"},0)-1),
1/6,0))</f>
        <v>0</v>
      </c>
      <c r="Q4">
        <f>IF(DE_respon_transv!Q4=-1,-1,
DE_respon_transv!Q4+IF((MATCH(INDEX(Data_metier!$C:$C,MATCH($A4,Data_metier!$B:$B,0)),{"Non Concerné";"Niveau 1";"Niveau 2";"Niveau 3";"Niveau 4"},0)-1)&gt;(MATCH(INDEX(Data_metier!$C:$C,MATCH(Q$1,Data_metier!$B:$B,0)),{"Non Concerné";"Niveau 1";"Niveau 2";"Niveau 3";"Niveau 4"},0)-1),
1/6,0)+IF((MATCH(INDEX(Data_metier!$D:$D,MATCH($A4,Data_metier!$B:$B,0)),{"Non Concerné";"Niveau 1";"Niveau 2";"Niveau 3";"Niveau 4"},0)-1)&gt;(MATCH(INDEX(Data_metier!$D:$D,MATCH(Q$1,Data_metier!$B:$B,0)),{"Non Concerné";"Niveau 1";"Niveau 2";"Niveau 3";"Niveau 4"},0)-1),
1/6,0)+IF((MATCH(INDEX(Data_metier!$E:$E,MATCH($A4,Data_metier!$B:$B,0)),{"Non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4">
        <f>IF(DE_respon_transv!R4=-1,-1,
DE_respon_transv!R4+IF((MATCH(INDEX(Data_metier!$C:$C,MATCH($A4,Data_metier!$B:$B,0)),{"Non Concerné";"Niveau 1";"Niveau 2";"Niveau 3";"Niveau 4"},0)-1)&gt;(MATCH(INDEX(Data_metier!$C:$C,MATCH(R$1,Data_metier!$B:$B,0)),{"Non Concerné";"Niveau 1";"Niveau 2";"Niveau 3";"Niveau 4"},0)-1),
1/6,0)+IF((MATCH(INDEX(Data_metier!$D:$D,MATCH($A4,Data_metier!$B:$B,0)),{"Non Concerné";"Niveau 1";"Niveau 2";"Niveau 3";"Niveau 4"},0)-1)&gt;(MATCH(INDEX(Data_metier!$D:$D,MATCH(R$1,Data_metier!$B:$B,0)),{"Non Concerné";"Niveau 1";"Niveau 2";"Niveau 3";"Niveau 4"},0)-1),
1/6,0)+IF((MATCH(INDEX(Data_metier!$E:$E,MATCH($A4,Data_metier!$B:$B,0)),{"Non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4">
        <f>IF(DE_respon_transv!S4=-1,-1,
DE_respon_transv!S4+IF((MATCH(INDEX(Data_metier!$C:$C,MATCH($A4,Data_metier!$B:$B,0)),{"Non Concerné";"Niveau 1";"Niveau 2";"Niveau 3";"Niveau 4"},0)-1)&gt;(MATCH(INDEX(Data_metier!$C:$C,MATCH(S$1,Data_metier!$B:$B,0)),{"Non Concerné";"Niveau 1";"Niveau 2";"Niveau 3";"Niveau 4"},0)-1),
1/6,0)+IF((MATCH(INDEX(Data_metier!$D:$D,MATCH($A4,Data_metier!$B:$B,0)),{"Non Concerné";"Niveau 1";"Niveau 2";"Niveau 3";"Niveau 4"},0)-1)&gt;(MATCH(INDEX(Data_metier!$D:$D,MATCH(S$1,Data_metier!$B:$B,0)),{"Non Concerné";"Niveau 1";"Niveau 2";"Niveau 3";"Niveau 4"},0)-1),
1/6,0)+IF((MATCH(INDEX(Data_metier!$E:$E,MATCH($A4,Data_metier!$B:$B,0)),{"Non Concerné";"Niveau 1";"Niveau 2";"Niveau 3";"Niveau 4"},0)-1)&gt;(MATCH(INDEX(Data_metier!$E:$E,MATCH(S$1,Data_metier!$B:$B,0)),{"Non Concerné";"Niveau 1";"Niveau 2";"Niveau 3";"Niveau 4"},0)-1),
1/6,0))</f>
        <v>0</v>
      </c>
      <c r="T4">
        <f>IF(DE_respon_transv!T4=-1,-1,
DE_respon_transv!T4+IF((MATCH(INDEX(Data_metier!$C:$C,MATCH($A4,Data_metier!$B:$B,0)),{"Non Concerné";"Niveau 1";"Niveau 2";"Niveau 3";"Niveau 4"},0)-1)&gt;(MATCH(INDEX(Data_metier!$C:$C,MATCH(T$1,Data_metier!$B:$B,0)),{"Non Concerné";"Niveau 1";"Niveau 2";"Niveau 3";"Niveau 4"},0)-1),
1/6,0)+IF((MATCH(INDEX(Data_metier!$D:$D,MATCH($A4,Data_metier!$B:$B,0)),{"Non Concerné";"Niveau 1";"Niveau 2";"Niveau 3";"Niveau 4"},0)-1)&gt;(MATCH(INDEX(Data_metier!$D:$D,MATCH(T$1,Data_metier!$B:$B,0)),{"Non Concerné";"Niveau 1";"Niveau 2";"Niveau 3";"Niveau 4"},0)-1),
1/6,0)+IF((MATCH(INDEX(Data_metier!$E:$E,MATCH($A4,Data_metier!$B:$B,0)),{"Non Concerné";"Niveau 1";"Niveau 2";"Niveau 3";"Niveau 4"},0)-1)&gt;(MATCH(INDEX(Data_metier!$E:$E,MATCH(T$1,Data_metier!$B:$B,0)),{"Non Concerné";"Niveau 1";"Niveau 2";"Niveau 3";"Niveau 4"},0)-1),
1/6,0))</f>
        <v>0</v>
      </c>
      <c r="U4">
        <f>IF(DE_respon_transv!U4=-1,-1,
DE_respon_transv!U4+IF((MATCH(INDEX(Data_metier!$C:$C,MATCH($A4,Data_metier!$B:$B,0)),{"Non Concerné";"Niveau 1";"Niveau 2";"Niveau 3";"Niveau 4"},0)-1)&gt;(MATCH(INDEX(Data_metier!$C:$C,MATCH(U$1,Data_metier!$B:$B,0)),{"Non Concerné";"Niveau 1";"Niveau 2";"Niveau 3";"Niveau 4"},0)-1),
1/6,0)+IF((MATCH(INDEX(Data_metier!$D:$D,MATCH($A4,Data_metier!$B:$B,0)),{"Non Concerné";"Niveau 1";"Niveau 2";"Niveau 3";"Niveau 4"},0)-1)&gt;(MATCH(INDEX(Data_metier!$D:$D,MATCH(U$1,Data_metier!$B:$B,0)),{"Non Concerné";"Niveau 1";"Niveau 2";"Niveau 3";"Niveau 4"},0)-1),
1/6,0)+IF((MATCH(INDEX(Data_metier!$E:$E,MATCH($A4,Data_metier!$B:$B,0)),{"Non Concerné";"Niveau 1";"Niveau 2";"Niveau 3";"Niveau 4"},0)-1)&gt;(MATCH(INDEX(Data_metier!$E:$E,MATCH(U$1,Data_metier!$B:$B,0)),{"Non Concerné";"Niveau 1";"Niveau 2";"Niveau 3";"Niveau 4"},0)-1),
1/6,0))</f>
        <v>0</v>
      </c>
      <c r="V4">
        <f>IF(DE_respon_transv!V4=-1,-1,
DE_respon_transv!V4+IF((MATCH(INDEX(Data_metier!$C:$C,MATCH($A4,Data_metier!$B:$B,0)),{"Non Concerné";"Niveau 1";"Niveau 2";"Niveau 3";"Niveau 4"},0)-1)&gt;(MATCH(INDEX(Data_metier!$C:$C,MATCH(V$1,Data_metier!$B:$B,0)),{"Non Concerné";"Niveau 1";"Niveau 2";"Niveau 3";"Niveau 4"},0)-1),
1/6,0)+IF((MATCH(INDEX(Data_metier!$D:$D,MATCH($A4,Data_metier!$B:$B,0)),{"Non Concerné";"Niveau 1";"Niveau 2";"Niveau 3";"Niveau 4"},0)-1)&gt;(MATCH(INDEX(Data_metier!$D:$D,MATCH(V$1,Data_metier!$B:$B,0)),{"Non Concerné";"Niveau 1";"Niveau 2";"Niveau 3";"Niveau 4"},0)-1),
1/6,0)+IF((MATCH(INDEX(Data_metier!$E:$E,MATCH($A4,Data_metier!$B:$B,0)),{"Non Concerné";"Niveau 1";"Niveau 2";"Niveau 3";"Niveau 4"},0)-1)&gt;(MATCH(INDEX(Data_metier!$E:$E,MATCH(V$1,Data_metier!$B:$B,0)),{"Non Concerné";"Niveau 1";"Niveau 2";"Niveau 3";"Niveau 4"},0)-1),
1/6,0))</f>
        <v>-1</v>
      </c>
      <c r="W4">
        <f>IF(DE_respon_transv!W4=-1,-1,
DE_respon_transv!W4+IF((MATCH(INDEX(Data_metier!$C:$C,MATCH($A4,Data_metier!$B:$B,0)),{"Non Concerné";"Niveau 1";"Niveau 2";"Niveau 3";"Niveau 4"},0)-1)&gt;(MATCH(INDEX(Data_metier!$C:$C,MATCH(W$1,Data_metier!$B:$B,0)),{"Non Concerné";"Niveau 1";"Niveau 2";"Niveau 3";"Niveau 4"},0)-1),
1/6,0)+IF((MATCH(INDEX(Data_metier!$D:$D,MATCH($A4,Data_metier!$B:$B,0)),{"Non Concerné";"Niveau 1";"Niveau 2";"Niveau 3";"Niveau 4"},0)-1)&gt;(MATCH(INDEX(Data_metier!$D:$D,MATCH(W$1,Data_metier!$B:$B,0)),{"Non Concerné";"Niveau 1";"Niveau 2";"Niveau 3";"Niveau 4"},0)-1),
1/6,0)+IF((MATCH(INDEX(Data_metier!$E:$E,MATCH($A4,Data_metier!$B:$B,0)),{"Non Concerné";"Niveau 1";"Niveau 2";"Niveau 3";"Niveau 4"},0)-1)&gt;(MATCH(INDEX(Data_metier!$E:$E,MATCH(W$1,Data_metier!$B:$B,0)),{"Non Concerné";"Niveau 1";"Niveau 2";"Niveau 3";"Niveau 4"},0)-1),
1/6,0))</f>
        <v>-1</v>
      </c>
      <c r="X4">
        <f>IF(DE_respon_transv!X4=-1,-1,
DE_respon_transv!X4+IF((MATCH(INDEX(Data_metier!$C:$C,MATCH($A4,Data_metier!$B:$B,0)),{"Non Concerné";"Niveau 1";"Niveau 2";"Niveau 3";"Niveau 4"},0)-1)&gt;(MATCH(INDEX(Data_metier!$C:$C,MATCH(X$1,Data_metier!$B:$B,0)),{"Non Concerné";"Niveau 1";"Niveau 2";"Niveau 3";"Niveau 4"},0)-1),
1/6,0)+IF((MATCH(INDEX(Data_metier!$D:$D,MATCH($A4,Data_metier!$B:$B,0)),{"Non Concerné";"Niveau 1";"Niveau 2";"Niveau 3";"Niveau 4"},0)-1)&gt;(MATCH(INDEX(Data_metier!$D:$D,MATCH(X$1,Data_metier!$B:$B,0)),{"Non Concerné";"Niveau 1";"Niveau 2";"Niveau 3";"Niveau 4"},0)-1),
1/6,0)+IF((MATCH(INDEX(Data_metier!$E:$E,MATCH($A4,Data_metier!$B:$B,0)),{"Non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4">
        <f>IF(DE_respon_transv!Y4=-1,-1,
DE_respon_transv!Y4+IF((MATCH(INDEX(Data_metier!$C:$C,MATCH($A4,Data_metier!$B:$B,0)),{"Non Concerné";"Niveau 1";"Niveau 2";"Niveau 3";"Niveau 4"},0)-1)&gt;(MATCH(INDEX(Data_metier!$C:$C,MATCH(Y$1,Data_metier!$B:$B,0)),{"Non Concerné";"Niveau 1";"Niveau 2";"Niveau 3";"Niveau 4"},0)-1),
1/6,0)+IF((MATCH(INDEX(Data_metier!$D:$D,MATCH($A4,Data_metier!$B:$B,0)),{"Non Concerné";"Niveau 1";"Niveau 2";"Niveau 3";"Niveau 4"},0)-1)&gt;(MATCH(INDEX(Data_metier!$D:$D,MATCH(Y$1,Data_metier!$B:$B,0)),{"Non Concerné";"Niveau 1";"Niveau 2";"Niveau 3";"Niveau 4"},0)-1),
1/6,0)+IF((MATCH(INDEX(Data_metier!$E:$E,MATCH($A4,Data_metier!$B:$B,0)),{"Non Concerné";"Niveau 1";"Niveau 2";"Niveau 3";"Niveau 4"},0)-1)&gt;(MATCH(INDEX(Data_metier!$E:$E,MATCH(Y$1,Data_metier!$B:$B,0)),{"Non Concerné";"Niveau 1";"Niveau 2";"Niveau 3";"Niveau 4"},0)-1),
1/6,0))</f>
        <v>0</v>
      </c>
      <c r="Z4">
        <f>IF(DE_respon_transv!Z4=-1,-1,
DE_respon_transv!Z4+IF((MATCH(INDEX(Data_metier!$C:$C,MATCH($A4,Data_metier!$B:$B,0)),{"Non Concerné";"Niveau 1";"Niveau 2";"Niveau 3";"Niveau 4"},0)-1)&gt;(MATCH(INDEX(Data_metier!$C:$C,MATCH(Z$1,Data_metier!$B:$B,0)),{"Non Concerné";"Niveau 1";"Niveau 2";"Niveau 3";"Niveau 4"},0)-1),
1/6,0)+IF((MATCH(INDEX(Data_metier!$D:$D,MATCH($A4,Data_metier!$B:$B,0)),{"Non Concerné";"Niveau 1";"Niveau 2";"Niveau 3";"Niveau 4"},0)-1)&gt;(MATCH(INDEX(Data_metier!$D:$D,MATCH(Z$1,Data_metier!$B:$B,0)),{"Non Concerné";"Niveau 1";"Niveau 2";"Niveau 3";"Niveau 4"},0)-1),
1/6,0)+IF((MATCH(INDEX(Data_metier!$E:$E,MATCH($A4,Data_metier!$B:$B,0)),{"Non Concerné";"Niveau 1";"Niveau 2";"Niveau 3";"Niveau 4"},0)-1)&gt;(MATCH(INDEX(Data_metier!$E:$E,MATCH(Z$1,Data_metier!$B:$B,0)),{"Non Concerné";"Niveau 1";"Niveau 2";"Niveau 3";"Niveau 4"},0)-1),
1/6,0))</f>
        <v>0</v>
      </c>
      <c r="AA4">
        <f>IF(DE_respon_transv!AA4=-1,-1,
DE_respon_transv!AA4+IF((MATCH(INDEX(Data_metier!$C:$C,MATCH($A4,Data_metier!$B:$B,0)),{"Non Concerné";"Niveau 1";"Niveau 2";"Niveau 3";"Niveau 4"},0)-1)&gt;(MATCH(INDEX(Data_metier!$C:$C,MATCH(AA$1,Data_metier!$B:$B,0)),{"Non Concerné";"Niveau 1";"Niveau 2";"Niveau 3";"Niveau 4"},0)-1),
1/6,0)+IF((MATCH(INDEX(Data_metier!$D:$D,MATCH($A4,Data_metier!$B:$B,0)),{"Non Concerné";"Niveau 1";"Niveau 2";"Niveau 3";"Niveau 4"},0)-1)&gt;(MATCH(INDEX(Data_metier!$D:$D,MATCH(AA$1,Data_metier!$B:$B,0)),{"Non Concerné";"Niveau 1";"Niveau 2";"Niveau 3";"Niveau 4"},0)-1),
1/6,0)+IF((MATCH(INDEX(Data_metier!$E:$E,MATCH($A4,Data_metier!$B:$B,0)),{"Non Concerné";"Niveau 1";"Niveau 2";"Niveau 3";"Niveau 4"},0)-1)&gt;(MATCH(INDEX(Data_metier!$E:$E,MATCH(AA$1,Data_metier!$B:$B,0)),{"Non Concerné";"Niveau 1";"Niveau 2";"Niveau 3";"Niveau 4"},0)-1),
1/6,0))</f>
        <v>0</v>
      </c>
      <c r="AB4">
        <f>IF(DE_respon_transv!AB4=-1,-1,
DE_respon_transv!AB4+IF((MATCH(INDEX(Data_metier!$C:$C,MATCH($A4,Data_metier!$B:$B,0)),{"Non Concerné";"Niveau 1";"Niveau 2";"Niveau 3";"Niveau 4"},0)-1)&gt;(MATCH(INDEX(Data_metier!$C:$C,MATCH(AB$1,Data_metier!$B:$B,0)),{"Non Concerné";"Niveau 1";"Niveau 2";"Niveau 3";"Niveau 4"},0)-1),
1/6,0)+IF((MATCH(INDEX(Data_metier!$D:$D,MATCH($A4,Data_metier!$B:$B,0)),{"Non Concerné";"Niveau 1";"Niveau 2";"Niveau 3";"Niveau 4"},0)-1)&gt;(MATCH(INDEX(Data_metier!$D:$D,MATCH(AB$1,Data_metier!$B:$B,0)),{"Non Concerné";"Niveau 1";"Niveau 2";"Niveau 3";"Niveau 4"},0)-1),
1/6,0)+IF((MATCH(INDEX(Data_metier!$E:$E,MATCH($A4,Data_metier!$B:$B,0)),{"Non Concerné";"Niveau 1";"Niveau 2";"Niveau 3";"Niveau 4"},0)-1)&gt;(MATCH(INDEX(Data_metier!$E:$E,MATCH(AB$1,Data_metier!$B:$B,0)),{"Non Concerné";"Niveau 1";"Niveau 2";"Niveau 3";"Niveau 4"},0)-1),
1/6,0))</f>
        <v>-1</v>
      </c>
      <c r="AC4">
        <f>IF(DE_respon_transv!AC4=-1,-1,
DE_respon_transv!AC4+IF((MATCH(INDEX(Data_metier!$C:$C,MATCH($A4,Data_metier!$B:$B,0)),{"Non Concerné";"Niveau 1";"Niveau 2";"Niveau 3";"Niveau 4"},0)-1)&gt;(MATCH(INDEX(Data_metier!$C:$C,MATCH(AC$1,Data_metier!$B:$B,0)),{"Non Concerné";"Niveau 1";"Niveau 2";"Niveau 3";"Niveau 4"},0)-1),
1/6,0)+IF((MATCH(INDEX(Data_metier!$D:$D,MATCH($A4,Data_metier!$B:$B,0)),{"Non Concerné";"Niveau 1";"Niveau 2";"Niveau 3";"Niveau 4"},0)-1)&gt;(MATCH(INDEX(Data_metier!$D:$D,MATCH(AC$1,Data_metier!$B:$B,0)),{"Non Concerné";"Niveau 1";"Niveau 2";"Niveau 3";"Niveau 4"},0)-1),
1/6,0)+IF((MATCH(INDEX(Data_metier!$E:$E,MATCH($A4,Data_metier!$B:$B,0)),{"Non Concerné";"Niveau 1";"Niveau 2";"Niveau 3";"Niveau 4"},0)-1)&gt;(MATCH(INDEX(Data_metier!$E:$E,MATCH(AC$1,Data_metier!$B:$B,0)),{"Non Concerné";"Niveau 1";"Niveau 2";"Niveau 3";"Niveau 4"},0)-1),
1/6,0))</f>
        <v>-1</v>
      </c>
      <c r="AD4">
        <f>IF(DE_respon_transv!AD4=-1,-1,
DE_respon_transv!AD4+IF((MATCH(INDEX(Data_metier!$C:$C,MATCH($A4,Data_metier!$B:$B,0)),{"Non Concerné";"Niveau 1";"Niveau 2";"Niveau 3";"Niveau 4"},0)-1)&gt;(MATCH(INDEX(Data_metier!$C:$C,MATCH(AD$1,Data_metier!$B:$B,0)),{"Non Concerné";"Niveau 1";"Niveau 2";"Niveau 3";"Niveau 4"},0)-1),
1/6,0)+IF((MATCH(INDEX(Data_metier!$D:$D,MATCH($A4,Data_metier!$B:$B,0)),{"Non Concerné";"Niveau 1";"Niveau 2";"Niveau 3";"Niveau 4"},0)-1)&gt;(MATCH(INDEX(Data_metier!$D:$D,MATCH(AD$1,Data_metier!$B:$B,0)),{"Non Concerné";"Niveau 1";"Niveau 2";"Niveau 3";"Niveau 4"},0)-1),
1/6,0)+IF((MATCH(INDEX(Data_metier!$E:$E,MATCH($A4,Data_metier!$B:$B,0)),{"Non Concerné";"Niveau 1";"Niveau 2";"Niveau 3";"Niveau 4"},0)-1)&gt;(MATCH(INDEX(Data_metier!$E:$E,MATCH(AD$1,Data_metier!$B:$B,0)),{"Non Concerné";"Niveau 1";"Niveau 2";"Niveau 3";"Niveau 4"},0)-1),
1/6,0))</f>
        <v>-1</v>
      </c>
    </row>
    <row r="5" spans="1:30">
      <c r="A5" t="str">
        <v>Manager(euse) logistique</v>
      </c>
      <c r="B5">
        <f>IF(DE_respon_transv!B5=-1,-1,
DE_respon_transv!B5+IF((MATCH(INDEX(Data_metier!$C:$C,MATCH($A5,Data_metier!$B:$B,0)),{"Non Concerné";"Niveau 1";"Niveau 2";"Niveau 3";"Niveau 4"},0)-1)&gt;(MATCH(INDEX(Data_metier!$C:$C,MATCH(B$1,Data_metier!$B:$B,0)),{"Non Concerné";"Niveau 1";"Niveau 2";"Niveau 3";"Niveau 4"},0)-1),
1/6,0)+IF((MATCH(INDEX(Data_metier!$D:$D,MATCH($A5,Data_metier!$B:$B,0)),{"Non Concerné";"Niveau 1";"Niveau 2";"Niveau 3";"Niveau 4"},0)-1)&gt;(MATCH(INDEX(Data_metier!$D:$D,MATCH(B$1,Data_metier!$B:$B,0)),{"Non Concerné";"Niveau 1";"Niveau 2";"Niveau 3";"Niveau 4"},0)-1),
1/6,0)+IF((MATCH(INDEX(Data_metier!$E:$E,MATCH($A5,Data_metier!$B:$B,0)),{"Non Concerné";"Niveau 1";"Niveau 2";"Niveau 3";"Niveau 4"},0)-1)&gt;(MATCH(INDEX(Data_metier!$E:$E,MATCH(B$1,Data_metier!$B:$B,0)),{"Non Concerné";"Niveau 1";"Niveau 2";"Niveau 3";"Niveau 4"},0)-1),
1/6,0))</f>
        <v>2.9999999999999996</v>
      </c>
      <c r="C5">
        <f>IF(DE_respon_transv!C5=-1,-1,
DE_respon_transv!C5+IF((MATCH(INDEX(Data_metier!$C:$C,MATCH($A5,Data_metier!$B:$B,0)),{"Non Concerné";"Niveau 1";"Niveau 2";"Niveau 3";"Niveau 4"},0)-1)&gt;(MATCH(INDEX(Data_metier!$C:$C,MATCH(C$1,Data_metier!$B:$B,0)),{"Non Concerné";"Niveau 1";"Niveau 2";"Niveau 3";"Niveau 4"},0)-1),
1/6,0)+IF((MATCH(INDEX(Data_metier!$D:$D,MATCH($A5,Data_metier!$B:$B,0)),{"Non Concerné";"Niveau 1";"Niveau 2";"Niveau 3";"Niveau 4"},0)-1)&gt;(MATCH(INDEX(Data_metier!$D:$D,MATCH(C$1,Data_metier!$B:$B,0)),{"Non Concerné";"Niveau 1";"Niveau 2";"Niveau 3";"Niveau 4"},0)-1),
1/6,0)+IF((MATCH(INDEX(Data_metier!$E:$E,MATCH($A5,Data_metier!$B:$B,0)),{"Non Concerné";"Niveau 1";"Niveau 2";"Niveau 3";"Niveau 4"},0)-1)&gt;(MATCH(INDEX(Data_metier!$E:$E,MATCH(C$1,Data_metier!$B:$B,0)),{"Non Concerné";"Niveau 1";"Niveau 2";"Niveau 3";"Niveau 4"},0)-1),
1/6,0))</f>
        <v>2.9999999999999996</v>
      </c>
      <c r="D5">
        <f>IF(DE_respon_transv!D5=-1,-1,
DE_respon_transv!D5+IF((MATCH(INDEX(Data_metier!$C:$C,MATCH($A5,Data_metier!$B:$B,0)),{"Non Concerné";"Niveau 1";"Niveau 2";"Niveau 3";"Niveau 4"},0)-1)&gt;(MATCH(INDEX(Data_metier!$C:$C,MATCH(D$1,Data_metier!$B:$B,0)),{"Non Concerné";"Niveau 1";"Niveau 2";"Niveau 3";"Niveau 4"},0)-1),
1/6,0)+IF((MATCH(INDEX(Data_metier!$D:$D,MATCH($A5,Data_metier!$B:$B,0)),{"Non Concerné";"Niveau 1";"Niveau 2";"Niveau 3";"Niveau 4"},0)-1)&gt;(MATCH(INDEX(Data_metier!$D:$D,MATCH(D$1,Data_metier!$B:$B,0)),{"Non Concerné";"Niveau 1";"Niveau 2";"Niveau 3";"Niveau 4"},0)-1),
1/6,0)+IF((MATCH(INDEX(Data_metier!$E:$E,MATCH($A5,Data_metier!$B:$B,0)),{"Non Concerné";"Niveau 1";"Niveau 2";"Niveau 3";"Niveau 4"},0)-1)&gt;(MATCH(INDEX(Data_metier!$E:$E,MATCH(D$1,Data_metier!$B:$B,0)),{"Non Concerné";"Niveau 1";"Niveau 2";"Niveau 3";"Niveau 4"},0)-1),
1/6,0))</f>
        <v>2.9999999999999996</v>
      </c>
      <c r="E5">
        <f>IF(DE_respon_transv!E5=-1,-1,
DE_respon_transv!E5+IF((MATCH(INDEX(Data_metier!$C:$C,MATCH($A5,Data_metier!$B:$B,0)),{"Non Concerné";"Niveau 1";"Niveau 2";"Niveau 3";"Niveau 4"},0)-1)&gt;(MATCH(INDEX(Data_metier!$C:$C,MATCH(E$1,Data_metier!$B:$B,0)),{"Non Concerné";"Niveau 1";"Niveau 2";"Niveau 3";"Niveau 4"},0)-1),
1/6,0)+IF((MATCH(INDEX(Data_metier!$D:$D,MATCH($A5,Data_metier!$B:$B,0)),{"Non Concerné";"Niveau 1";"Niveau 2";"Niveau 3";"Niveau 4"},0)-1)&gt;(MATCH(INDEX(Data_metier!$D:$D,MATCH(E$1,Data_metier!$B:$B,0)),{"Non Concerné";"Niveau 1";"Niveau 2";"Niveau 3";"Niveau 4"},0)-1),
1/6,0)+IF((MATCH(INDEX(Data_metier!$E:$E,MATCH($A5,Data_metier!$B:$B,0)),{"Non Concerné";"Niveau 1";"Niveau 2";"Niveau 3";"Niveau 4"},0)-1)&gt;(MATCH(INDEX(Data_metier!$E:$E,MATCH(E$1,Data_metier!$B:$B,0)),{"Non Concerné";"Niveau 1";"Niveau 2";"Niveau 3";"Niveau 4"},0)-1),
1/6,0))</f>
        <v>0</v>
      </c>
      <c r="F5">
        <f>IF(DE_respon_transv!F5=-1,-1,
DE_respon_transv!F5+IF((MATCH(INDEX(Data_metier!$C:$C,MATCH($A5,Data_metier!$B:$B,0)),{"Non Concerné";"Niveau 1";"Niveau 2";"Niveau 3";"Niveau 4"},0)-1)&gt;(MATCH(INDEX(Data_metier!$C:$C,MATCH(F$1,Data_metier!$B:$B,0)),{"Non Concerné";"Niveau 1";"Niveau 2";"Niveau 3";"Niveau 4"},0)-1),
1/6,0)+IF((MATCH(INDEX(Data_metier!$D:$D,MATCH($A5,Data_metier!$B:$B,0)),{"Non Concerné";"Niveau 1";"Niveau 2";"Niveau 3";"Niveau 4"},0)-1)&gt;(MATCH(INDEX(Data_metier!$D:$D,MATCH(F$1,Data_metier!$B:$B,0)),{"Non Concerné";"Niveau 1";"Niveau 2";"Niveau 3";"Niveau 4"},0)-1),
1/6,0)+IF((MATCH(INDEX(Data_metier!$E:$E,MATCH($A5,Data_metier!$B:$B,0)),{"Non Concerné";"Niveau 1";"Niveau 2";"Niveau 3";"Niveau 4"},0)-1)&gt;(MATCH(INDEX(Data_metier!$E:$E,MATCH(F$1,Data_metier!$B:$B,0)),{"Non Concerné";"Niveau 1";"Niveau 2";"Niveau 3";"Niveau 4"},0)-1),
1/6,0))</f>
        <v>-0.33333333333333337</v>
      </c>
      <c r="G5">
        <f>IF(DE_respon_transv!G5=-1,-1,
DE_respon_transv!G5+IF((MATCH(INDEX(Data_metier!$C:$C,MATCH($A5,Data_metier!$B:$B,0)),{"Non Concerné";"Niveau 1";"Niveau 2";"Niveau 3";"Niveau 4"},0)-1)&gt;(MATCH(INDEX(Data_metier!$C:$C,MATCH(G$1,Data_metier!$B:$B,0)),{"Non Concerné";"Niveau 1";"Niveau 2";"Niveau 3";"Niveau 4"},0)-1),
1/6,0)+IF((MATCH(INDEX(Data_metier!$D:$D,MATCH($A5,Data_metier!$B:$B,0)),{"Non Concerné";"Niveau 1";"Niveau 2";"Niveau 3";"Niveau 4"},0)-1)&gt;(MATCH(INDEX(Data_metier!$D:$D,MATCH(G$1,Data_metier!$B:$B,0)),{"Non Concerné";"Niveau 1";"Niveau 2";"Niveau 3";"Niveau 4"},0)-1),
1/6,0)+IF((MATCH(INDEX(Data_metier!$E:$E,MATCH($A5,Data_metier!$B:$B,0)),{"Non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5">
        <f>IF(DE_respon_transv!H5=-1,-1,
DE_respon_transv!H5+IF((MATCH(INDEX(Data_metier!$C:$C,MATCH($A5,Data_metier!$B:$B,0)),{"Non Concerné";"Niveau 1";"Niveau 2";"Niveau 3";"Niveau 4"},0)-1)&gt;(MATCH(INDEX(Data_metier!$C:$C,MATCH(H$1,Data_metier!$B:$B,0)),{"Non Concerné";"Niveau 1";"Niveau 2";"Niveau 3";"Niveau 4"},0)-1),
1/6,0)+IF((MATCH(INDEX(Data_metier!$D:$D,MATCH($A5,Data_metier!$B:$B,0)),{"Non Concerné";"Niveau 1";"Niveau 2";"Niveau 3";"Niveau 4"},0)-1)&gt;(MATCH(INDEX(Data_metier!$D:$D,MATCH(H$1,Data_metier!$B:$B,0)),{"Non Concerné";"Niveau 1";"Niveau 2";"Niveau 3";"Niveau 4"},0)-1),
1/6,0)+IF((MATCH(INDEX(Data_metier!$E:$E,MATCH($A5,Data_metier!$B:$B,0)),{"Non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5">
        <f>IF(DE_respon_transv!I5=-1,-1,
DE_respon_transv!I5+IF((MATCH(INDEX(Data_metier!$C:$C,MATCH($A5,Data_metier!$B:$B,0)),{"Non Concerné";"Niveau 1";"Niveau 2";"Niveau 3";"Niveau 4"},0)-1)&gt;(MATCH(INDEX(Data_metier!$C:$C,MATCH(I$1,Data_metier!$B:$B,0)),{"Non Concerné";"Niveau 1";"Niveau 2";"Niveau 3";"Niveau 4"},0)-1),
1/6,0)+IF((MATCH(INDEX(Data_metier!$D:$D,MATCH($A5,Data_metier!$B:$B,0)),{"Non Concerné";"Niveau 1";"Niveau 2";"Niveau 3";"Niveau 4"},0)-1)&gt;(MATCH(INDEX(Data_metier!$D:$D,MATCH(I$1,Data_metier!$B:$B,0)),{"Non Concerné";"Niveau 1";"Niveau 2";"Niveau 3";"Niveau 4"},0)-1),
1/6,0)+IF((MATCH(INDEX(Data_metier!$E:$E,MATCH($A5,Data_metier!$B:$B,0)),{"Non Concerné";"Niveau 1";"Niveau 2";"Niveau 3";"Niveau 4"},0)-1)&gt;(MATCH(INDEX(Data_metier!$E:$E,MATCH(I$1,Data_metier!$B:$B,0)),{"Non Concerné";"Niveau 1";"Niveau 2";"Niveau 3";"Niveau 4"},0)-1),
1/6,0))</f>
        <v>2.9999999999999996</v>
      </c>
      <c r="J5">
        <f>IF(DE_respon_transv!J5=-1,-1,
DE_respon_transv!J5+IF((MATCH(INDEX(Data_metier!$C:$C,MATCH($A5,Data_metier!$B:$B,0)),{"Non Concerné";"Niveau 1";"Niveau 2";"Niveau 3";"Niveau 4"},0)-1)&gt;(MATCH(INDEX(Data_metier!$C:$C,MATCH(J$1,Data_metier!$B:$B,0)),{"Non Concerné";"Niveau 1";"Niveau 2";"Niveau 3";"Niveau 4"},0)-1),
1/6,0)+IF((MATCH(INDEX(Data_metier!$D:$D,MATCH($A5,Data_metier!$B:$B,0)),{"Non Concerné";"Niveau 1";"Niveau 2";"Niveau 3";"Niveau 4"},0)-1)&gt;(MATCH(INDEX(Data_metier!$D:$D,MATCH(J$1,Data_metier!$B:$B,0)),{"Non Concerné";"Niveau 1";"Niveau 2";"Niveau 3";"Niveau 4"},0)-1),
1/6,0)+IF((MATCH(INDEX(Data_metier!$E:$E,MATCH($A5,Data_metier!$B:$B,0)),{"Non Concerné";"Niveau 1";"Niveau 2";"Niveau 3";"Niveau 4"},0)-1)&gt;(MATCH(INDEX(Data_metier!$E:$E,MATCH(J$1,Data_metier!$B:$B,0)),{"Non Concerné";"Niveau 1";"Niveau 2";"Niveau 3";"Niveau 4"},0)-1),
1/6,0))</f>
        <v>0.83333333333333326</v>
      </c>
      <c r="K5">
        <f>IF(DE_respon_transv!K5=-1,-1,
DE_respon_transv!K5+IF((MATCH(INDEX(Data_metier!$C:$C,MATCH($A5,Data_metier!$B:$B,0)),{"Non Concerné";"Niveau 1";"Niveau 2";"Niveau 3";"Niveau 4"},0)-1)&gt;(MATCH(INDEX(Data_metier!$C:$C,MATCH(K$1,Data_metier!$B:$B,0)),{"Non Concerné";"Niveau 1";"Niveau 2";"Niveau 3";"Niveau 4"},0)-1),
1/6,0)+IF((MATCH(INDEX(Data_metier!$D:$D,MATCH($A5,Data_metier!$B:$B,0)),{"Non Concerné";"Niveau 1";"Niveau 2";"Niveau 3";"Niveau 4"},0)-1)&gt;(MATCH(INDEX(Data_metier!$D:$D,MATCH(K$1,Data_metier!$B:$B,0)),{"Non Concerné";"Niveau 1";"Niveau 2";"Niveau 3";"Niveau 4"},0)-1),
1/6,0)+IF((MATCH(INDEX(Data_metier!$E:$E,MATCH($A5,Data_metier!$B:$B,0)),{"Non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5">
        <f>IF(DE_respon_transv!L5=-1,-1,
DE_respon_transv!L5+IF((MATCH(INDEX(Data_metier!$C:$C,MATCH($A5,Data_metier!$B:$B,0)),{"Non Concerné";"Niveau 1";"Niveau 2";"Niveau 3";"Niveau 4"},0)-1)&gt;(MATCH(INDEX(Data_metier!$C:$C,MATCH(L$1,Data_metier!$B:$B,0)),{"Non Concerné";"Niveau 1";"Niveau 2";"Niveau 3";"Niveau 4"},0)-1),
1/6,0)+IF((MATCH(INDEX(Data_metier!$D:$D,MATCH($A5,Data_metier!$B:$B,0)),{"Non Concerné";"Niveau 1";"Niveau 2";"Niveau 3";"Niveau 4"},0)-1)&gt;(MATCH(INDEX(Data_metier!$D:$D,MATCH(L$1,Data_metier!$B:$B,0)),{"Non Concerné";"Niveau 1";"Niveau 2";"Niveau 3";"Niveau 4"},0)-1),
1/6,0)+IF((MATCH(INDEX(Data_metier!$E:$E,MATCH($A5,Data_metier!$B:$B,0)),{"Non Concerné";"Niveau 1";"Niveau 2";"Niveau 3";"Niveau 4"},0)-1)&gt;(MATCH(INDEX(Data_metier!$E:$E,MATCH(L$1,Data_metier!$B:$B,0)),{"Non Concerné";"Niveau 1";"Niveau 2";"Niveau 3";"Niveau 4"},0)-1),
1/6,0))</f>
        <v>2.9999999999999996</v>
      </c>
      <c r="M5">
        <f>IF(DE_respon_transv!M5=-1,-1,
DE_respon_transv!M5+IF((MATCH(INDEX(Data_metier!$C:$C,MATCH($A5,Data_metier!$B:$B,0)),{"Non Concerné";"Niveau 1";"Niveau 2";"Niveau 3";"Niveau 4"},0)-1)&gt;(MATCH(INDEX(Data_metier!$C:$C,MATCH(M$1,Data_metier!$B:$B,0)),{"Non Concerné";"Niveau 1";"Niveau 2";"Niveau 3";"Niveau 4"},0)-1),
1/6,0)+IF((MATCH(INDEX(Data_metier!$D:$D,MATCH($A5,Data_metier!$B:$B,0)),{"Non Concerné";"Niveau 1";"Niveau 2";"Niveau 3";"Niveau 4"},0)-1)&gt;(MATCH(INDEX(Data_metier!$D:$D,MATCH(M$1,Data_metier!$B:$B,0)),{"Non Concerné";"Niveau 1";"Niveau 2";"Niveau 3";"Niveau 4"},0)-1),
1/6,0)+IF((MATCH(INDEX(Data_metier!$E:$E,MATCH($A5,Data_metier!$B:$B,0)),{"Non Concerné";"Niveau 1";"Niveau 2";"Niveau 3";"Niveau 4"},0)-1)&gt;(MATCH(INDEX(Data_metier!$E:$E,MATCH(M$1,Data_metier!$B:$B,0)),{"Non Concerné";"Niveau 1";"Niveau 2";"Niveau 3";"Niveau 4"},0)-1),
1/6,0))</f>
        <v>2.9999999999999996</v>
      </c>
      <c r="N5">
        <f>IF(DE_respon_transv!N5=-1,-1,
DE_respon_transv!N5+IF((MATCH(INDEX(Data_metier!$C:$C,MATCH($A5,Data_metier!$B:$B,0)),{"Non Concerné";"Niveau 1";"Niveau 2";"Niveau 3";"Niveau 4"},0)-1)&gt;(MATCH(INDEX(Data_metier!$C:$C,MATCH(N$1,Data_metier!$B:$B,0)),{"Non Concerné";"Niveau 1";"Niveau 2";"Niveau 3";"Niveau 4"},0)-1),
1/6,0)+IF((MATCH(INDEX(Data_metier!$D:$D,MATCH($A5,Data_metier!$B:$B,0)),{"Non Concerné";"Niveau 1";"Niveau 2";"Niveau 3";"Niveau 4"},0)-1)&gt;(MATCH(INDEX(Data_metier!$D:$D,MATCH(N$1,Data_metier!$B:$B,0)),{"Non Concerné";"Niveau 1";"Niveau 2";"Niveau 3";"Niveau 4"},0)-1),
1/6,0)+IF((MATCH(INDEX(Data_metier!$E:$E,MATCH($A5,Data_metier!$B:$B,0)),{"Non Concerné";"Niveau 1";"Niveau 2";"Niveau 3";"Niveau 4"},0)-1)&gt;(MATCH(INDEX(Data_metier!$E:$E,MATCH(N$1,Data_metier!$B:$B,0)),{"Non Concerné";"Niveau 1";"Niveau 2";"Niveau 3";"Niveau 4"},0)-1),
1/6,0))</f>
        <v>1.1666666666666667</v>
      </c>
      <c r="O5">
        <f>IF(DE_respon_transv!O5=-1,-1,
DE_respon_transv!O5+IF((MATCH(INDEX(Data_metier!$C:$C,MATCH($A5,Data_metier!$B:$B,0)),{"Non Concerné";"Niveau 1";"Niveau 2";"Niveau 3";"Niveau 4"},0)-1)&gt;(MATCH(INDEX(Data_metier!$C:$C,MATCH(O$1,Data_metier!$B:$B,0)),{"Non Concerné";"Niveau 1";"Niveau 2";"Niveau 3";"Niveau 4"},0)-1),
1/6,0)+IF((MATCH(INDEX(Data_metier!$D:$D,MATCH($A5,Data_metier!$B:$B,0)),{"Non Concerné";"Niveau 1";"Niveau 2";"Niveau 3";"Niveau 4"},0)-1)&gt;(MATCH(INDEX(Data_metier!$D:$D,MATCH(O$1,Data_metier!$B:$B,0)),{"Non Concerné";"Niveau 1";"Niveau 2";"Niveau 3";"Niveau 4"},0)-1),
1/6,0)+IF((MATCH(INDEX(Data_metier!$E:$E,MATCH($A5,Data_metier!$B:$B,0)),{"Non Concerné";"Niveau 1";"Niveau 2";"Niveau 3";"Niveau 4"},0)-1)&gt;(MATCH(INDEX(Data_metier!$E:$E,MATCH(O$1,Data_metier!$B:$B,0)),{"Non Concerné";"Niveau 1";"Niveau 2";"Niveau 3";"Niveau 4"},0)-1),
1/6,0))</f>
        <v>2.9999999999999996</v>
      </c>
      <c r="P5">
        <f>IF(DE_respon_transv!P5=-1,-1,
DE_respon_transv!P5+IF((MATCH(INDEX(Data_metier!$C:$C,MATCH($A5,Data_metier!$B:$B,0)),{"Non Concerné";"Niveau 1";"Niveau 2";"Niveau 3";"Niveau 4"},0)-1)&gt;(MATCH(INDEX(Data_metier!$C:$C,MATCH(P$1,Data_metier!$B:$B,0)),{"Non Concerné";"Niveau 1";"Niveau 2";"Niveau 3";"Niveau 4"},0)-1),
1/6,0)+IF((MATCH(INDEX(Data_metier!$D:$D,MATCH($A5,Data_metier!$B:$B,0)),{"Non Concerné";"Niveau 1";"Niveau 2";"Niveau 3";"Niveau 4"},0)-1)&gt;(MATCH(INDEX(Data_metier!$D:$D,MATCH(P$1,Data_metier!$B:$B,0)),{"Non Concerné";"Niveau 1";"Niveau 2";"Niveau 3";"Niveau 4"},0)-1),
1/6,0)+IF((MATCH(INDEX(Data_metier!$E:$E,MATCH($A5,Data_metier!$B:$B,0)),{"Non Concerné";"Niveau 1";"Niveau 2";"Niveau 3";"Niveau 4"},0)-1)&gt;(MATCH(INDEX(Data_metier!$E:$E,MATCH(P$1,Data_metier!$B:$B,0)),{"Non Concerné";"Niveau 1";"Niveau 2";"Niveau 3";"Niveau 4"},0)-1),
1/6,0))</f>
        <v>2.9999999999999996</v>
      </c>
      <c r="Q5">
        <f>IF(DE_respon_transv!Q5=-1,-1,
DE_respon_transv!Q5+IF((MATCH(INDEX(Data_metier!$C:$C,MATCH($A5,Data_metier!$B:$B,0)),{"Non Concerné";"Niveau 1";"Niveau 2";"Niveau 3";"Niveau 4"},0)-1)&gt;(MATCH(INDEX(Data_metier!$C:$C,MATCH(Q$1,Data_metier!$B:$B,0)),{"Non Concerné";"Niveau 1";"Niveau 2";"Niveau 3";"Niveau 4"},0)-1),
1/6,0)+IF((MATCH(INDEX(Data_metier!$D:$D,MATCH($A5,Data_metier!$B:$B,0)),{"Non Concerné";"Niveau 1";"Niveau 2";"Niveau 3";"Niveau 4"},0)-1)&gt;(MATCH(INDEX(Data_metier!$D:$D,MATCH(Q$1,Data_metier!$B:$B,0)),{"Non Concerné";"Niveau 1";"Niveau 2";"Niveau 3";"Niveau 4"},0)-1),
1/6,0)+IF((MATCH(INDEX(Data_metier!$E:$E,MATCH($A5,Data_metier!$B:$B,0)),{"Non Concerné";"Niveau 1";"Niveau 2";"Niveau 3";"Niveau 4"},0)-1)&gt;(MATCH(INDEX(Data_metier!$E:$E,MATCH(Q$1,Data_metier!$B:$B,0)),{"Non Concerné";"Niveau 1";"Niveau 2";"Niveau 3";"Niveau 4"},0)-1),
1/6,0))</f>
        <v>0</v>
      </c>
      <c r="R5">
        <f>IF(DE_respon_transv!R5=-1,-1,
DE_respon_transv!R5+IF((MATCH(INDEX(Data_metier!$C:$C,MATCH($A5,Data_metier!$B:$B,0)),{"Non Concerné";"Niveau 1";"Niveau 2";"Niveau 3";"Niveau 4"},0)-1)&gt;(MATCH(INDEX(Data_metier!$C:$C,MATCH(R$1,Data_metier!$B:$B,0)),{"Non Concerné";"Niveau 1";"Niveau 2";"Niveau 3";"Niveau 4"},0)-1),
1/6,0)+IF((MATCH(INDEX(Data_metier!$D:$D,MATCH($A5,Data_metier!$B:$B,0)),{"Non Concerné";"Niveau 1";"Niveau 2";"Niveau 3";"Niveau 4"},0)-1)&gt;(MATCH(INDEX(Data_metier!$D:$D,MATCH(R$1,Data_metier!$B:$B,0)),{"Non Concerné";"Niveau 1";"Niveau 2";"Niveau 3";"Niveau 4"},0)-1),
1/6,0)+IF((MATCH(INDEX(Data_metier!$E:$E,MATCH($A5,Data_metier!$B:$B,0)),{"Non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5">
        <f>IF(DE_respon_transv!S5=-1,-1,
DE_respon_transv!S5+IF((MATCH(INDEX(Data_metier!$C:$C,MATCH($A5,Data_metier!$B:$B,0)),{"Non Concerné";"Niveau 1";"Niveau 2";"Niveau 3";"Niveau 4"},0)-1)&gt;(MATCH(INDEX(Data_metier!$C:$C,MATCH(S$1,Data_metier!$B:$B,0)),{"Non Concerné";"Niveau 1";"Niveau 2";"Niveau 3";"Niveau 4"},0)-1),
1/6,0)+IF((MATCH(INDEX(Data_metier!$D:$D,MATCH($A5,Data_metier!$B:$B,0)),{"Non Concerné";"Niveau 1";"Niveau 2";"Niveau 3";"Niveau 4"},0)-1)&gt;(MATCH(INDEX(Data_metier!$D:$D,MATCH(S$1,Data_metier!$B:$B,0)),{"Non Concerné";"Niveau 1";"Niveau 2";"Niveau 3";"Niveau 4"},0)-1),
1/6,0)+IF((MATCH(INDEX(Data_metier!$E:$E,MATCH($A5,Data_metier!$B:$B,0)),{"Non Concerné";"Niveau 1";"Niveau 2";"Niveau 3";"Niveau 4"},0)-1)&gt;(MATCH(INDEX(Data_metier!$E:$E,MATCH(S$1,Data_metier!$B:$B,0)),{"Non Concerné";"Niveau 1";"Niveau 2";"Niveau 3";"Niveau 4"},0)-1),
1/6,0))</f>
        <v>2.9999999999999996</v>
      </c>
      <c r="T5">
        <f>IF(DE_respon_transv!T5=-1,-1,
DE_respon_transv!T5+IF((MATCH(INDEX(Data_metier!$C:$C,MATCH($A5,Data_metier!$B:$B,0)),{"Non Concerné";"Niveau 1";"Niveau 2";"Niveau 3";"Niveau 4"},0)-1)&gt;(MATCH(INDEX(Data_metier!$C:$C,MATCH(T$1,Data_metier!$B:$B,0)),{"Non Concerné";"Niveau 1";"Niveau 2";"Niveau 3";"Niveau 4"},0)-1),
1/6,0)+IF((MATCH(INDEX(Data_metier!$D:$D,MATCH($A5,Data_metier!$B:$B,0)),{"Non Concerné";"Niveau 1";"Niveau 2";"Niveau 3";"Niveau 4"},0)-1)&gt;(MATCH(INDEX(Data_metier!$D:$D,MATCH(T$1,Data_metier!$B:$B,0)),{"Non Concerné";"Niveau 1";"Niveau 2";"Niveau 3";"Niveau 4"},0)-1),
1/6,0)+IF((MATCH(INDEX(Data_metier!$E:$E,MATCH($A5,Data_metier!$B:$B,0)),{"Non Concerné";"Niveau 1";"Niveau 2";"Niveau 3";"Niveau 4"},0)-1)&gt;(MATCH(INDEX(Data_metier!$E:$E,MATCH(T$1,Data_metier!$B:$B,0)),{"Non Concerné";"Niveau 1";"Niveau 2";"Niveau 3";"Niveau 4"},0)-1),
1/6,0))</f>
        <v>2.9999999999999996</v>
      </c>
      <c r="U5">
        <f>IF(DE_respon_transv!U5=-1,-1,
DE_respon_transv!U5+IF((MATCH(INDEX(Data_metier!$C:$C,MATCH($A5,Data_metier!$B:$B,0)),{"Non Concerné";"Niveau 1";"Niveau 2";"Niveau 3";"Niveau 4"},0)-1)&gt;(MATCH(INDEX(Data_metier!$C:$C,MATCH(U$1,Data_metier!$B:$B,0)),{"Non Concerné";"Niveau 1";"Niveau 2";"Niveau 3";"Niveau 4"},0)-1),
1/6,0)+IF((MATCH(INDEX(Data_metier!$D:$D,MATCH($A5,Data_metier!$B:$B,0)),{"Non Concerné";"Niveau 1";"Niveau 2";"Niveau 3";"Niveau 4"},0)-1)&gt;(MATCH(INDEX(Data_metier!$D:$D,MATCH(U$1,Data_metier!$B:$B,0)),{"Non Concerné";"Niveau 1";"Niveau 2";"Niveau 3";"Niveau 4"},0)-1),
1/6,0)+IF((MATCH(INDEX(Data_metier!$E:$E,MATCH($A5,Data_metier!$B:$B,0)),{"Non Concerné";"Niveau 1";"Niveau 2";"Niveau 3";"Niveau 4"},0)-1)&gt;(MATCH(INDEX(Data_metier!$E:$E,MATCH(U$1,Data_metier!$B:$B,0)),{"Non Concerné";"Niveau 1";"Niveau 2";"Niveau 3";"Niveau 4"},0)-1),
1/6,0))</f>
        <v>2.9999999999999996</v>
      </c>
      <c r="V5">
        <f>IF(DE_respon_transv!V5=-1,-1,
DE_respon_transv!V5+IF((MATCH(INDEX(Data_metier!$C:$C,MATCH($A5,Data_metier!$B:$B,0)),{"Non Concerné";"Niveau 1";"Niveau 2";"Niveau 3";"Niveau 4"},0)-1)&gt;(MATCH(INDEX(Data_metier!$C:$C,MATCH(V$1,Data_metier!$B:$B,0)),{"Non Concerné";"Niveau 1";"Niveau 2";"Niveau 3";"Niveau 4"},0)-1),
1/6,0)+IF((MATCH(INDEX(Data_metier!$D:$D,MATCH($A5,Data_metier!$B:$B,0)),{"Non Concerné";"Niveau 1";"Niveau 2";"Niveau 3";"Niveau 4"},0)-1)&gt;(MATCH(INDEX(Data_metier!$D:$D,MATCH(V$1,Data_metier!$B:$B,0)),{"Non Concerné";"Niveau 1";"Niveau 2";"Niveau 3";"Niveau 4"},0)-1),
1/6,0)+IF((MATCH(INDEX(Data_metier!$E:$E,MATCH($A5,Data_metier!$B:$B,0)),{"Non Concerné";"Niveau 1";"Niveau 2";"Niveau 3";"Niveau 4"},0)-1)&gt;(MATCH(INDEX(Data_metier!$E:$E,MATCH(V$1,Data_metier!$B:$B,0)),{"Non Concerné";"Niveau 1";"Niveau 2";"Niveau 3";"Niveau 4"},0)-1),
1/6,0))</f>
        <v>2.9999999999999996</v>
      </c>
      <c r="W5">
        <f>IF(DE_respon_transv!W5=-1,-1,
DE_respon_transv!W5+IF((MATCH(INDEX(Data_metier!$C:$C,MATCH($A5,Data_metier!$B:$B,0)),{"Non Concerné";"Niveau 1";"Niveau 2";"Niveau 3";"Niveau 4"},0)-1)&gt;(MATCH(INDEX(Data_metier!$C:$C,MATCH(W$1,Data_metier!$B:$B,0)),{"Non Concerné";"Niveau 1";"Niveau 2";"Niveau 3";"Niveau 4"},0)-1),
1/6,0)+IF((MATCH(INDEX(Data_metier!$D:$D,MATCH($A5,Data_metier!$B:$B,0)),{"Non Concerné";"Niveau 1";"Niveau 2";"Niveau 3";"Niveau 4"},0)-1)&gt;(MATCH(INDEX(Data_metier!$D:$D,MATCH(W$1,Data_metier!$B:$B,0)),{"Non Concerné";"Niveau 1";"Niveau 2";"Niveau 3";"Niveau 4"},0)-1),
1/6,0)+IF((MATCH(INDEX(Data_metier!$E:$E,MATCH($A5,Data_metier!$B:$B,0)),{"Non Concerné";"Niveau 1";"Niveau 2";"Niveau 3";"Niveau 4"},0)-1)&gt;(MATCH(INDEX(Data_metier!$E:$E,MATCH(W$1,Data_metier!$B:$B,0)),{"Non Concerné";"Niveau 1";"Niveau 2";"Niveau 3";"Niveau 4"},0)-1),
1/6,0))</f>
        <v>2.4999999999999996</v>
      </c>
      <c r="X5">
        <f>IF(DE_respon_transv!X5=-1,-1,
DE_respon_transv!X5+IF((MATCH(INDEX(Data_metier!$C:$C,MATCH($A5,Data_metier!$B:$B,0)),{"Non Concerné";"Niveau 1";"Niveau 2";"Niveau 3";"Niveau 4"},0)-1)&gt;(MATCH(INDEX(Data_metier!$C:$C,MATCH(X$1,Data_metier!$B:$B,0)),{"Non Concerné";"Niveau 1";"Niveau 2";"Niveau 3";"Niveau 4"},0)-1),
1/6,0)+IF((MATCH(INDEX(Data_metier!$D:$D,MATCH($A5,Data_metier!$B:$B,0)),{"Non Concerné";"Niveau 1";"Niveau 2";"Niveau 3";"Niveau 4"},0)-1)&gt;(MATCH(INDEX(Data_metier!$D:$D,MATCH(X$1,Data_metier!$B:$B,0)),{"Non Concerné";"Niveau 1";"Niveau 2";"Niveau 3";"Niveau 4"},0)-1),
1/6,0)+IF((MATCH(INDEX(Data_metier!$E:$E,MATCH($A5,Data_metier!$B:$B,0)),{"Non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5">
        <f>IF(DE_respon_transv!Y5=-1,-1,
DE_respon_transv!Y5+IF((MATCH(INDEX(Data_metier!$C:$C,MATCH($A5,Data_metier!$B:$B,0)),{"Non Concerné";"Niveau 1";"Niveau 2";"Niveau 3";"Niveau 4"},0)-1)&gt;(MATCH(INDEX(Data_metier!$C:$C,MATCH(Y$1,Data_metier!$B:$B,0)),{"Non Concerné";"Niveau 1";"Niveau 2";"Niveau 3";"Niveau 4"},0)-1),
1/6,0)+IF((MATCH(INDEX(Data_metier!$D:$D,MATCH($A5,Data_metier!$B:$B,0)),{"Non Concerné";"Niveau 1";"Niveau 2";"Niveau 3";"Niveau 4"},0)-1)&gt;(MATCH(INDEX(Data_metier!$D:$D,MATCH(Y$1,Data_metier!$B:$B,0)),{"Non Concerné";"Niveau 1";"Niveau 2";"Niveau 3";"Niveau 4"},0)-1),
1/6,0)+IF((MATCH(INDEX(Data_metier!$E:$E,MATCH($A5,Data_metier!$B:$B,0)),{"Non Concerné";"Niveau 1";"Niveau 2";"Niveau 3";"Niveau 4"},0)-1)&gt;(MATCH(INDEX(Data_metier!$E:$E,MATCH(Y$1,Data_metier!$B:$B,0)),{"Non Concerné";"Niveau 1";"Niveau 2";"Niveau 3";"Niveau 4"},0)-1),
1/6,0))</f>
        <v>2.9999999999999996</v>
      </c>
      <c r="Z5">
        <f>IF(DE_respon_transv!Z5=-1,-1,
DE_respon_transv!Z5+IF((MATCH(INDEX(Data_metier!$C:$C,MATCH($A5,Data_metier!$B:$B,0)),{"Non Concerné";"Niveau 1";"Niveau 2";"Niveau 3";"Niveau 4"},0)-1)&gt;(MATCH(INDEX(Data_metier!$C:$C,MATCH(Z$1,Data_metier!$B:$B,0)),{"Non Concerné";"Niveau 1";"Niveau 2";"Niveau 3";"Niveau 4"},0)-1),
1/6,0)+IF((MATCH(INDEX(Data_metier!$D:$D,MATCH($A5,Data_metier!$B:$B,0)),{"Non Concerné";"Niveau 1";"Niveau 2";"Niveau 3";"Niveau 4"},0)-1)&gt;(MATCH(INDEX(Data_metier!$D:$D,MATCH(Z$1,Data_metier!$B:$B,0)),{"Non Concerné";"Niveau 1";"Niveau 2";"Niveau 3";"Niveau 4"},0)-1),
1/6,0)+IF((MATCH(INDEX(Data_metier!$E:$E,MATCH($A5,Data_metier!$B:$B,0)),{"Non Concerné";"Niveau 1";"Niveau 2";"Niveau 3";"Niveau 4"},0)-1)&gt;(MATCH(INDEX(Data_metier!$E:$E,MATCH(Z$1,Data_metier!$B:$B,0)),{"Non Concerné";"Niveau 1";"Niveau 2";"Niveau 3";"Niveau 4"},0)-1),
1/6,0))</f>
        <v>2.9999999999999996</v>
      </c>
      <c r="AA5">
        <f>IF(DE_respon_transv!AA5=-1,-1,
DE_respon_transv!AA5+IF((MATCH(INDEX(Data_metier!$C:$C,MATCH($A5,Data_metier!$B:$B,0)),{"Non Concerné";"Niveau 1";"Niveau 2";"Niveau 3";"Niveau 4"},0)-1)&gt;(MATCH(INDEX(Data_metier!$C:$C,MATCH(AA$1,Data_metier!$B:$B,0)),{"Non Concerné";"Niveau 1";"Niveau 2";"Niveau 3";"Niveau 4"},0)-1),
1/6,0)+IF((MATCH(INDEX(Data_metier!$D:$D,MATCH($A5,Data_metier!$B:$B,0)),{"Non Concerné";"Niveau 1";"Niveau 2";"Niveau 3";"Niveau 4"},0)-1)&gt;(MATCH(INDEX(Data_metier!$D:$D,MATCH(AA$1,Data_metier!$B:$B,0)),{"Non Concerné";"Niveau 1";"Niveau 2";"Niveau 3";"Niveau 4"},0)-1),
1/6,0)+IF((MATCH(INDEX(Data_metier!$E:$E,MATCH($A5,Data_metier!$B:$B,0)),{"Non Concerné";"Niveau 1";"Niveau 2";"Niveau 3";"Niveau 4"},0)-1)&gt;(MATCH(INDEX(Data_metier!$E:$E,MATCH(AA$1,Data_metier!$B:$B,0)),{"Non Concerné";"Niveau 1";"Niveau 2";"Niveau 3";"Niveau 4"},0)-1),
1/6,0))</f>
        <v>2.9999999999999996</v>
      </c>
      <c r="AB5">
        <f>IF(DE_respon_transv!AB5=-1,-1,
DE_respon_transv!AB5+IF((MATCH(INDEX(Data_metier!$C:$C,MATCH($A5,Data_metier!$B:$B,0)),{"Non Concerné";"Niveau 1";"Niveau 2";"Niveau 3";"Niveau 4"},0)-1)&gt;(MATCH(INDEX(Data_metier!$C:$C,MATCH(AB$1,Data_metier!$B:$B,0)),{"Non Concerné";"Niveau 1";"Niveau 2";"Niveau 3";"Niveau 4"},0)-1),
1/6,0)+IF((MATCH(INDEX(Data_metier!$D:$D,MATCH($A5,Data_metier!$B:$B,0)),{"Non Concerné";"Niveau 1";"Niveau 2";"Niveau 3";"Niveau 4"},0)-1)&gt;(MATCH(INDEX(Data_metier!$D:$D,MATCH(AB$1,Data_metier!$B:$B,0)),{"Non Concerné";"Niveau 1";"Niveau 2";"Niveau 3";"Niveau 4"},0)-1),
1/6,0)+IF((MATCH(INDEX(Data_metier!$E:$E,MATCH($A5,Data_metier!$B:$B,0)),{"Non Concerné";"Niveau 1";"Niveau 2";"Niveau 3";"Niveau 4"},0)-1)&gt;(MATCH(INDEX(Data_metier!$E:$E,MATCH(AB$1,Data_metier!$B:$B,0)),{"Non Concerné";"Niveau 1";"Niveau 2";"Niveau 3";"Niveau 4"},0)-1),
1/6,0))</f>
        <v>2.9999999999999996</v>
      </c>
      <c r="AC5">
        <f>IF(DE_respon_transv!AC5=-1,-1,
DE_respon_transv!AC5+IF((MATCH(INDEX(Data_metier!$C:$C,MATCH($A5,Data_metier!$B:$B,0)),{"Non Concerné";"Niveau 1";"Niveau 2";"Niveau 3";"Niveau 4"},0)-1)&gt;(MATCH(INDEX(Data_metier!$C:$C,MATCH(AC$1,Data_metier!$B:$B,0)),{"Non Concerné";"Niveau 1";"Niveau 2";"Niveau 3";"Niveau 4"},0)-1),
1/6,0)+IF((MATCH(INDEX(Data_metier!$D:$D,MATCH($A5,Data_metier!$B:$B,0)),{"Non Concerné";"Niveau 1";"Niveau 2";"Niveau 3";"Niveau 4"},0)-1)&gt;(MATCH(INDEX(Data_metier!$D:$D,MATCH(AC$1,Data_metier!$B:$B,0)),{"Non Concerné";"Niveau 1";"Niveau 2";"Niveau 3";"Niveau 4"},0)-1),
1/6,0)+IF((MATCH(INDEX(Data_metier!$E:$E,MATCH($A5,Data_metier!$B:$B,0)),{"Non Concerné";"Niveau 1";"Niveau 2";"Niveau 3";"Niveau 4"},0)-1)&gt;(MATCH(INDEX(Data_metier!$E:$E,MATCH(AC$1,Data_metier!$B:$B,0)),{"Non Concerné";"Niveau 1";"Niveau 2";"Niveau 3";"Niveau 4"},0)-1),
1/6,0))</f>
        <v>2.9999999999999996</v>
      </c>
      <c r="AD5">
        <f>IF(DE_respon_transv!AD5=-1,-1,
DE_respon_transv!AD5+IF((MATCH(INDEX(Data_metier!$C:$C,MATCH($A5,Data_metier!$B:$B,0)),{"Non Concerné";"Niveau 1";"Niveau 2";"Niveau 3";"Niveau 4"},0)-1)&gt;(MATCH(INDEX(Data_metier!$C:$C,MATCH(AD$1,Data_metier!$B:$B,0)),{"Non Concerné";"Niveau 1";"Niveau 2";"Niveau 3";"Niveau 4"},0)-1),
1/6,0)+IF((MATCH(INDEX(Data_metier!$D:$D,MATCH($A5,Data_metier!$B:$B,0)),{"Non Concerné";"Niveau 1";"Niveau 2";"Niveau 3";"Niveau 4"},0)-1)&gt;(MATCH(INDEX(Data_metier!$D:$D,MATCH(AD$1,Data_metier!$B:$B,0)),{"Non Concerné";"Niveau 1";"Niveau 2";"Niveau 3";"Niveau 4"},0)-1),
1/6,0)+IF((MATCH(INDEX(Data_metier!$E:$E,MATCH($A5,Data_metier!$B:$B,0)),{"Non Concerné";"Niveau 1";"Niveau 2";"Niveau 3";"Niveau 4"},0)-1)&gt;(MATCH(INDEX(Data_metier!$E:$E,MATCH(AD$1,Data_metier!$B:$B,0)),{"Non Concerné";"Niveau 1";"Niveau 2";"Niveau 3";"Niveau 4"},0)-1),
1/6,0))</f>
        <v>2</v>
      </c>
    </row>
    <row r="6" spans="1:30">
      <c r="A6" t="str">
        <v>Maître(sse) de chai</v>
      </c>
      <c r="B6">
        <f>IF(DE_respon_transv!B6=-1,-1,
DE_respon_transv!B6+IF((MATCH(INDEX(Data_metier!$C:$C,MATCH($A6,Data_metier!$B:$B,0)),{"Non Concerné";"Niveau 1";"Niveau 2";"Niveau 3";"Niveau 4"},0)-1)&gt;(MATCH(INDEX(Data_metier!$C:$C,MATCH(B$1,Data_metier!$B:$B,0)),{"Non Concerné";"Niveau 1";"Niveau 2";"Niveau 3";"Niveau 4"},0)-1),
1/6,0)+IF((MATCH(INDEX(Data_metier!$D:$D,MATCH($A6,Data_metier!$B:$B,0)),{"Non Concerné";"Niveau 1";"Niveau 2";"Niveau 3";"Niveau 4"},0)-1)&gt;(MATCH(INDEX(Data_metier!$D:$D,MATCH(B$1,Data_metier!$B:$B,0)),{"Non Concerné";"Niveau 1";"Niveau 2";"Niveau 3";"Niveau 4"},0)-1),
1/6,0)+IF((MATCH(INDEX(Data_metier!$E:$E,MATCH($A6,Data_metier!$B:$B,0)),{"Non Concerné";"Niveau 1";"Niveau 2";"Niveau 3";"Niveau 4"},0)-1)&gt;(MATCH(INDEX(Data_metier!$E:$E,MATCH(B$1,Data_metier!$B:$B,0)),{"Non Concerné";"Niveau 1";"Niveau 2";"Niveau 3";"Niveau 4"},0)-1),
1/6,0))</f>
        <v>2.4999999999999996</v>
      </c>
      <c r="C6">
        <f>IF(DE_respon_transv!C6=-1,-1,
DE_respon_transv!C6+IF((MATCH(INDEX(Data_metier!$C:$C,MATCH($A6,Data_metier!$B:$B,0)),{"Non Concerné";"Niveau 1";"Niveau 2";"Niveau 3";"Niveau 4"},0)-1)&gt;(MATCH(INDEX(Data_metier!$C:$C,MATCH(C$1,Data_metier!$B:$B,0)),{"Non Concerné";"Niveau 1";"Niveau 2";"Niveau 3";"Niveau 4"},0)-1),
1/6,0)+IF((MATCH(INDEX(Data_metier!$D:$D,MATCH($A6,Data_metier!$B:$B,0)),{"Non Concerné";"Niveau 1";"Niveau 2";"Niveau 3";"Niveau 4"},0)-1)&gt;(MATCH(INDEX(Data_metier!$D:$D,MATCH(C$1,Data_metier!$B:$B,0)),{"Non Concerné";"Niveau 1";"Niveau 2";"Niveau 3";"Niveau 4"},0)-1),
1/6,0)+IF((MATCH(INDEX(Data_metier!$E:$E,MATCH($A6,Data_metier!$B:$B,0)),{"Non Concerné";"Niveau 1";"Niveau 2";"Niveau 3";"Niveau 4"},0)-1)&gt;(MATCH(INDEX(Data_metier!$E:$E,MATCH(C$1,Data_metier!$B:$B,0)),{"Non Concerné";"Niveau 1";"Niveau 2";"Niveau 3";"Niveau 4"},0)-1),
1/6,0))</f>
        <v>2.333333333333333</v>
      </c>
      <c r="D6">
        <f>IF(DE_respon_transv!D6=-1,-1,
DE_respon_transv!D6+IF((MATCH(INDEX(Data_metier!$C:$C,MATCH($A6,Data_metier!$B:$B,0)),{"Non Concerné";"Niveau 1";"Niveau 2";"Niveau 3";"Niveau 4"},0)-1)&gt;(MATCH(INDEX(Data_metier!$C:$C,MATCH(D$1,Data_metier!$B:$B,0)),{"Non Concerné";"Niveau 1";"Niveau 2";"Niveau 3";"Niveau 4"},0)-1),
1/6,0)+IF((MATCH(INDEX(Data_metier!$D:$D,MATCH($A6,Data_metier!$B:$B,0)),{"Non Concerné";"Niveau 1";"Niveau 2";"Niveau 3";"Niveau 4"},0)-1)&gt;(MATCH(INDEX(Data_metier!$D:$D,MATCH(D$1,Data_metier!$B:$B,0)),{"Non Concerné";"Niveau 1";"Niveau 2";"Niveau 3";"Niveau 4"},0)-1),
1/6,0)+IF((MATCH(INDEX(Data_metier!$E:$E,MATCH($A6,Data_metier!$B:$B,0)),{"Non Concerné";"Niveau 1";"Niveau 2";"Niveau 3";"Niveau 4"},0)-1)&gt;(MATCH(INDEX(Data_metier!$E:$E,MATCH(D$1,Data_metier!$B:$B,0)),{"Non Concerné";"Niveau 1";"Niveau 2";"Niveau 3";"Niveau 4"},0)-1),
1/6,0))</f>
        <v>2.4999999999999996</v>
      </c>
      <c r="E6">
        <f>IF(DE_respon_transv!E6=-1,-1,
DE_respon_transv!E6+IF((MATCH(INDEX(Data_metier!$C:$C,MATCH($A6,Data_metier!$B:$B,0)),{"Non Concerné";"Niveau 1";"Niveau 2";"Niveau 3";"Niveau 4"},0)-1)&gt;(MATCH(INDEX(Data_metier!$C:$C,MATCH(E$1,Data_metier!$B:$B,0)),{"Non Concerné";"Niveau 1";"Niveau 2";"Niveau 3";"Niveau 4"},0)-1),
1/6,0)+IF((MATCH(INDEX(Data_metier!$D:$D,MATCH($A6,Data_metier!$B:$B,0)),{"Non Concerné";"Niveau 1";"Niveau 2";"Niveau 3";"Niveau 4"},0)-1)&gt;(MATCH(INDEX(Data_metier!$D:$D,MATCH(E$1,Data_metier!$B:$B,0)),{"Non Concerné";"Niveau 1";"Niveau 2";"Niveau 3";"Niveau 4"},0)-1),
1/6,0)+IF((MATCH(INDEX(Data_metier!$E:$E,MATCH($A6,Data_metier!$B:$B,0)),{"Non Concerné";"Niveau 1";"Niveau 2";"Niveau 3";"Niveau 4"},0)-1)&gt;(MATCH(INDEX(Data_metier!$E:$E,MATCH(E$1,Data_metier!$B:$B,0)),{"Non Concerné";"Niveau 1";"Niveau 2";"Niveau 3";"Niveau 4"},0)-1),
1/6,0))</f>
        <v>1</v>
      </c>
      <c r="F6">
        <f>IF(DE_respon_transv!F6=-1,-1,
DE_respon_transv!F6+IF((MATCH(INDEX(Data_metier!$C:$C,MATCH($A6,Data_metier!$B:$B,0)),{"Non Concerné";"Niveau 1";"Niveau 2";"Niveau 3";"Niveau 4"},0)-1)&gt;(MATCH(INDEX(Data_metier!$C:$C,MATCH(F$1,Data_metier!$B:$B,0)),{"Non Concerné";"Niveau 1";"Niveau 2";"Niveau 3";"Niveau 4"},0)-1),
1/6,0)+IF((MATCH(INDEX(Data_metier!$D:$D,MATCH($A6,Data_metier!$B:$B,0)),{"Non Concerné";"Niveau 1";"Niveau 2";"Niveau 3";"Niveau 4"},0)-1)&gt;(MATCH(INDEX(Data_metier!$D:$D,MATCH(F$1,Data_metier!$B:$B,0)),{"Non Concerné";"Niveau 1";"Niveau 2";"Niveau 3";"Niveau 4"},0)-1),
1/6,0)+IF((MATCH(INDEX(Data_metier!$E:$E,MATCH($A6,Data_metier!$B:$B,0)),{"Non Concerné";"Niveau 1";"Niveau 2";"Niveau 3";"Niveau 4"},0)-1)&gt;(MATCH(INDEX(Data_metier!$E:$E,MATCH(F$1,Data_metier!$B:$B,0)),{"Non Concerné";"Niveau 1";"Niveau 2";"Niveau 3";"Niveau 4"},0)-1),
1/6,0))</f>
        <v>0</v>
      </c>
      <c r="G6">
        <f>IF(DE_respon_transv!G6=-1,-1,
DE_respon_transv!G6+IF((MATCH(INDEX(Data_metier!$C:$C,MATCH($A6,Data_metier!$B:$B,0)),{"Non Concerné";"Niveau 1";"Niveau 2";"Niveau 3";"Niveau 4"},0)-1)&gt;(MATCH(INDEX(Data_metier!$C:$C,MATCH(G$1,Data_metier!$B:$B,0)),{"Non Concerné";"Niveau 1";"Niveau 2";"Niveau 3";"Niveau 4"},0)-1),
1/6,0)+IF((MATCH(INDEX(Data_metier!$D:$D,MATCH($A6,Data_metier!$B:$B,0)),{"Non Concerné";"Niveau 1";"Niveau 2";"Niveau 3";"Niveau 4"},0)-1)&gt;(MATCH(INDEX(Data_metier!$D:$D,MATCH(G$1,Data_metier!$B:$B,0)),{"Non Concerné";"Niveau 1";"Niveau 2";"Niveau 3";"Niveau 4"},0)-1),
1/6,0)+IF((MATCH(INDEX(Data_metier!$E:$E,MATCH($A6,Data_metier!$B:$B,0)),{"Non Concerné";"Niveau 1";"Niveau 2";"Niveau 3";"Niveau 4"},0)-1)&gt;(MATCH(INDEX(Data_metier!$E:$E,MATCH(G$1,Data_metier!$B:$B,0)),{"Non Concerné";"Niveau 1";"Niveau 2";"Niveau 3";"Niveau 4"},0)-1),
1/6,0))</f>
        <v>0</v>
      </c>
      <c r="H6">
        <f>IF(DE_respon_transv!H6=-1,-1,
DE_respon_transv!H6+IF((MATCH(INDEX(Data_metier!$C:$C,MATCH($A6,Data_metier!$B:$B,0)),{"Non Concerné";"Niveau 1";"Niveau 2";"Niveau 3";"Niveau 4"},0)-1)&gt;(MATCH(INDEX(Data_metier!$C:$C,MATCH(H$1,Data_metier!$B:$B,0)),{"Non Concerné";"Niveau 1";"Niveau 2";"Niveau 3";"Niveau 4"},0)-1),
1/6,0)+IF((MATCH(INDEX(Data_metier!$D:$D,MATCH($A6,Data_metier!$B:$B,0)),{"Non Concerné";"Niveau 1";"Niveau 2";"Niveau 3";"Niveau 4"},0)-1)&gt;(MATCH(INDEX(Data_metier!$D:$D,MATCH(H$1,Data_metier!$B:$B,0)),{"Non Concerné";"Niveau 1";"Niveau 2";"Niveau 3";"Niveau 4"},0)-1),
1/6,0)+IF((MATCH(INDEX(Data_metier!$E:$E,MATCH($A6,Data_metier!$B:$B,0)),{"Non Concerné";"Niveau 1";"Niveau 2";"Niveau 3";"Niveau 4"},0)-1)&gt;(MATCH(INDEX(Data_metier!$E:$E,MATCH(H$1,Data_metier!$B:$B,0)),{"Non Concerné";"Niveau 1";"Niveau 2";"Niveau 3";"Niveau 4"},0)-1),
1/6,0))</f>
        <v>0</v>
      </c>
      <c r="I6">
        <f>IF(DE_respon_transv!I6=-1,-1,
DE_respon_transv!I6+IF((MATCH(INDEX(Data_metier!$C:$C,MATCH($A6,Data_metier!$B:$B,0)),{"Non Concerné";"Niveau 1";"Niveau 2";"Niveau 3";"Niveau 4"},0)-1)&gt;(MATCH(INDEX(Data_metier!$C:$C,MATCH(I$1,Data_metier!$B:$B,0)),{"Non Concerné";"Niveau 1";"Niveau 2";"Niveau 3";"Niveau 4"},0)-1),
1/6,0)+IF((MATCH(INDEX(Data_metier!$D:$D,MATCH($A6,Data_metier!$B:$B,0)),{"Non Concerné";"Niveau 1";"Niveau 2";"Niveau 3";"Niveau 4"},0)-1)&gt;(MATCH(INDEX(Data_metier!$D:$D,MATCH(I$1,Data_metier!$B:$B,0)),{"Non Concerné";"Niveau 1";"Niveau 2";"Niveau 3";"Niveau 4"},0)-1),
1/6,0)+IF((MATCH(INDEX(Data_metier!$E:$E,MATCH($A6,Data_metier!$B:$B,0)),{"Non Concerné";"Niveau 1";"Niveau 2";"Niveau 3";"Niveau 4"},0)-1)&gt;(MATCH(INDEX(Data_metier!$E:$E,MATCH(I$1,Data_metier!$B:$B,0)),{"Non Concerné";"Niveau 1";"Niveau 2";"Niveau 3";"Niveau 4"},0)-1),
1/6,0))</f>
        <v>2.4999999999999996</v>
      </c>
      <c r="J6">
        <f>IF(DE_respon_transv!J6=-1,-1,
DE_respon_transv!J6+IF((MATCH(INDEX(Data_metier!$C:$C,MATCH($A6,Data_metier!$B:$B,0)),{"Non Concerné";"Niveau 1";"Niveau 2";"Niveau 3";"Niveau 4"},0)-1)&gt;(MATCH(INDEX(Data_metier!$C:$C,MATCH(J$1,Data_metier!$B:$B,0)),{"Non Concerné";"Niveau 1";"Niveau 2";"Niveau 3";"Niveau 4"},0)-1),
1/6,0)+IF((MATCH(INDEX(Data_metier!$D:$D,MATCH($A6,Data_metier!$B:$B,0)),{"Non Concerné";"Niveau 1";"Niveau 2";"Niveau 3";"Niveau 4"},0)-1)&gt;(MATCH(INDEX(Data_metier!$D:$D,MATCH(J$1,Data_metier!$B:$B,0)),{"Non Concerné";"Niveau 1";"Niveau 2";"Niveau 3";"Niveau 4"},0)-1),
1/6,0)+IF((MATCH(INDEX(Data_metier!$E:$E,MATCH($A6,Data_metier!$B:$B,0)),{"Non Concerné";"Niveau 1";"Niveau 2";"Niveau 3";"Niveau 4"},0)-1)&gt;(MATCH(INDEX(Data_metier!$E:$E,MATCH(J$1,Data_metier!$B:$B,0)),{"Non Concerné";"Niveau 1";"Niveau 2";"Niveau 3";"Niveau 4"},0)-1),
1/6,0))</f>
        <v>1.1666666666666667</v>
      </c>
      <c r="K6">
        <f>IF(DE_respon_transv!K6=-1,-1,
DE_respon_transv!K6+IF((MATCH(INDEX(Data_metier!$C:$C,MATCH($A6,Data_metier!$B:$B,0)),{"Non Concerné";"Niveau 1";"Niveau 2";"Niveau 3";"Niveau 4"},0)-1)&gt;(MATCH(INDEX(Data_metier!$C:$C,MATCH(K$1,Data_metier!$B:$B,0)),{"Non Concerné";"Niveau 1";"Niveau 2";"Niveau 3";"Niveau 4"},0)-1),
1/6,0)+IF((MATCH(INDEX(Data_metier!$D:$D,MATCH($A6,Data_metier!$B:$B,0)),{"Non Concerné";"Niveau 1";"Niveau 2";"Niveau 3";"Niveau 4"},0)-1)&gt;(MATCH(INDEX(Data_metier!$D:$D,MATCH(K$1,Data_metier!$B:$B,0)),{"Non Concerné";"Niveau 1";"Niveau 2";"Niveau 3";"Niveau 4"},0)-1),
1/6,0)+IF((MATCH(INDEX(Data_metier!$E:$E,MATCH($A6,Data_metier!$B:$B,0)),{"Non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6">
        <f>IF(DE_respon_transv!L6=-1,-1,
DE_respon_transv!L6+IF((MATCH(INDEX(Data_metier!$C:$C,MATCH($A6,Data_metier!$B:$B,0)),{"Non Concerné";"Niveau 1";"Niveau 2";"Niveau 3";"Niveau 4"},0)-1)&gt;(MATCH(INDEX(Data_metier!$C:$C,MATCH(L$1,Data_metier!$B:$B,0)),{"Non Concerné";"Niveau 1";"Niveau 2";"Niveau 3";"Niveau 4"},0)-1),
1/6,0)+IF((MATCH(INDEX(Data_metier!$D:$D,MATCH($A6,Data_metier!$B:$B,0)),{"Non Concerné";"Niveau 1";"Niveau 2";"Niveau 3";"Niveau 4"},0)-1)&gt;(MATCH(INDEX(Data_metier!$D:$D,MATCH(L$1,Data_metier!$B:$B,0)),{"Non Concerné";"Niveau 1";"Niveau 2";"Niveau 3";"Niveau 4"},0)-1),
1/6,0)+IF((MATCH(INDEX(Data_metier!$E:$E,MATCH($A6,Data_metier!$B:$B,0)),{"Non Concerné";"Niveau 1";"Niveau 2";"Niveau 3";"Niveau 4"},0)-1)&gt;(MATCH(INDEX(Data_metier!$E:$E,MATCH(L$1,Data_metier!$B:$B,0)),{"Non Concerné";"Niveau 1";"Niveau 2";"Niveau 3";"Niveau 4"},0)-1),
1/6,0))</f>
        <v>2.333333333333333</v>
      </c>
      <c r="M6">
        <f>IF(DE_respon_transv!M6=-1,-1,
DE_respon_transv!M6+IF((MATCH(INDEX(Data_metier!$C:$C,MATCH($A6,Data_metier!$B:$B,0)),{"Non Concerné";"Niveau 1";"Niveau 2";"Niveau 3";"Niveau 4"},0)-1)&gt;(MATCH(INDEX(Data_metier!$C:$C,MATCH(M$1,Data_metier!$B:$B,0)),{"Non Concerné";"Niveau 1";"Niveau 2";"Niveau 3";"Niveau 4"},0)-1),
1/6,0)+IF((MATCH(INDEX(Data_metier!$D:$D,MATCH($A6,Data_metier!$B:$B,0)),{"Non Concerné";"Niveau 1";"Niveau 2";"Niveau 3";"Niveau 4"},0)-1)&gt;(MATCH(INDEX(Data_metier!$D:$D,MATCH(M$1,Data_metier!$B:$B,0)),{"Non Concerné";"Niveau 1";"Niveau 2";"Niveau 3";"Niveau 4"},0)-1),
1/6,0)+IF((MATCH(INDEX(Data_metier!$E:$E,MATCH($A6,Data_metier!$B:$B,0)),{"Non Concerné";"Niveau 1";"Niveau 2";"Niveau 3";"Niveau 4"},0)-1)&gt;(MATCH(INDEX(Data_metier!$E:$E,MATCH(M$1,Data_metier!$B:$B,0)),{"Non Concerné";"Niveau 1";"Niveau 2";"Niveau 3";"Niveau 4"},0)-1),
1/6,0))</f>
        <v>2.333333333333333</v>
      </c>
      <c r="N6">
        <f>IF(DE_respon_transv!N6=-1,-1,
DE_respon_transv!N6+IF((MATCH(INDEX(Data_metier!$C:$C,MATCH($A6,Data_metier!$B:$B,0)),{"Non Concerné";"Niveau 1";"Niveau 2";"Niveau 3";"Niveau 4"},0)-1)&gt;(MATCH(INDEX(Data_metier!$C:$C,MATCH(N$1,Data_metier!$B:$B,0)),{"Non Concerné";"Niveau 1";"Niveau 2";"Niveau 3";"Niveau 4"},0)-1),
1/6,0)+IF((MATCH(INDEX(Data_metier!$D:$D,MATCH($A6,Data_metier!$B:$B,0)),{"Non Concerné";"Niveau 1";"Niveau 2";"Niveau 3";"Niveau 4"},0)-1)&gt;(MATCH(INDEX(Data_metier!$D:$D,MATCH(N$1,Data_metier!$B:$B,0)),{"Non Concerné";"Niveau 1";"Niveau 2";"Niveau 3";"Niveau 4"},0)-1),
1/6,0)+IF((MATCH(INDEX(Data_metier!$E:$E,MATCH($A6,Data_metier!$B:$B,0)),{"Non Concerné";"Niveau 1";"Niveau 2";"Niveau 3";"Niveau 4"},0)-1)&gt;(MATCH(INDEX(Data_metier!$E:$E,MATCH(N$1,Data_metier!$B:$B,0)),{"Non Concerné";"Niveau 1";"Niveau 2";"Niveau 3";"Niveau 4"},0)-1),
1/6,0))</f>
        <v>1.1666666666666667</v>
      </c>
      <c r="O6">
        <f>IF(DE_respon_transv!O6=-1,-1,
DE_respon_transv!O6+IF((MATCH(INDEX(Data_metier!$C:$C,MATCH($A6,Data_metier!$B:$B,0)),{"Non Concerné";"Niveau 1";"Niveau 2";"Niveau 3";"Niveau 4"},0)-1)&gt;(MATCH(INDEX(Data_metier!$C:$C,MATCH(O$1,Data_metier!$B:$B,0)),{"Non Concerné";"Niveau 1";"Niveau 2";"Niveau 3";"Niveau 4"},0)-1),
1/6,0)+IF((MATCH(INDEX(Data_metier!$D:$D,MATCH($A6,Data_metier!$B:$B,0)),{"Non Concerné";"Niveau 1";"Niveau 2";"Niveau 3";"Niveau 4"},0)-1)&gt;(MATCH(INDEX(Data_metier!$D:$D,MATCH(O$1,Data_metier!$B:$B,0)),{"Non Concerné";"Niveau 1";"Niveau 2";"Niveau 3";"Niveau 4"},0)-1),
1/6,0)+IF((MATCH(INDEX(Data_metier!$E:$E,MATCH($A6,Data_metier!$B:$B,0)),{"Non Concerné";"Niveau 1";"Niveau 2";"Niveau 3";"Niveau 4"},0)-1)&gt;(MATCH(INDEX(Data_metier!$E:$E,MATCH(O$1,Data_metier!$B:$B,0)),{"Non Concerné";"Niveau 1";"Niveau 2";"Niveau 3";"Niveau 4"},0)-1),
1/6,0))</f>
        <v>2.333333333333333</v>
      </c>
      <c r="P6">
        <f>IF(DE_respon_transv!P6=-1,-1,
DE_respon_transv!P6+IF((MATCH(INDEX(Data_metier!$C:$C,MATCH($A6,Data_metier!$B:$B,0)),{"Non Concerné";"Niveau 1";"Niveau 2";"Niveau 3";"Niveau 4"},0)-1)&gt;(MATCH(INDEX(Data_metier!$C:$C,MATCH(P$1,Data_metier!$B:$B,0)),{"Non Concerné";"Niveau 1";"Niveau 2";"Niveau 3";"Niveau 4"},0)-1),
1/6,0)+IF((MATCH(INDEX(Data_metier!$D:$D,MATCH($A6,Data_metier!$B:$B,0)),{"Non Concerné";"Niveau 1";"Niveau 2";"Niveau 3";"Niveau 4"},0)-1)&gt;(MATCH(INDEX(Data_metier!$D:$D,MATCH(P$1,Data_metier!$B:$B,0)),{"Non Concerné";"Niveau 1";"Niveau 2";"Niveau 3";"Niveau 4"},0)-1),
1/6,0)+IF((MATCH(INDEX(Data_metier!$E:$E,MATCH($A6,Data_metier!$B:$B,0)),{"Non Concerné";"Niveau 1";"Niveau 2";"Niveau 3";"Niveau 4"},0)-1)&gt;(MATCH(INDEX(Data_metier!$E:$E,MATCH(P$1,Data_metier!$B:$B,0)),{"Non Concerné";"Niveau 1";"Niveau 2";"Niveau 3";"Niveau 4"},0)-1),
1/6,0))</f>
        <v>2.4999999999999996</v>
      </c>
      <c r="Q6">
        <f>IF(DE_respon_transv!Q6=-1,-1,
DE_respon_transv!Q6+IF((MATCH(INDEX(Data_metier!$C:$C,MATCH($A6,Data_metier!$B:$B,0)),{"Non Concerné";"Niveau 1";"Niveau 2";"Niveau 3";"Niveau 4"},0)-1)&gt;(MATCH(INDEX(Data_metier!$C:$C,MATCH(Q$1,Data_metier!$B:$B,0)),{"Non Concerné";"Niveau 1";"Niveau 2";"Niveau 3";"Niveau 4"},0)-1),
1/6,0)+IF((MATCH(INDEX(Data_metier!$D:$D,MATCH($A6,Data_metier!$B:$B,0)),{"Non Concerné";"Niveau 1";"Niveau 2";"Niveau 3";"Niveau 4"},0)-1)&gt;(MATCH(INDEX(Data_metier!$D:$D,MATCH(Q$1,Data_metier!$B:$B,0)),{"Non Concerné";"Niveau 1";"Niveau 2";"Niveau 3";"Niveau 4"},0)-1),
1/6,0)+IF((MATCH(INDEX(Data_metier!$E:$E,MATCH($A6,Data_metier!$B:$B,0)),{"Non Concerné";"Niveau 1";"Niveau 2";"Niveau 3";"Niveau 4"},0)-1)&gt;(MATCH(INDEX(Data_metier!$E:$E,MATCH(Q$1,Data_metier!$B:$B,0)),{"Non Concerné";"Niveau 1";"Niveau 2";"Niveau 3";"Niveau 4"},0)-1),
1/6,0))</f>
        <v>1</v>
      </c>
      <c r="R6">
        <f>IF(DE_respon_transv!R6=-1,-1,
DE_respon_transv!R6+IF((MATCH(INDEX(Data_metier!$C:$C,MATCH($A6,Data_metier!$B:$B,0)),{"Non Concerné";"Niveau 1";"Niveau 2";"Niveau 3";"Niveau 4"},0)-1)&gt;(MATCH(INDEX(Data_metier!$C:$C,MATCH(R$1,Data_metier!$B:$B,0)),{"Non Concerné";"Niveau 1";"Niveau 2";"Niveau 3";"Niveau 4"},0)-1),
1/6,0)+IF((MATCH(INDEX(Data_metier!$D:$D,MATCH($A6,Data_metier!$B:$B,0)),{"Non Concerné";"Niveau 1";"Niveau 2";"Niveau 3";"Niveau 4"},0)-1)&gt;(MATCH(INDEX(Data_metier!$D:$D,MATCH(R$1,Data_metier!$B:$B,0)),{"Non Concerné";"Niveau 1";"Niveau 2";"Niveau 3";"Niveau 4"},0)-1),
1/6,0)+IF((MATCH(INDEX(Data_metier!$E:$E,MATCH($A6,Data_metier!$B:$B,0)),{"Non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6">
        <f>IF(DE_respon_transv!S6=-1,-1,
DE_respon_transv!S6+IF((MATCH(INDEX(Data_metier!$C:$C,MATCH($A6,Data_metier!$B:$B,0)),{"Non Concerné";"Niveau 1";"Niveau 2";"Niveau 3";"Niveau 4"},0)-1)&gt;(MATCH(INDEX(Data_metier!$C:$C,MATCH(S$1,Data_metier!$B:$B,0)),{"Non Concerné";"Niveau 1";"Niveau 2";"Niveau 3";"Niveau 4"},0)-1),
1/6,0)+IF((MATCH(INDEX(Data_metier!$D:$D,MATCH($A6,Data_metier!$B:$B,0)),{"Non Concerné";"Niveau 1";"Niveau 2";"Niveau 3";"Niveau 4"},0)-1)&gt;(MATCH(INDEX(Data_metier!$D:$D,MATCH(S$1,Data_metier!$B:$B,0)),{"Non Concerné";"Niveau 1";"Niveau 2";"Niveau 3";"Niveau 4"},0)-1),
1/6,0)+IF((MATCH(INDEX(Data_metier!$E:$E,MATCH($A6,Data_metier!$B:$B,0)),{"Non Concerné";"Niveau 1";"Niveau 2";"Niveau 3";"Niveau 4"},0)-1)&gt;(MATCH(INDEX(Data_metier!$E:$E,MATCH(S$1,Data_metier!$B:$B,0)),{"Non Concerné";"Niveau 1";"Niveau 2";"Niveau 3";"Niveau 4"},0)-1),
1/6,0))</f>
        <v>2.4999999999999996</v>
      </c>
      <c r="T6">
        <f>IF(DE_respon_transv!T6=-1,-1,
DE_respon_transv!T6+IF((MATCH(INDEX(Data_metier!$C:$C,MATCH($A6,Data_metier!$B:$B,0)),{"Non Concerné";"Niveau 1";"Niveau 2";"Niveau 3";"Niveau 4"},0)-1)&gt;(MATCH(INDEX(Data_metier!$C:$C,MATCH(T$1,Data_metier!$B:$B,0)),{"Non Concerné";"Niveau 1";"Niveau 2";"Niveau 3";"Niveau 4"},0)-1),
1/6,0)+IF((MATCH(INDEX(Data_metier!$D:$D,MATCH($A6,Data_metier!$B:$B,0)),{"Non Concerné";"Niveau 1";"Niveau 2";"Niveau 3";"Niveau 4"},0)-1)&gt;(MATCH(INDEX(Data_metier!$D:$D,MATCH(T$1,Data_metier!$B:$B,0)),{"Non Concerné";"Niveau 1";"Niveau 2";"Niveau 3";"Niveau 4"},0)-1),
1/6,0)+IF((MATCH(INDEX(Data_metier!$E:$E,MATCH($A6,Data_metier!$B:$B,0)),{"Non Concerné";"Niveau 1";"Niveau 2";"Niveau 3";"Niveau 4"},0)-1)&gt;(MATCH(INDEX(Data_metier!$E:$E,MATCH(T$1,Data_metier!$B:$B,0)),{"Non Concerné";"Niveau 1";"Niveau 2";"Niveau 3";"Niveau 4"},0)-1),
1/6,0))</f>
        <v>2.4999999999999996</v>
      </c>
      <c r="U6">
        <f>IF(DE_respon_transv!U6=-1,-1,
DE_respon_transv!U6+IF((MATCH(INDEX(Data_metier!$C:$C,MATCH($A6,Data_metier!$B:$B,0)),{"Non Concerné";"Niveau 1";"Niveau 2";"Niveau 3";"Niveau 4"},0)-1)&gt;(MATCH(INDEX(Data_metier!$C:$C,MATCH(U$1,Data_metier!$B:$B,0)),{"Non Concerné";"Niveau 1";"Niveau 2";"Niveau 3";"Niveau 4"},0)-1),
1/6,0)+IF((MATCH(INDEX(Data_metier!$D:$D,MATCH($A6,Data_metier!$B:$B,0)),{"Non Concerné";"Niveau 1";"Niveau 2";"Niveau 3";"Niveau 4"},0)-1)&gt;(MATCH(INDEX(Data_metier!$D:$D,MATCH(U$1,Data_metier!$B:$B,0)),{"Non Concerné";"Niveau 1";"Niveau 2";"Niveau 3";"Niveau 4"},0)-1),
1/6,0)+IF((MATCH(INDEX(Data_metier!$E:$E,MATCH($A6,Data_metier!$B:$B,0)),{"Non Concerné";"Niveau 1";"Niveau 2";"Niveau 3";"Niveau 4"},0)-1)&gt;(MATCH(INDEX(Data_metier!$E:$E,MATCH(U$1,Data_metier!$B:$B,0)),{"Non Concerné";"Niveau 1";"Niveau 2";"Niveau 3";"Niveau 4"},0)-1),
1/6,0))</f>
        <v>2.4999999999999996</v>
      </c>
      <c r="V6">
        <f>IF(DE_respon_transv!V6=-1,-1,
DE_respon_transv!V6+IF((MATCH(INDEX(Data_metier!$C:$C,MATCH($A6,Data_metier!$B:$B,0)),{"Non Concerné";"Niveau 1";"Niveau 2";"Niveau 3";"Niveau 4"},0)-1)&gt;(MATCH(INDEX(Data_metier!$C:$C,MATCH(V$1,Data_metier!$B:$B,0)),{"Non Concerné";"Niveau 1";"Niveau 2";"Niveau 3";"Niveau 4"},0)-1),
1/6,0)+IF((MATCH(INDEX(Data_metier!$D:$D,MATCH($A6,Data_metier!$B:$B,0)),{"Non Concerné";"Niveau 1";"Niveau 2";"Niveau 3";"Niveau 4"},0)-1)&gt;(MATCH(INDEX(Data_metier!$D:$D,MATCH(V$1,Data_metier!$B:$B,0)),{"Non Concerné";"Niveau 1";"Niveau 2";"Niveau 3";"Niveau 4"},0)-1),
1/6,0)+IF((MATCH(INDEX(Data_metier!$E:$E,MATCH($A6,Data_metier!$B:$B,0)),{"Non Concerné";"Niveau 1";"Niveau 2";"Niveau 3";"Niveau 4"},0)-1)&gt;(MATCH(INDEX(Data_metier!$E:$E,MATCH(V$1,Data_metier!$B:$B,0)),{"Non Concerné";"Niveau 1";"Niveau 2";"Niveau 3";"Niveau 4"},0)-1),
1/6,0))</f>
        <v>2.333333333333333</v>
      </c>
      <c r="W6">
        <f>IF(DE_respon_transv!W6=-1,-1,
DE_respon_transv!W6+IF((MATCH(INDEX(Data_metier!$C:$C,MATCH($A6,Data_metier!$B:$B,0)),{"Non Concerné";"Niveau 1";"Niveau 2";"Niveau 3";"Niveau 4"},0)-1)&gt;(MATCH(INDEX(Data_metier!$C:$C,MATCH(W$1,Data_metier!$B:$B,0)),{"Non Concerné";"Niveau 1";"Niveau 2";"Niveau 3";"Niveau 4"},0)-1),
1/6,0)+IF((MATCH(INDEX(Data_metier!$D:$D,MATCH($A6,Data_metier!$B:$B,0)),{"Non Concerné";"Niveau 1";"Niveau 2";"Niveau 3";"Niveau 4"},0)-1)&gt;(MATCH(INDEX(Data_metier!$D:$D,MATCH(W$1,Data_metier!$B:$B,0)),{"Non Concerné";"Niveau 1";"Niveau 2";"Niveau 3";"Niveau 4"},0)-1),
1/6,0)+IF((MATCH(INDEX(Data_metier!$E:$E,MATCH($A6,Data_metier!$B:$B,0)),{"Non Concerné";"Niveau 1";"Niveau 2";"Niveau 3";"Niveau 4"},0)-1)&gt;(MATCH(INDEX(Data_metier!$E:$E,MATCH(W$1,Data_metier!$B:$B,0)),{"Non Concerné";"Niveau 1";"Niveau 2";"Niveau 3";"Niveau 4"},0)-1),
1/6,0))</f>
        <v>2.333333333333333</v>
      </c>
      <c r="X6">
        <f>IF(DE_respon_transv!X6=-1,-1,
DE_respon_transv!X6+IF((MATCH(INDEX(Data_metier!$C:$C,MATCH($A6,Data_metier!$B:$B,0)),{"Non Concerné";"Niveau 1";"Niveau 2";"Niveau 3";"Niveau 4"},0)-1)&gt;(MATCH(INDEX(Data_metier!$C:$C,MATCH(X$1,Data_metier!$B:$B,0)),{"Non Concerné";"Niveau 1";"Niveau 2";"Niveau 3";"Niveau 4"},0)-1),
1/6,0)+IF((MATCH(INDEX(Data_metier!$D:$D,MATCH($A6,Data_metier!$B:$B,0)),{"Non Concerné";"Niveau 1";"Niveau 2";"Niveau 3";"Niveau 4"},0)-1)&gt;(MATCH(INDEX(Data_metier!$D:$D,MATCH(X$1,Data_metier!$B:$B,0)),{"Non Concerné";"Niveau 1";"Niveau 2";"Niveau 3";"Niveau 4"},0)-1),
1/6,0)+IF((MATCH(INDEX(Data_metier!$E:$E,MATCH($A6,Data_metier!$B:$B,0)),{"Non Concerné";"Niveau 1";"Niveau 2";"Niveau 3";"Niveau 4"},0)-1)&gt;(MATCH(INDEX(Data_metier!$E:$E,MATCH(X$1,Data_metier!$B:$B,0)),{"Non Concerné";"Niveau 1";"Niveau 2";"Niveau 3";"Niveau 4"},0)-1),
1/6,0))</f>
        <v>0</v>
      </c>
      <c r="Y6">
        <f>IF(DE_respon_transv!Y6=-1,-1,
DE_respon_transv!Y6+IF((MATCH(INDEX(Data_metier!$C:$C,MATCH($A6,Data_metier!$B:$B,0)),{"Non Concerné";"Niveau 1";"Niveau 2";"Niveau 3";"Niveau 4"},0)-1)&gt;(MATCH(INDEX(Data_metier!$C:$C,MATCH(Y$1,Data_metier!$B:$B,0)),{"Non Concerné";"Niveau 1";"Niveau 2";"Niveau 3";"Niveau 4"},0)-1),
1/6,0)+IF((MATCH(INDEX(Data_metier!$D:$D,MATCH($A6,Data_metier!$B:$B,0)),{"Non Concerné";"Niveau 1";"Niveau 2";"Niveau 3";"Niveau 4"},0)-1)&gt;(MATCH(INDEX(Data_metier!$D:$D,MATCH(Y$1,Data_metier!$B:$B,0)),{"Non Concerné";"Niveau 1";"Niveau 2";"Niveau 3";"Niveau 4"},0)-1),
1/6,0)+IF((MATCH(INDEX(Data_metier!$E:$E,MATCH($A6,Data_metier!$B:$B,0)),{"Non Concerné";"Niveau 1";"Niveau 2";"Niveau 3";"Niveau 4"},0)-1)&gt;(MATCH(INDEX(Data_metier!$E:$E,MATCH(Y$1,Data_metier!$B:$B,0)),{"Non Concerné";"Niveau 1";"Niveau 2";"Niveau 3";"Niveau 4"},0)-1),
1/6,0))</f>
        <v>2.4999999999999996</v>
      </c>
      <c r="Z6">
        <f>IF(DE_respon_transv!Z6=-1,-1,
DE_respon_transv!Z6+IF((MATCH(INDEX(Data_metier!$C:$C,MATCH($A6,Data_metier!$B:$B,0)),{"Non Concerné";"Niveau 1";"Niveau 2";"Niveau 3";"Niveau 4"},0)-1)&gt;(MATCH(INDEX(Data_metier!$C:$C,MATCH(Z$1,Data_metier!$B:$B,0)),{"Non Concerné";"Niveau 1";"Niveau 2";"Niveau 3";"Niveau 4"},0)-1),
1/6,0)+IF((MATCH(INDEX(Data_metier!$D:$D,MATCH($A6,Data_metier!$B:$B,0)),{"Non Concerné";"Niveau 1";"Niveau 2";"Niveau 3";"Niveau 4"},0)-1)&gt;(MATCH(INDEX(Data_metier!$D:$D,MATCH(Z$1,Data_metier!$B:$B,0)),{"Non Concerné";"Niveau 1";"Niveau 2";"Niveau 3";"Niveau 4"},0)-1),
1/6,0)+IF((MATCH(INDEX(Data_metier!$E:$E,MATCH($A6,Data_metier!$B:$B,0)),{"Non Concerné";"Niveau 1";"Niveau 2";"Niveau 3";"Niveau 4"},0)-1)&gt;(MATCH(INDEX(Data_metier!$E:$E,MATCH(Z$1,Data_metier!$B:$B,0)),{"Non Concerné";"Niveau 1";"Niveau 2";"Niveau 3";"Niveau 4"},0)-1),
1/6,0))</f>
        <v>2.4999999999999996</v>
      </c>
      <c r="AA6">
        <f>IF(DE_respon_transv!AA6=-1,-1,
DE_respon_transv!AA6+IF((MATCH(INDEX(Data_metier!$C:$C,MATCH($A6,Data_metier!$B:$B,0)),{"Non Concerné";"Niveau 1";"Niveau 2";"Niveau 3";"Niveau 4"},0)-1)&gt;(MATCH(INDEX(Data_metier!$C:$C,MATCH(AA$1,Data_metier!$B:$B,0)),{"Non Concerné";"Niveau 1";"Niveau 2";"Niveau 3";"Niveau 4"},0)-1),
1/6,0)+IF((MATCH(INDEX(Data_metier!$D:$D,MATCH($A6,Data_metier!$B:$B,0)),{"Non Concerné";"Niveau 1";"Niveau 2";"Niveau 3";"Niveau 4"},0)-1)&gt;(MATCH(INDEX(Data_metier!$D:$D,MATCH(AA$1,Data_metier!$B:$B,0)),{"Non Concerné";"Niveau 1";"Niveau 2";"Niveau 3";"Niveau 4"},0)-1),
1/6,0)+IF((MATCH(INDEX(Data_metier!$E:$E,MATCH($A6,Data_metier!$B:$B,0)),{"Non Concerné";"Niveau 1";"Niveau 2";"Niveau 3";"Niveau 4"},0)-1)&gt;(MATCH(INDEX(Data_metier!$E:$E,MATCH(AA$1,Data_metier!$B:$B,0)),{"Non Concerné";"Niveau 1";"Niveau 2";"Niveau 3";"Niveau 4"},0)-1),
1/6,0))</f>
        <v>2.4999999999999996</v>
      </c>
      <c r="AB6">
        <f>IF(DE_respon_transv!AB6=-1,-1,
DE_respon_transv!AB6+IF((MATCH(INDEX(Data_metier!$C:$C,MATCH($A6,Data_metier!$B:$B,0)),{"Non Concerné";"Niveau 1";"Niveau 2";"Niveau 3";"Niveau 4"},0)-1)&gt;(MATCH(INDEX(Data_metier!$C:$C,MATCH(AB$1,Data_metier!$B:$B,0)),{"Non Concerné";"Niveau 1";"Niveau 2";"Niveau 3";"Niveau 4"},0)-1),
1/6,0)+IF((MATCH(INDEX(Data_metier!$D:$D,MATCH($A6,Data_metier!$B:$B,0)),{"Non Concerné";"Niveau 1";"Niveau 2";"Niveau 3";"Niveau 4"},0)-1)&gt;(MATCH(INDEX(Data_metier!$D:$D,MATCH(AB$1,Data_metier!$B:$B,0)),{"Non Concerné";"Niveau 1";"Niveau 2";"Niveau 3";"Niveau 4"},0)-1),
1/6,0)+IF((MATCH(INDEX(Data_metier!$E:$E,MATCH($A6,Data_metier!$B:$B,0)),{"Non Concerné";"Niveau 1";"Niveau 2";"Niveau 3";"Niveau 4"},0)-1)&gt;(MATCH(INDEX(Data_metier!$E:$E,MATCH(AB$1,Data_metier!$B:$B,0)),{"Non Concerné";"Niveau 1";"Niveau 2";"Niveau 3";"Niveau 4"},0)-1),
1/6,0))</f>
        <v>2.333333333333333</v>
      </c>
      <c r="AC6">
        <f>IF(DE_respon_transv!AC6=-1,-1,
DE_respon_transv!AC6+IF((MATCH(INDEX(Data_metier!$C:$C,MATCH($A6,Data_metier!$B:$B,0)),{"Non Concerné";"Niveau 1";"Niveau 2";"Niveau 3";"Niveau 4"},0)-1)&gt;(MATCH(INDEX(Data_metier!$C:$C,MATCH(AC$1,Data_metier!$B:$B,0)),{"Non Concerné";"Niveau 1";"Niveau 2";"Niveau 3";"Niveau 4"},0)-1),
1/6,0)+IF((MATCH(INDEX(Data_metier!$D:$D,MATCH($A6,Data_metier!$B:$B,0)),{"Non Concerné";"Niveau 1";"Niveau 2";"Niveau 3";"Niveau 4"},0)-1)&gt;(MATCH(INDEX(Data_metier!$D:$D,MATCH(AC$1,Data_metier!$B:$B,0)),{"Non Concerné";"Niveau 1";"Niveau 2";"Niveau 3";"Niveau 4"},0)-1),
1/6,0)+IF((MATCH(INDEX(Data_metier!$E:$E,MATCH($A6,Data_metier!$B:$B,0)),{"Non Concerné";"Niveau 1";"Niveau 2";"Niveau 3";"Niveau 4"},0)-1)&gt;(MATCH(INDEX(Data_metier!$E:$E,MATCH(AC$1,Data_metier!$B:$B,0)),{"Non Concerné";"Niveau 1";"Niveau 2";"Niveau 3";"Niveau 4"},0)-1),
1/6,0))</f>
        <v>2.333333333333333</v>
      </c>
      <c r="AD6">
        <f>IF(DE_respon_transv!AD6=-1,-1,
DE_respon_transv!AD6+IF((MATCH(INDEX(Data_metier!$C:$C,MATCH($A6,Data_metier!$B:$B,0)),{"Non Concerné";"Niveau 1";"Niveau 2";"Niveau 3";"Niveau 4"},0)-1)&gt;(MATCH(INDEX(Data_metier!$C:$C,MATCH(AD$1,Data_metier!$B:$B,0)),{"Non Concerné";"Niveau 1";"Niveau 2";"Niveau 3";"Niveau 4"},0)-1),
1/6,0)+IF((MATCH(INDEX(Data_metier!$D:$D,MATCH($A6,Data_metier!$B:$B,0)),{"Non Concerné";"Niveau 1";"Niveau 2";"Niveau 3";"Niveau 4"},0)-1)&gt;(MATCH(INDEX(Data_metier!$D:$D,MATCH(AD$1,Data_metier!$B:$B,0)),{"Non Concerné";"Niveau 1";"Niveau 2";"Niveau 3";"Niveau 4"},0)-1),
1/6,0)+IF((MATCH(INDEX(Data_metier!$E:$E,MATCH($A6,Data_metier!$B:$B,0)),{"Non Concerné";"Niveau 1";"Niveau 2";"Niveau 3";"Niveau 4"},0)-1)&gt;(MATCH(INDEX(Data_metier!$E:$E,MATCH(AD$1,Data_metier!$B:$B,0)),{"Non Concerné";"Niveau 1";"Niveau 2";"Niveau 3";"Niveau 4"},0)-1),
1/6,0))</f>
        <v>2.333333333333333</v>
      </c>
    </row>
    <row r="7" spans="1:30">
      <c r="A7" t="str">
        <v>Superviseur(se) de production (fabrication / conditionnement)</v>
      </c>
      <c r="B7">
        <f>IF(DE_respon_transv!B7=-1,-1,
DE_respon_transv!B7+IF((MATCH(INDEX(Data_metier!$C:$C,MATCH($A7,Data_metier!$B:$B,0)),{"Non Concerné";"Niveau 1";"Niveau 2";"Niveau 3";"Niveau 4"},0)-1)&gt;(MATCH(INDEX(Data_metier!$C:$C,MATCH(B$1,Data_metier!$B:$B,0)),{"Non Concerné";"Niveau 1";"Niveau 2";"Niveau 3";"Niveau 4"},0)-1),
1/6,0)+IF((MATCH(INDEX(Data_metier!$D:$D,MATCH($A7,Data_metier!$B:$B,0)),{"Non Concerné";"Niveau 1";"Niveau 2";"Niveau 3";"Niveau 4"},0)-1)&gt;(MATCH(INDEX(Data_metier!$D:$D,MATCH(B$1,Data_metier!$B:$B,0)),{"Non Concerné";"Niveau 1";"Niveau 2";"Niveau 3";"Niveau 4"},0)-1),
1/6,0)+IF((MATCH(INDEX(Data_metier!$E:$E,MATCH($A7,Data_metier!$B:$B,0)),{"Non Concerné";"Niveau 1";"Niveau 2";"Niveau 3";"Niveau 4"},0)-1)&gt;(MATCH(INDEX(Data_metier!$E:$E,MATCH(B$1,Data_metier!$B:$B,0)),{"Non Concerné";"Niveau 1";"Niveau 2";"Niveau 3";"Niveau 4"},0)-1),
1/6,0))</f>
        <v>2.9999999999999996</v>
      </c>
      <c r="C7">
        <f>IF(DE_respon_transv!C7=-1,-1,
DE_respon_transv!C7+IF((MATCH(INDEX(Data_metier!$C:$C,MATCH($A7,Data_metier!$B:$B,0)),{"Non Concerné";"Niveau 1";"Niveau 2";"Niveau 3";"Niveau 4"},0)-1)&gt;(MATCH(INDEX(Data_metier!$C:$C,MATCH(C$1,Data_metier!$B:$B,0)),{"Non Concerné";"Niveau 1";"Niveau 2";"Niveau 3";"Niveau 4"},0)-1),
1/6,0)+IF((MATCH(INDEX(Data_metier!$D:$D,MATCH($A7,Data_metier!$B:$B,0)),{"Non Concerné";"Niveau 1";"Niveau 2";"Niveau 3";"Niveau 4"},0)-1)&gt;(MATCH(INDEX(Data_metier!$D:$D,MATCH(C$1,Data_metier!$B:$B,0)),{"Non Concerné";"Niveau 1";"Niveau 2";"Niveau 3";"Niveau 4"},0)-1),
1/6,0)+IF((MATCH(INDEX(Data_metier!$E:$E,MATCH($A7,Data_metier!$B:$B,0)),{"Non Concerné";"Niveau 1";"Niveau 2";"Niveau 3";"Niveau 4"},0)-1)&gt;(MATCH(INDEX(Data_metier!$E:$E,MATCH(C$1,Data_metier!$B:$B,0)),{"Non Concerné";"Niveau 1";"Niveau 2";"Niveau 3";"Niveau 4"},0)-1),
1/6,0))</f>
        <v>2.9999999999999996</v>
      </c>
      <c r="D7">
        <f>IF(DE_respon_transv!D7=-1,-1,
DE_respon_transv!D7+IF((MATCH(INDEX(Data_metier!$C:$C,MATCH($A7,Data_metier!$B:$B,0)),{"Non Concerné";"Niveau 1";"Niveau 2";"Niveau 3";"Niveau 4"},0)-1)&gt;(MATCH(INDEX(Data_metier!$C:$C,MATCH(D$1,Data_metier!$B:$B,0)),{"Non Concerné";"Niveau 1";"Niveau 2";"Niveau 3";"Niveau 4"},0)-1),
1/6,0)+IF((MATCH(INDEX(Data_metier!$D:$D,MATCH($A7,Data_metier!$B:$B,0)),{"Non Concerné";"Niveau 1";"Niveau 2";"Niveau 3";"Niveau 4"},0)-1)&gt;(MATCH(INDEX(Data_metier!$D:$D,MATCH(D$1,Data_metier!$B:$B,0)),{"Non Concerné";"Niveau 1";"Niveau 2";"Niveau 3";"Niveau 4"},0)-1),
1/6,0)+IF((MATCH(INDEX(Data_metier!$E:$E,MATCH($A7,Data_metier!$B:$B,0)),{"Non Concerné";"Niveau 1";"Niveau 2";"Niveau 3";"Niveau 4"},0)-1)&gt;(MATCH(INDEX(Data_metier!$E:$E,MATCH(D$1,Data_metier!$B:$B,0)),{"Non Concerné";"Niveau 1";"Niveau 2";"Niveau 3";"Niveau 4"},0)-1),
1/6,0))</f>
        <v>2.9999999999999996</v>
      </c>
      <c r="E7">
        <f>IF(DE_respon_transv!E7=-1,-1,
DE_respon_transv!E7+IF((MATCH(INDEX(Data_metier!$C:$C,MATCH($A7,Data_metier!$B:$B,0)),{"Non Concerné";"Niveau 1";"Niveau 2";"Niveau 3";"Niveau 4"},0)-1)&gt;(MATCH(INDEX(Data_metier!$C:$C,MATCH(E$1,Data_metier!$B:$B,0)),{"Non Concerné";"Niveau 1";"Niveau 2";"Niveau 3";"Niveau 4"},0)-1),
1/6,0)+IF((MATCH(INDEX(Data_metier!$D:$D,MATCH($A7,Data_metier!$B:$B,0)),{"Non Concerné";"Niveau 1";"Niveau 2";"Niveau 3";"Niveau 4"},0)-1)&gt;(MATCH(INDEX(Data_metier!$D:$D,MATCH(E$1,Data_metier!$B:$B,0)),{"Non Concerné";"Niveau 1";"Niveau 2";"Niveau 3";"Niveau 4"},0)-1),
1/6,0)+IF((MATCH(INDEX(Data_metier!$E:$E,MATCH($A7,Data_metier!$B:$B,0)),{"Non Concerné";"Niveau 1";"Niveau 2";"Niveau 3";"Niveau 4"},0)-1)&gt;(MATCH(INDEX(Data_metier!$E:$E,MATCH(E$1,Data_metier!$B:$B,0)),{"Non Concerné";"Niveau 1";"Niveau 2";"Niveau 3";"Niveau 4"},0)-1),
1/6,0))</f>
        <v>1</v>
      </c>
      <c r="F7">
        <f>IF(DE_respon_transv!F7=-1,-1,
DE_respon_transv!F7+IF((MATCH(INDEX(Data_metier!$C:$C,MATCH($A7,Data_metier!$B:$B,0)),{"Non Concerné";"Niveau 1";"Niveau 2";"Niveau 3";"Niveau 4"},0)-1)&gt;(MATCH(INDEX(Data_metier!$C:$C,MATCH(F$1,Data_metier!$B:$B,0)),{"Non Concerné";"Niveau 1";"Niveau 2";"Niveau 3";"Niveau 4"},0)-1),
1/6,0)+IF((MATCH(INDEX(Data_metier!$D:$D,MATCH($A7,Data_metier!$B:$B,0)),{"Non Concerné";"Niveau 1";"Niveau 2";"Niveau 3";"Niveau 4"},0)-1)&gt;(MATCH(INDEX(Data_metier!$D:$D,MATCH(F$1,Data_metier!$B:$B,0)),{"Non Concerné";"Niveau 1";"Niveau 2";"Niveau 3";"Niveau 4"},0)-1),
1/6,0)+IF((MATCH(INDEX(Data_metier!$E:$E,MATCH($A7,Data_metier!$B:$B,0)),{"Non Concerné";"Niveau 1";"Niveau 2";"Niveau 3";"Niveau 4"},0)-1)&gt;(MATCH(INDEX(Data_metier!$E:$E,MATCH(F$1,Data_metier!$B:$B,0)),{"Non Concerné";"Niveau 1";"Niveau 2";"Niveau 3";"Niveau 4"},0)-1),
1/6,0))</f>
        <v>0.66666666666666663</v>
      </c>
      <c r="G7">
        <f>IF(DE_respon_transv!G7=-1,-1,
DE_respon_transv!G7+IF((MATCH(INDEX(Data_metier!$C:$C,MATCH($A7,Data_metier!$B:$B,0)),{"Non Concerné";"Niveau 1";"Niveau 2";"Niveau 3";"Niveau 4"},0)-1)&gt;(MATCH(INDEX(Data_metier!$C:$C,MATCH(G$1,Data_metier!$B:$B,0)),{"Non Concerné";"Niveau 1";"Niveau 2";"Niveau 3";"Niveau 4"},0)-1),
1/6,0)+IF((MATCH(INDEX(Data_metier!$D:$D,MATCH($A7,Data_metier!$B:$B,0)),{"Non Concerné";"Niveau 1";"Niveau 2";"Niveau 3";"Niveau 4"},0)-1)&gt;(MATCH(INDEX(Data_metier!$D:$D,MATCH(G$1,Data_metier!$B:$B,0)),{"Non Concerné";"Niveau 1";"Niveau 2";"Niveau 3";"Niveau 4"},0)-1),
1/6,0)+IF((MATCH(INDEX(Data_metier!$E:$E,MATCH($A7,Data_metier!$B:$B,0)),{"Non Concerné";"Niveau 1";"Niveau 2";"Niveau 3";"Niveau 4"},0)-1)&gt;(MATCH(INDEX(Data_metier!$E:$E,MATCH(G$1,Data_metier!$B:$B,0)),{"Non Concerné";"Niveau 1";"Niveau 2";"Niveau 3";"Niveau 4"},0)-1),
1/6,0))</f>
        <v>0</v>
      </c>
      <c r="H7">
        <f>IF(DE_respon_transv!H7=-1,-1,
DE_respon_transv!H7+IF((MATCH(INDEX(Data_metier!$C:$C,MATCH($A7,Data_metier!$B:$B,0)),{"Non Concerné";"Niveau 1";"Niveau 2";"Niveau 3";"Niveau 4"},0)-1)&gt;(MATCH(INDEX(Data_metier!$C:$C,MATCH(H$1,Data_metier!$B:$B,0)),{"Non Concerné";"Niveau 1";"Niveau 2";"Niveau 3";"Niveau 4"},0)-1),
1/6,0)+IF((MATCH(INDEX(Data_metier!$D:$D,MATCH($A7,Data_metier!$B:$B,0)),{"Non Concerné";"Niveau 1";"Niveau 2";"Niveau 3";"Niveau 4"},0)-1)&gt;(MATCH(INDEX(Data_metier!$D:$D,MATCH(H$1,Data_metier!$B:$B,0)),{"Non Concerné";"Niveau 1";"Niveau 2";"Niveau 3";"Niveau 4"},0)-1),
1/6,0)+IF((MATCH(INDEX(Data_metier!$E:$E,MATCH($A7,Data_metier!$B:$B,0)),{"Non Concerné";"Niveau 1";"Niveau 2";"Niveau 3";"Niveau 4"},0)-1)&gt;(MATCH(INDEX(Data_metier!$E:$E,MATCH(H$1,Data_metier!$B:$B,0)),{"Non Concerné";"Niveau 1";"Niveau 2";"Niveau 3";"Niveau 4"},0)-1),
1/6,0))</f>
        <v>0</v>
      </c>
      <c r="I7">
        <f>IF(DE_respon_transv!I7=-1,-1,
DE_respon_transv!I7+IF((MATCH(INDEX(Data_metier!$C:$C,MATCH($A7,Data_metier!$B:$B,0)),{"Non Concerné";"Niveau 1";"Niveau 2";"Niveau 3";"Niveau 4"},0)-1)&gt;(MATCH(INDEX(Data_metier!$C:$C,MATCH(I$1,Data_metier!$B:$B,0)),{"Non Concerné";"Niveau 1";"Niveau 2";"Niveau 3";"Niveau 4"},0)-1),
1/6,0)+IF((MATCH(INDEX(Data_metier!$D:$D,MATCH($A7,Data_metier!$B:$B,0)),{"Non Concerné";"Niveau 1";"Niveau 2";"Niveau 3";"Niveau 4"},0)-1)&gt;(MATCH(INDEX(Data_metier!$D:$D,MATCH(I$1,Data_metier!$B:$B,0)),{"Non Concerné";"Niveau 1";"Niveau 2";"Niveau 3";"Niveau 4"},0)-1),
1/6,0)+IF((MATCH(INDEX(Data_metier!$E:$E,MATCH($A7,Data_metier!$B:$B,0)),{"Non Concerné";"Niveau 1";"Niveau 2";"Niveau 3";"Niveau 4"},0)-1)&gt;(MATCH(INDEX(Data_metier!$E:$E,MATCH(I$1,Data_metier!$B:$B,0)),{"Non Concerné";"Niveau 1";"Niveau 2";"Niveau 3";"Niveau 4"},0)-1),
1/6,0))</f>
        <v>2.9999999999999996</v>
      </c>
      <c r="J7">
        <f>IF(DE_respon_transv!J7=-1,-1,
DE_respon_transv!J7+IF((MATCH(INDEX(Data_metier!$C:$C,MATCH($A7,Data_metier!$B:$B,0)),{"Non Concerné";"Niveau 1";"Niveau 2";"Niveau 3";"Niveau 4"},0)-1)&gt;(MATCH(INDEX(Data_metier!$C:$C,MATCH(J$1,Data_metier!$B:$B,0)),{"Non Concerné";"Niveau 1";"Niveau 2";"Niveau 3";"Niveau 4"},0)-1),
1/6,0)+IF((MATCH(INDEX(Data_metier!$D:$D,MATCH($A7,Data_metier!$B:$B,0)),{"Non Concerné";"Niveau 1";"Niveau 2";"Niveau 3";"Niveau 4"},0)-1)&gt;(MATCH(INDEX(Data_metier!$D:$D,MATCH(J$1,Data_metier!$B:$B,0)),{"Non Concerné";"Niveau 1";"Niveau 2";"Niveau 3";"Niveau 4"},0)-1),
1/6,0)+IF((MATCH(INDEX(Data_metier!$E:$E,MATCH($A7,Data_metier!$B:$B,0)),{"Non Concerné";"Niveau 1";"Niveau 2";"Niveau 3";"Niveau 4"},0)-1)&gt;(MATCH(INDEX(Data_metier!$E:$E,MATCH(J$1,Data_metier!$B:$B,0)),{"Non Concerné";"Niveau 1";"Niveau 2";"Niveau 3";"Niveau 4"},0)-1),
1/6,0))</f>
        <v>1.8333333333333335</v>
      </c>
      <c r="K7">
        <f>IF(DE_respon_transv!K7=-1,-1,
DE_respon_transv!K7+IF((MATCH(INDEX(Data_metier!$C:$C,MATCH($A7,Data_metier!$B:$B,0)),{"Non Concerné";"Niveau 1";"Niveau 2";"Niveau 3";"Niveau 4"},0)-1)&gt;(MATCH(INDEX(Data_metier!$C:$C,MATCH(K$1,Data_metier!$B:$B,0)),{"Non Concerné";"Niveau 1";"Niveau 2";"Niveau 3";"Niveau 4"},0)-1),
1/6,0)+IF((MATCH(INDEX(Data_metier!$D:$D,MATCH($A7,Data_metier!$B:$B,0)),{"Non Concerné";"Niveau 1";"Niveau 2";"Niveau 3";"Niveau 4"},0)-1)&gt;(MATCH(INDEX(Data_metier!$D:$D,MATCH(K$1,Data_metier!$B:$B,0)),{"Non Concerné";"Niveau 1";"Niveau 2";"Niveau 3";"Niveau 4"},0)-1),
1/6,0)+IF((MATCH(INDEX(Data_metier!$E:$E,MATCH($A7,Data_metier!$B:$B,0)),{"Non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7">
        <f>IF(DE_respon_transv!L7=-1,-1,
DE_respon_transv!L7+IF((MATCH(INDEX(Data_metier!$C:$C,MATCH($A7,Data_metier!$B:$B,0)),{"Non Concerné";"Niveau 1";"Niveau 2";"Niveau 3";"Niveau 4"},0)-1)&gt;(MATCH(INDEX(Data_metier!$C:$C,MATCH(L$1,Data_metier!$B:$B,0)),{"Non Concerné";"Niveau 1";"Niveau 2";"Niveau 3";"Niveau 4"},0)-1),
1/6,0)+IF((MATCH(INDEX(Data_metier!$D:$D,MATCH($A7,Data_metier!$B:$B,0)),{"Non Concerné";"Niveau 1";"Niveau 2";"Niveau 3";"Niveau 4"},0)-1)&gt;(MATCH(INDEX(Data_metier!$D:$D,MATCH(L$1,Data_metier!$B:$B,0)),{"Non Concerné";"Niveau 1";"Niveau 2";"Niveau 3";"Niveau 4"},0)-1),
1/6,0)+IF((MATCH(INDEX(Data_metier!$E:$E,MATCH($A7,Data_metier!$B:$B,0)),{"Non Concerné";"Niveau 1";"Niveau 2";"Niveau 3";"Niveau 4"},0)-1)&gt;(MATCH(INDEX(Data_metier!$E:$E,MATCH(L$1,Data_metier!$B:$B,0)),{"Non Concerné";"Niveau 1";"Niveau 2";"Niveau 3";"Niveau 4"},0)-1),
1/6,0))</f>
        <v>2.9999999999999996</v>
      </c>
      <c r="M7">
        <f>IF(DE_respon_transv!M7=-1,-1,
DE_respon_transv!M7+IF((MATCH(INDEX(Data_metier!$C:$C,MATCH($A7,Data_metier!$B:$B,0)),{"Non Concerné";"Niveau 1";"Niveau 2";"Niveau 3";"Niveau 4"},0)-1)&gt;(MATCH(INDEX(Data_metier!$C:$C,MATCH(M$1,Data_metier!$B:$B,0)),{"Non Concerné";"Niveau 1";"Niveau 2";"Niveau 3";"Niveau 4"},0)-1),
1/6,0)+IF((MATCH(INDEX(Data_metier!$D:$D,MATCH($A7,Data_metier!$B:$B,0)),{"Non Concerné";"Niveau 1";"Niveau 2";"Niveau 3";"Niveau 4"},0)-1)&gt;(MATCH(INDEX(Data_metier!$D:$D,MATCH(M$1,Data_metier!$B:$B,0)),{"Non Concerné";"Niveau 1";"Niveau 2";"Niveau 3";"Niveau 4"},0)-1),
1/6,0)+IF((MATCH(INDEX(Data_metier!$E:$E,MATCH($A7,Data_metier!$B:$B,0)),{"Non Concerné";"Niveau 1";"Niveau 2";"Niveau 3";"Niveau 4"},0)-1)&gt;(MATCH(INDEX(Data_metier!$E:$E,MATCH(M$1,Data_metier!$B:$B,0)),{"Non Concerné";"Niveau 1";"Niveau 2";"Niveau 3";"Niveau 4"},0)-1),
1/6,0))</f>
        <v>2.9999999999999996</v>
      </c>
      <c r="N7">
        <f>IF(DE_respon_transv!N7=-1,-1,
DE_respon_transv!N7+IF((MATCH(INDEX(Data_metier!$C:$C,MATCH($A7,Data_metier!$B:$B,0)),{"Non Concerné";"Niveau 1";"Niveau 2";"Niveau 3";"Niveau 4"},0)-1)&gt;(MATCH(INDEX(Data_metier!$C:$C,MATCH(N$1,Data_metier!$B:$B,0)),{"Non Concerné";"Niveau 1";"Niveau 2";"Niveau 3";"Niveau 4"},0)-1),
1/6,0)+IF((MATCH(INDEX(Data_metier!$D:$D,MATCH($A7,Data_metier!$B:$B,0)),{"Non Concerné";"Niveau 1";"Niveau 2";"Niveau 3";"Niveau 4"},0)-1)&gt;(MATCH(INDEX(Data_metier!$D:$D,MATCH(N$1,Data_metier!$B:$B,0)),{"Non Concerné";"Niveau 1";"Niveau 2";"Niveau 3";"Niveau 4"},0)-1),
1/6,0)+IF((MATCH(INDEX(Data_metier!$E:$E,MATCH($A7,Data_metier!$B:$B,0)),{"Non Concerné";"Niveau 1";"Niveau 2";"Niveau 3";"Niveau 4"},0)-1)&gt;(MATCH(INDEX(Data_metier!$E:$E,MATCH(N$1,Data_metier!$B:$B,0)),{"Non Concerné";"Niveau 1";"Niveau 2";"Niveau 3";"Niveau 4"},0)-1),
1/6,0))</f>
        <v>1.1666666666666667</v>
      </c>
      <c r="O7">
        <f>IF(DE_respon_transv!O7=-1,-1,
DE_respon_transv!O7+IF((MATCH(INDEX(Data_metier!$C:$C,MATCH($A7,Data_metier!$B:$B,0)),{"Non Concerné";"Niveau 1";"Niveau 2";"Niveau 3";"Niveau 4"},0)-1)&gt;(MATCH(INDEX(Data_metier!$C:$C,MATCH(O$1,Data_metier!$B:$B,0)),{"Non Concerné";"Niveau 1";"Niveau 2";"Niveau 3";"Niveau 4"},0)-1),
1/6,0)+IF((MATCH(INDEX(Data_metier!$D:$D,MATCH($A7,Data_metier!$B:$B,0)),{"Non Concerné";"Niveau 1";"Niveau 2";"Niveau 3";"Niveau 4"},0)-1)&gt;(MATCH(INDEX(Data_metier!$D:$D,MATCH(O$1,Data_metier!$B:$B,0)),{"Non Concerné";"Niveau 1";"Niveau 2";"Niveau 3";"Niveau 4"},0)-1),
1/6,0)+IF((MATCH(INDEX(Data_metier!$E:$E,MATCH($A7,Data_metier!$B:$B,0)),{"Non Concerné";"Niveau 1";"Niveau 2";"Niveau 3";"Niveau 4"},0)-1)&gt;(MATCH(INDEX(Data_metier!$E:$E,MATCH(O$1,Data_metier!$B:$B,0)),{"Non Concerné";"Niveau 1";"Niveau 2";"Niveau 3";"Niveau 4"},0)-1),
1/6,0))</f>
        <v>2.9999999999999996</v>
      </c>
      <c r="P7">
        <f>IF(DE_respon_transv!P7=-1,-1,
DE_respon_transv!P7+IF((MATCH(INDEX(Data_metier!$C:$C,MATCH($A7,Data_metier!$B:$B,0)),{"Non Concerné";"Niveau 1";"Niveau 2";"Niveau 3";"Niveau 4"},0)-1)&gt;(MATCH(INDEX(Data_metier!$C:$C,MATCH(P$1,Data_metier!$B:$B,0)),{"Non Concerné";"Niveau 1";"Niveau 2";"Niveau 3";"Niveau 4"},0)-1),
1/6,0)+IF((MATCH(INDEX(Data_metier!$D:$D,MATCH($A7,Data_metier!$B:$B,0)),{"Non Concerné";"Niveau 1";"Niveau 2";"Niveau 3";"Niveau 4"},0)-1)&gt;(MATCH(INDEX(Data_metier!$D:$D,MATCH(P$1,Data_metier!$B:$B,0)),{"Non Concerné";"Niveau 1";"Niveau 2";"Niveau 3";"Niveau 4"},0)-1),
1/6,0)+IF((MATCH(INDEX(Data_metier!$E:$E,MATCH($A7,Data_metier!$B:$B,0)),{"Non Concerné";"Niveau 1";"Niveau 2";"Niveau 3";"Niveau 4"},0)-1)&gt;(MATCH(INDEX(Data_metier!$E:$E,MATCH(P$1,Data_metier!$B:$B,0)),{"Non Concerné";"Niveau 1";"Niveau 2";"Niveau 3";"Niveau 4"},0)-1),
1/6,0))</f>
        <v>2.9999999999999996</v>
      </c>
      <c r="Q7">
        <f>IF(DE_respon_transv!Q7=-1,-1,
DE_respon_transv!Q7+IF((MATCH(INDEX(Data_metier!$C:$C,MATCH($A7,Data_metier!$B:$B,0)),{"Non Concerné";"Niveau 1";"Niveau 2";"Niveau 3";"Niveau 4"},0)-1)&gt;(MATCH(INDEX(Data_metier!$C:$C,MATCH(Q$1,Data_metier!$B:$B,0)),{"Non Concerné";"Niveau 1";"Niveau 2";"Niveau 3";"Niveau 4"},0)-1),
1/6,0)+IF((MATCH(INDEX(Data_metier!$D:$D,MATCH($A7,Data_metier!$B:$B,0)),{"Non Concerné";"Niveau 1";"Niveau 2";"Niveau 3";"Niveau 4"},0)-1)&gt;(MATCH(INDEX(Data_metier!$D:$D,MATCH(Q$1,Data_metier!$B:$B,0)),{"Non Concerné";"Niveau 1";"Niveau 2";"Niveau 3";"Niveau 4"},0)-1),
1/6,0)+IF((MATCH(INDEX(Data_metier!$E:$E,MATCH($A7,Data_metier!$B:$B,0)),{"Non Concerné";"Niveau 1";"Niveau 2";"Niveau 3";"Niveau 4"},0)-1)&gt;(MATCH(INDEX(Data_metier!$E:$E,MATCH(Q$1,Data_metier!$B:$B,0)),{"Non Concerné";"Niveau 1";"Niveau 2";"Niveau 3";"Niveau 4"},0)-1),
1/6,0))</f>
        <v>1</v>
      </c>
      <c r="R7">
        <f>IF(DE_respon_transv!R7=-1,-1,
DE_respon_transv!R7+IF((MATCH(INDEX(Data_metier!$C:$C,MATCH($A7,Data_metier!$B:$B,0)),{"Non Concerné";"Niveau 1";"Niveau 2";"Niveau 3";"Niveau 4"},0)-1)&gt;(MATCH(INDEX(Data_metier!$C:$C,MATCH(R$1,Data_metier!$B:$B,0)),{"Non Concerné";"Niveau 1";"Niveau 2";"Niveau 3";"Niveau 4"},0)-1),
1/6,0)+IF((MATCH(INDEX(Data_metier!$D:$D,MATCH($A7,Data_metier!$B:$B,0)),{"Non Concerné";"Niveau 1";"Niveau 2";"Niveau 3";"Niveau 4"},0)-1)&gt;(MATCH(INDEX(Data_metier!$D:$D,MATCH(R$1,Data_metier!$B:$B,0)),{"Non Concerné";"Niveau 1";"Niveau 2";"Niveau 3";"Niveau 4"},0)-1),
1/6,0)+IF((MATCH(INDEX(Data_metier!$E:$E,MATCH($A7,Data_metier!$B:$B,0)),{"Non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7">
        <f>IF(DE_respon_transv!S7=-1,-1,
DE_respon_transv!S7+IF((MATCH(INDEX(Data_metier!$C:$C,MATCH($A7,Data_metier!$B:$B,0)),{"Non Concerné";"Niveau 1";"Niveau 2";"Niveau 3";"Niveau 4"},0)-1)&gt;(MATCH(INDEX(Data_metier!$C:$C,MATCH(S$1,Data_metier!$B:$B,0)),{"Non Concerné";"Niveau 1";"Niveau 2";"Niveau 3";"Niveau 4"},0)-1),
1/6,0)+IF((MATCH(INDEX(Data_metier!$D:$D,MATCH($A7,Data_metier!$B:$B,0)),{"Non Concerné";"Niveau 1";"Niveau 2";"Niveau 3";"Niveau 4"},0)-1)&gt;(MATCH(INDEX(Data_metier!$D:$D,MATCH(S$1,Data_metier!$B:$B,0)),{"Non Concerné";"Niveau 1";"Niveau 2";"Niveau 3";"Niveau 4"},0)-1),
1/6,0)+IF((MATCH(INDEX(Data_metier!$E:$E,MATCH($A7,Data_metier!$B:$B,0)),{"Non Concerné";"Niveau 1";"Niveau 2";"Niveau 3";"Niveau 4"},0)-1)&gt;(MATCH(INDEX(Data_metier!$E:$E,MATCH(S$1,Data_metier!$B:$B,0)),{"Non Concerné";"Niveau 1";"Niveau 2";"Niveau 3";"Niveau 4"},0)-1),
1/6,0))</f>
        <v>2.9999999999999996</v>
      </c>
      <c r="T7">
        <f>IF(DE_respon_transv!T7=-1,-1,
DE_respon_transv!T7+IF((MATCH(INDEX(Data_metier!$C:$C,MATCH($A7,Data_metier!$B:$B,0)),{"Non Concerné";"Niveau 1";"Niveau 2";"Niveau 3";"Niveau 4"},0)-1)&gt;(MATCH(INDEX(Data_metier!$C:$C,MATCH(T$1,Data_metier!$B:$B,0)),{"Non Concerné";"Niveau 1";"Niveau 2";"Niveau 3";"Niveau 4"},0)-1),
1/6,0)+IF((MATCH(INDEX(Data_metier!$D:$D,MATCH($A7,Data_metier!$B:$B,0)),{"Non Concerné";"Niveau 1";"Niveau 2";"Niveau 3";"Niveau 4"},0)-1)&gt;(MATCH(INDEX(Data_metier!$D:$D,MATCH(T$1,Data_metier!$B:$B,0)),{"Non Concerné";"Niveau 1";"Niveau 2";"Niveau 3";"Niveau 4"},0)-1),
1/6,0)+IF((MATCH(INDEX(Data_metier!$E:$E,MATCH($A7,Data_metier!$B:$B,0)),{"Non Concerné";"Niveau 1";"Niveau 2";"Niveau 3";"Niveau 4"},0)-1)&gt;(MATCH(INDEX(Data_metier!$E:$E,MATCH(T$1,Data_metier!$B:$B,0)),{"Non Concerné";"Niveau 1";"Niveau 2";"Niveau 3";"Niveau 4"},0)-1),
1/6,0))</f>
        <v>2.9999999999999996</v>
      </c>
      <c r="U7">
        <f>IF(DE_respon_transv!U7=-1,-1,
DE_respon_transv!U7+IF((MATCH(INDEX(Data_metier!$C:$C,MATCH($A7,Data_metier!$B:$B,0)),{"Non Concerné";"Niveau 1";"Niveau 2";"Niveau 3";"Niveau 4"},0)-1)&gt;(MATCH(INDEX(Data_metier!$C:$C,MATCH(U$1,Data_metier!$B:$B,0)),{"Non Concerné";"Niveau 1";"Niveau 2";"Niveau 3";"Niveau 4"},0)-1),
1/6,0)+IF((MATCH(INDEX(Data_metier!$D:$D,MATCH($A7,Data_metier!$B:$B,0)),{"Non Concerné";"Niveau 1";"Niveau 2";"Niveau 3";"Niveau 4"},0)-1)&gt;(MATCH(INDEX(Data_metier!$D:$D,MATCH(U$1,Data_metier!$B:$B,0)),{"Non Concerné";"Niveau 1";"Niveau 2";"Niveau 3";"Niveau 4"},0)-1),
1/6,0)+IF((MATCH(INDEX(Data_metier!$E:$E,MATCH($A7,Data_metier!$B:$B,0)),{"Non Concerné";"Niveau 1";"Niveau 2";"Niveau 3";"Niveau 4"},0)-1)&gt;(MATCH(INDEX(Data_metier!$E:$E,MATCH(U$1,Data_metier!$B:$B,0)),{"Non Concerné";"Niveau 1";"Niveau 2";"Niveau 3";"Niveau 4"},0)-1),
1/6,0))</f>
        <v>2.9999999999999996</v>
      </c>
      <c r="V7">
        <f>IF(DE_respon_transv!V7=-1,-1,
DE_respon_transv!V7+IF((MATCH(INDEX(Data_metier!$C:$C,MATCH($A7,Data_metier!$B:$B,0)),{"Non Concerné";"Niveau 1";"Niveau 2";"Niveau 3";"Niveau 4"},0)-1)&gt;(MATCH(INDEX(Data_metier!$C:$C,MATCH(V$1,Data_metier!$B:$B,0)),{"Non Concerné";"Niveau 1";"Niveau 2";"Niveau 3";"Niveau 4"},0)-1),
1/6,0)+IF((MATCH(INDEX(Data_metier!$D:$D,MATCH($A7,Data_metier!$B:$B,0)),{"Non Concerné";"Niveau 1";"Niveau 2";"Niveau 3";"Niveau 4"},0)-1)&gt;(MATCH(INDEX(Data_metier!$D:$D,MATCH(V$1,Data_metier!$B:$B,0)),{"Non Concerné";"Niveau 1";"Niveau 2";"Niveau 3";"Niveau 4"},0)-1),
1/6,0)+IF((MATCH(INDEX(Data_metier!$E:$E,MATCH($A7,Data_metier!$B:$B,0)),{"Non Concerné";"Niveau 1";"Niveau 2";"Niveau 3";"Niveau 4"},0)-1)&gt;(MATCH(INDEX(Data_metier!$E:$E,MATCH(V$1,Data_metier!$B:$B,0)),{"Non Concerné";"Niveau 1";"Niveau 2";"Niveau 3";"Niveau 4"},0)-1),
1/6,0))</f>
        <v>2.9999999999999996</v>
      </c>
      <c r="W7">
        <f>IF(DE_respon_transv!W7=-1,-1,
DE_respon_transv!W7+IF((MATCH(INDEX(Data_metier!$C:$C,MATCH($A7,Data_metier!$B:$B,0)),{"Non Concerné";"Niveau 1";"Niveau 2";"Niveau 3";"Niveau 4"},0)-1)&gt;(MATCH(INDEX(Data_metier!$C:$C,MATCH(W$1,Data_metier!$B:$B,0)),{"Non Concerné";"Niveau 1";"Niveau 2";"Niveau 3";"Niveau 4"},0)-1),
1/6,0)+IF((MATCH(INDEX(Data_metier!$D:$D,MATCH($A7,Data_metier!$B:$B,0)),{"Non Concerné";"Niveau 1";"Niveau 2";"Niveau 3";"Niveau 4"},0)-1)&gt;(MATCH(INDEX(Data_metier!$D:$D,MATCH(W$1,Data_metier!$B:$B,0)),{"Non Concerné";"Niveau 1";"Niveau 2";"Niveau 3";"Niveau 4"},0)-1),
1/6,0)+IF((MATCH(INDEX(Data_metier!$E:$E,MATCH($A7,Data_metier!$B:$B,0)),{"Non Concerné";"Niveau 1";"Niveau 2";"Niveau 3";"Niveau 4"},0)-1)&gt;(MATCH(INDEX(Data_metier!$E:$E,MATCH(W$1,Data_metier!$B:$B,0)),{"Non Concerné";"Niveau 1";"Niveau 2";"Niveau 3";"Niveau 4"},0)-1),
1/6,0))</f>
        <v>2.4999999999999996</v>
      </c>
      <c r="X7">
        <f>IF(DE_respon_transv!X7=-1,-1,
DE_respon_transv!X7+IF((MATCH(INDEX(Data_metier!$C:$C,MATCH($A7,Data_metier!$B:$B,0)),{"Non Concerné";"Niveau 1";"Niveau 2";"Niveau 3";"Niveau 4"},0)-1)&gt;(MATCH(INDEX(Data_metier!$C:$C,MATCH(X$1,Data_metier!$B:$B,0)),{"Non Concerné";"Niveau 1";"Niveau 2";"Niveau 3";"Niveau 4"},0)-1),
1/6,0)+IF((MATCH(INDEX(Data_metier!$D:$D,MATCH($A7,Data_metier!$B:$B,0)),{"Non Concerné";"Niveau 1";"Niveau 2";"Niveau 3";"Niveau 4"},0)-1)&gt;(MATCH(INDEX(Data_metier!$D:$D,MATCH(X$1,Data_metier!$B:$B,0)),{"Non Concerné";"Niveau 1";"Niveau 2";"Niveau 3";"Niveau 4"},0)-1),
1/6,0)+IF((MATCH(INDEX(Data_metier!$E:$E,MATCH($A7,Data_metier!$B:$B,0)),{"Non Concerné";"Niveau 1";"Niveau 2";"Niveau 3";"Niveau 4"},0)-1)&gt;(MATCH(INDEX(Data_metier!$E:$E,MATCH(X$1,Data_metier!$B:$B,0)),{"Non Concerné";"Niveau 1";"Niveau 2";"Niveau 3";"Niveau 4"},0)-1),
1/6,0))</f>
        <v>0</v>
      </c>
      <c r="Y7">
        <f>IF(DE_respon_transv!Y7=-1,-1,
DE_respon_transv!Y7+IF((MATCH(INDEX(Data_metier!$C:$C,MATCH($A7,Data_metier!$B:$B,0)),{"Non Concerné";"Niveau 1";"Niveau 2";"Niveau 3";"Niveau 4"},0)-1)&gt;(MATCH(INDEX(Data_metier!$C:$C,MATCH(Y$1,Data_metier!$B:$B,0)),{"Non Concerné";"Niveau 1";"Niveau 2";"Niveau 3";"Niveau 4"},0)-1),
1/6,0)+IF((MATCH(INDEX(Data_metier!$D:$D,MATCH($A7,Data_metier!$B:$B,0)),{"Non Concerné";"Niveau 1";"Niveau 2";"Niveau 3";"Niveau 4"},0)-1)&gt;(MATCH(INDEX(Data_metier!$D:$D,MATCH(Y$1,Data_metier!$B:$B,0)),{"Non Concerné";"Niveau 1";"Niveau 2";"Niveau 3";"Niveau 4"},0)-1),
1/6,0)+IF((MATCH(INDEX(Data_metier!$E:$E,MATCH($A7,Data_metier!$B:$B,0)),{"Non Concerné";"Niveau 1";"Niveau 2";"Niveau 3";"Niveau 4"},0)-1)&gt;(MATCH(INDEX(Data_metier!$E:$E,MATCH(Y$1,Data_metier!$B:$B,0)),{"Non Concerné";"Niveau 1";"Niveau 2";"Niveau 3";"Niveau 4"},0)-1),
1/6,0))</f>
        <v>2.9999999999999996</v>
      </c>
      <c r="Z7">
        <f>IF(DE_respon_transv!Z7=-1,-1,
DE_respon_transv!Z7+IF((MATCH(INDEX(Data_metier!$C:$C,MATCH($A7,Data_metier!$B:$B,0)),{"Non Concerné";"Niveau 1";"Niveau 2";"Niveau 3";"Niveau 4"},0)-1)&gt;(MATCH(INDEX(Data_metier!$C:$C,MATCH(Z$1,Data_metier!$B:$B,0)),{"Non Concerné";"Niveau 1";"Niveau 2";"Niveau 3";"Niveau 4"},0)-1),
1/6,0)+IF((MATCH(INDEX(Data_metier!$D:$D,MATCH($A7,Data_metier!$B:$B,0)),{"Non Concerné";"Niveau 1";"Niveau 2";"Niveau 3";"Niveau 4"},0)-1)&gt;(MATCH(INDEX(Data_metier!$D:$D,MATCH(Z$1,Data_metier!$B:$B,0)),{"Non Concerné";"Niveau 1";"Niveau 2";"Niveau 3";"Niveau 4"},0)-1),
1/6,0)+IF((MATCH(INDEX(Data_metier!$E:$E,MATCH($A7,Data_metier!$B:$B,0)),{"Non Concerné";"Niveau 1";"Niveau 2";"Niveau 3";"Niveau 4"},0)-1)&gt;(MATCH(INDEX(Data_metier!$E:$E,MATCH(Z$1,Data_metier!$B:$B,0)),{"Non Concerné";"Niveau 1";"Niveau 2";"Niveau 3";"Niveau 4"},0)-1),
1/6,0))</f>
        <v>2.9999999999999996</v>
      </c>
      <c r="AA7">
        <f>IF(DE_respon_transv!AA7=-1,-1,
DE_respon_transv!AA7+IF((MATCH(INDEX(Data_metier!$C:$C,MATCH($A7,Data_metier!$B:$B,0)),{"Non Concerné";"Niveau 1";"Niveau 2";"Niveau 3";"Niveau 4"},0)-1)&gt;(MATCH(INDEX(Data_metier!$C:$C,MATCH(AA$1,Data_metier!$B:$B,0)),{"Non Concerné";"Niveau 1";"Niveau 2";"Niveau 3";"Niveau 4"},0)-1),
1/6,0)+IF((MATCH(INDEX(Data_metier!$D:$D,MATCH($A7,Data_metier!$B:$B,0)),{"Non Concerné";"Niveau 1";"Niveau 2";"Niveau 3";"Niveau 4"},0)-1)&gt;(MATCH(INDEX(Data_metier!$D:$D,MATCH(AA$1,Data_metier!$B:$B,0)),{"Non Concerné";"Niveau 1";"Niveau 2";"Niveau 3";"Niveau 4"},0)-1),
1/6,0)+IF((MATCH(INDEX(Data_metier!$E:$E,MATCH($A7,Data_metier!$B:$B,0)),{"Non Concerné";"Niveau 1";"Niveau 2";"Niveau 3";"Niveau 4"},0)-1)&gt;(MATCH(INDEX(Data_metier!$E:$E,MATCH(AA$1,Data_metier!$B:$B,0)),{"Non Concerné";"Niveau 1";"Niveau 2";"Niveau 3";"Niveau 4"},0)-1),
1/6,0))</f>
        <v>2.9999999999999996</v>
      </c>
      <c r="AB7">
        <f>IF(DE_respon_transv!AB7=-1,-1,
DE_respon_transv!AB7+IF((MATCH(INDEX(Data_metier!$C:$C,MATCH($A7,Data_metier!$B:$B,0)),{"Non Concerné";"Niveau 1";"Niveau 2";"Niveau 3";"Niveau 4"},0)-1)&gt;(MATCH(INDEX(Data_metier!$C:$C,MATCH(AB$1,Data_metier!$B:$B,0)),{"Non Concerné";"Niveau 1";"Niveau 2";"Niveau 3";"Niveau 4"},0)-1),
1/6,0)+IF((MATCH(INDEX(Data_metier!$D:$D,MATCH($A7,Data_metier!$B:$B,0)),{"Non Concerné";"Niveau 1";"Niveau 2";"Niveau 3";"Niveau 4"},0)-1)&gt;(MATCH(INDEX(Data_metier!$D:$D,MATCH(AB$1,Data_metier!$B:$B,0)),{"Non Concerné";"Niveau 1";"Niveau 2";"Niveau 3";"Niveau 4"},0)-1),
1/6,0)+IF((MATCH(INDEX(Data_metier!$E:$E,MATCH($A7,Data_metier!$B:$B,0)),{"Non Concerné";"Niveau 1";"Niveau 2";"Niveau 3";"Niveau 4"},0)-1)&gt;(MATCH(INDEX(Data_metier!$E:$E,MATCH(AB$1,Data_metier!$B:$B,0)),{"Non Concerné";"Niveau 1";"Niveau 2";"Niveau 3";"Niveau 4"},0)-1),
1/6,0))</f>
        <v>2.9999999999999996</v>
      </c>
      <c r="AC7">
        <f>IF(DE_respon_transv!AC7=-1,-1,
DE_respon_transv!AC7+IF((MATCH(INDEX(Data_metier!$C:$C,MATCH($A7,Data_metier!$B:$B,0)),{"Non Concerné";"Niveau 1";"Niveau 2";"Niveau 3";"Niveau 4"},0)-1)&gt;(MATCH(INDEX(Data_metier!$C:$C,MATCH(AC$1,Data_metier!$B:$B,0)),{"Non Concerné";"Niveau 1";"Niveau 2";"Niveau 3";"Niveau 4"},0)-1),
1/6,0)+IF((MATCH(INDEX(Data_metier!$D:$D,MATCH($A7,Data_metier!$B:$B,0)),{"Non Concerné";"Niveau 1";"Niveau 2";"Niveau 3";"Niveau 4"},0)-1)&gt;(MATCH(INDEX(Data_metier!$D:$D,MATCH(AC$1,Data_metier!$B:$B,0)),{"Non Concerné";"Niveau 1";"Niveau 2";"Niveau 3";"Niveau 4"},0)-1),
1/6,0)+IF((MATCH(INDEX(Data_metier!$E:$E,MATCH($A7,Data_metier!$B:$B,0)),{"Non Concerné";"Niveau 1";"Niveau 2";"Niveau 3";"Niveau 4"},0)-1)&gt;(MATCH(INDEX(Data_metier!$E:$E,MATCH(AC$1,Data_metier!$B:$B,0)),{"Non Concerné";"Niveau 1";"Niveau 2";"Niveau 3";"Niveau 4"},0)-1),
1/6,0))</f>
        <v>2.9999999999999996</v>
      </c>
      <c r="AD7">
        <f>IF(DE_respon_transv!AD7=-1,-1,
DE_respon_transv!AD7+IF((MATCH(INDEX(Data_metier!$C:$C,MATCH($A7,Data_metier!$B:$B,0)),{"Non Concerné";"Niveau 1";"Niveau 2";"Niveau 3";"Niveau 4"},0)-1)&gt;(MATCH(INDEX(Data_metier!$C:$C,MATCH(AD$1,Data_metier!$B:$B,0)),{"Non Concerné";"Niveau 1";"Niveau 2";"Niveau 3";"Niveau 4"},0)-1),
1/6,0)+IF((MATCH(INDEX(Data_metier!$D:$D,MATCH($A7,Data_metier!$B:$B,0)),{"Non Concerné";"Niveau 1";"Niveau 2";"Niveau 3";"Niveau 4"},0)-1)&gt;(MATCH(INDEX(Data_metier!$D:$D,MATCH(AD$1,Data_metier!$B:$B,0)),{"Non Concerné";"Niveau 1";"Niveau 2";"Niveau 3";"Niveau 4"},0)-1),
1/6,0)+IF((MATCH(INDEX(Data_metier!$E:$E,MATCH($A7,Data_metier!$B:$B,0)),{"Non Concerné";"Niveau 1";"Niveau 2";"Niveau 3";"Niveau 4"},0)-1)&gt;(MATCH(INDEX(Data_metier!$E:$E,MATCH(AD$1,Data_metier!$B:$B,0)),{"Non Concerné";"Niveau 1";"Niveau 2";"Niveau 3";"Niveau 4"},0)-1),
1/6,0))</f>
        <v>2.9999999999999996</v>
      </c>
    </row>
    <row r="8" spans="1:30">
      <c r="A8" t="str">
        <v>Spécialiste planning / ordonnancement</v>
      </c>
      <c r="B8">
        <f>IF(DE_respon_transv!B8=-1,-1,
DE_respon_transv!B8+IF((MATCH(INDEX(Data_metier!$C:$C,MATCH($A8,Data_metier!$B:$B,0)),{"Non Concerné";"Niveau 1";"Niveau 2";"Niveau 3";"Niveau 4"},0)-1)&gt;(MATCH(INDEX(Data_metier!$C:$C,MATCH(B$1,Data_metier!$B:$B,0)),{"Non Concerné";"Niveau 1";"Niveau 2";"Niveau 3";"Niveau 4"},0)-1),
1/6,0)+IF((MATCH(INDEX(Data_metier!$D:$D,MATCH($A8,Data_metier!$B:$B,0)),{"Non Concerné";"Niveau 1";"Niveau 2";"Niveau 3";"Niveau 4"},0)-1)&gt;(MATCH(INDEX(Data_metier!$D:$D,MATCH(B$1,Data_metier!$B:$B,0)),{"Non Concerné";"Niveau 1";"Niveau 2";"Niveau 3";"Niveau 4"},0)-1),
1/6,0)+IF((MATCH(INDEX(Data_metier!$E:$E,MATCH($A8,Data_metier!$B:$B,0)),{"Non Concerné";"Niveau 1";"Niveau 2";"Niveau 3";"Niveau 4"},0)-1)&gt;(MATCH(INDEX(Data_metier!$E:$E,MATCH(B$1,Data_metier!$B:$B,0)),{"Non Concerné";"Niveau 1";"Niveau 2";"Niveau 3";"Niveau 4"},0)-1),
1/6,0))</f>
        <v>2.9999999999999996</v>
      </c>
      <c r="C8">
        <f>IF(DE_respon_transv!C8=-1,-1,
DE_respon_transv!C8+IF((MATCH(INDEX(Data_metier!$C:$C,MATCH($A8,Data_metier!$B:$B,0)),{"Non Concerné";"Niveau 1";"Niveau 2";"Niveau 3";"Niveau 4"},0)-1)&gt;(MATCH(INDEX(Data_metier!$C:$C,MATCH(C$1,Data_metier!$B:$B,0)),{"Non Concerné";"Niveau 1";"Niveau 2";"Niveau 3";"Niveau 4"},0)-1),
1/6,0)+IF((MATCH(INDEX(Data_metier!$D:$D,MATCH($A8,Data_metier!$B:$B,0)),{"Non Concerné";"Niveau 1";"Niveau 2";"Niveau 3";"Niveau 4"},0)-1)&gt;(MATCH(INDEX(Data_metier!$D:$D,MATCH(C$1,Data_metier!$B:$B,0)),{"Non Concerné";"Niveau 1";"Niveau 2";"Niveau 3";"Niveau 4"},0)-1),
1/6,0)+IF((MATCH(INDEX(Data_metier!$E:$E,MATCH($A8,Data_metier!$B:$B,0)),{"Non Concerné";"Niveau 1";"Niveau 2";"Niveau 3";"Niveau 4"},0)-1)&gt;(MATCH(INDEX(Data_metier!$E:$E,MATCH(C$1,Data_metier!$B:$B,0)),{"Non Concerné";"Niveau 1";"Niveau 2";"Niveau 3";"Niveau 4"},0)-1),
1/6,0))</f>
        <v>2.9999999999999996</v>
      </c>
      <c r="D8">
        <f>IF(DE_respon_transv!D8=-1,-1,
DE_respon_transv!D8+IF((MATCH(INDEX(Data_metier!$C:$C,MATCH($A8,Data_metier!$B:$B,0)),{"Non Concerné";"Niveau 1";"Niveau 2";"Niveau 3";"Niveau 4"},0)-1)&gt;(MATCH(INDEX(Data_metier!$C:$C,MATCH(D$1,Data_metier!$B:$B,0)),{"Non Concerné";"Niveau 1";"Niveau 2";"Niveau 3";"Niveau 4"},0)-1),
1/6,0)+IF((MATCH(INDEX(Data_metier!$D:$D,MATCH($A8,Data_metier!$B:$B,0)),{"Non Concerné";"Niveau 1";"Niveau 2";"Niveau 3";"Niveau 4"},0)-1)&gt;(MATCH(INDEX(Data_metier!$D:$D,MATCH(D$1,Data_metier!$B:$B,0)),{"Non Concerné";"Niveau 1";"Niveau 2";"Niveau 3";"Niveau 4"},0)-1),
1/6,0)+IF((MATCH(INDEX(Data_metier!$E:$E,MATCH($A8,Data_metier!$B:$B,0)),{"Non Concerné";"Niveau 1";"Niveau 2";"Niveau 3";"Niveau 4"},0)-1)&gt;(MATCH(INDEX(Data_metier!$E:$E,MATCH(D$1,Data_metier!$B:$B,0)),{"Non Concerné";"Niveau 1";"Niveau 2";"Niveau 3";"Niveau 4"},0)-1),
1/6,0))</f>
        <v>2.9999999999999996</v>
      </c>
      <c r="E8">
        <f>IF(DE_respon_transv!E8=-1,-1,
DE_respon_transv!E8+IF((MATCH(INDEX(Data_metier!$C:$C,MATCH($A8,Data_metier!$B:$B,0)),{"Non Concerné";"Niveau 1";"Niveau 2";"Niveau 3";"Niveau 4"},0)-1)&gt;(MATCH(INDEX(Data_metier!$C:$C,MATCH(E$1,Data_metier!$B:$B,0)),{"Non Concerné";"Niveau 1";"Niveau 2";"Niveau 3";"Niveau 4"},0)-1),
1/6,0)+IF((MATCH(INDEX(Data_metier!$D:$D,MATCH($A8,Data_metier!$B:$B,0)),{"Non Concerné";"Niveau 1";"Niveau 2";"Niveau 3";"Niveau 4"},0)-1)&gt;(MATCH(INDEX(Data_metier!$D:$D,MATCH(E$1,Data_metier!$B:$B,0)),{"Non Concerné";"Niveau 1";"Niveau 2";"Niveau 3";"Niveau 4"},0)-1),
1/6,0)+IF((MATCH(INDEX(Data_metier!$E:$E,MATCH($A8,Data_metier!$B:$B,0)),{"Non Concerné";"Niveau 1";"Niveau 2";"Niveau 3";"Niveau 4"},0)-1)&gt;(MATCH(INDEX(Data_metier!$E:$E,MATCH(E$1,Data_metier!$B:$B,0)),{"Non Concerné";"Niveau 1";"Niveau 2";"Niveau 3";"Niveau 4"},0)-1),
1/6,0))</f>
        <v>1</v>
      </c>
      <c r="F8">
        <f>IF(DE_respon_transv!F8=-1,-1,
DE_respon_transv!F8+IF((MATCH(INDEX(Data_metier!$C:$C,MATCH($A8,Data_metier!$B:$B,0)),{"Non Concerné";"Niveau 1";"Niveau 2";"Niveau 3";"Niveau 4"},0)-1)&gt;(MATCH(INDEX(Data_metier!$C:$C,MATCH(F$1,Data_metier!$B:$B,0)),{"Non Concerné";"Niveau 1";"Niveau 2";"Niveau 3";"Niveau 4"},0)-1),
1/6,0)+IF((MATCH(INDEX(Data_metier!$D:$D,MATCH($A8,Data_metier!$B:$B,0)),{"Non Concerné";"Niveau 1";"Niveau 2";"Niveau 3";"Niveau 4"},0)-1)&gt;(MATCH(INDEX(Data_metier!$D:$D,MATCH(F$1,Data_metier!$B:$B,0)),{"Non Concerné";"Niveau 1";"Niveau 2";"Niveau 3";"Niveau 4"},0)-1),
1/6,0)+IF((MATCH(INDEX(Data_metier!$E:$E,MATCH($A8,Data_metier!$B:$B,0)),{"Non Concerné";"Niveau 1";"Niveau 2";"Niveau 3";"Niveau 4"},0)-1)&gt;(MATCH(INDEX(Data_metier!$E:$E,MATCH(F$1,Data_metier!$B:$B,0)),{"Non Concerné";"Niveau 1";"Niveau 2";"Niveau 3";"Niveau 4"},0)-1),
1/6,0))</f>
        <v>0.66666666666666663</v>
      </c>
      <c r="G8">
        <f>IF(DE_respon_transv!G8=-1,-1,
DE_respon_transv!G8+IF((MATCH(INDEX(Data_metier!$C:$C,MATCH($A8,Data_metier!$B:$B,0)),{"Non Concerné";"Niveau 1";"Niveau 2";"Niveau 3";"Niveau 4"},0)-1)&gt;(MATCH(INDEX(Data_metier!$C:$C,MATCH(G$1,Data_metier!$B:$B,0)),{"Non Concerné";"Niveau 1";"Niveau 2";"Niveau 3";"Niveau 4"},0)-1),
1/6,0)+IF((MATCH(INDEX(Data_metier!$D:$D,MATCH($A8,Data_metier!$B:$B,0)),{"Non Concerné";"Niveau 1";"Niveau 2";"Niveau 3";"Niveau 4"},0)-1)&gt;(MATCH(INDEX(Data_metier!$D:$D,MATCH(G$1,Data_metier!$B:$B,0)),{"Non Concerné";"Niveau 1";"Niveau 2";"Niveau 3";"Niveau 4"},0)-1),
1/6,0)+IF((MATCH(INDEX(Data_metier!$E:$E,MATCH($A8,Data_metier!$B:$B,0)),{"Non Concerné";"Niveau 1";"Niveau 2";"Niveau 3";"Niveau 4"},0)-1)&gt;(MATCH(INDEX(Data_metier!$E:$E,MATCH(G$1,Data_metier!$B:$B,0)),{"Non Concerné";"Niveau 1";"Niveau 2";"Niveau 3";"Niveau 4"},0)-1),
1/6,0))</f>
        <v>0</v>
      </c>
      <c r="H8">
        <f>IF(DE_respon_transv!H8=-1,-1,
DE_respon_transv!H8+IF((MATCH(INDEX(Data_metier!$C:$C,MATCH($A8,Data_metier!$B:$B,0)),{"Non Concerné";"Niveau 1";"Niveau 2";"Niveau 3";"Niveau 4"},0)-1)&gt;(MATCH(INDEX(Data_metier!$C:$C,MATCH(H$1,Data_metier!$B:$B,0)),{"Non Concerné";"Niveau 1";"Niveau 2";"Niveau 3";"Niveau 4"},0)-1),
1/6,0)+IF((MATCH(INDEX(Data_metier!$D:$D,MATCH($A8,Data_metier!$B:$B,0)),{"Non Concerné";"Niveau 1";"Niveau 2";"Niveau 3";"Niveau 4"},0)-1)&gt;(MATCH(INDEX(Data_metier!$D:$D,MATCH(H$1,Data_metier!$B:$B,0)),{"Non Concerné";"Niveau 1";"Niveau 2";"Niveau 3";"Niveau 4"},0)-1),
1/6,0)+IF((MATCH(INDEX(Data_metier!$E:$E,MATCH($A8,Data_metier!$B:$B,0)),{"Non Concerné";"Niveau 1";"Niveau 2";"Niveau 3";"Niveau 4"},0)-1)&gt;(MATCH(INDEX(Data_metier!$E:$E,MATCH(H$1,Data_metier!$B:$B,0)),{"Non Concerné";"Niveau 1";"Niveau 2";"Niveau 3";"Niveau 4"},0)-1),
1/6,0))</f>
        <v>0</v>
      </c>
      <c r="I8">
        <f>IF(DE_respon_transv!I8=-1,-1,
DE_respon_transv!I8+IF((MATCH(INDEX(Data_metier!$C:$C,MATCH($A8,Data_metier!$B:$B,0)),{"Non Concerné";"Niveau 1";"Niveau 2";"Niveau 3";"Niveau 4"},0)-1)&gt;(MATCH(INDEX(Data_metier!$C:$C,MATCH(I$1,Data_metier!$B:$B,0)),{"Non Concerné";"Niveau 1";"Niveau 2";"Niveau 3";"Niveau 4"},0)-1),
1/6,0)+IF((MATCH(INDEX(Data_metier!$D:$D,MATCH($A8,Data_metier!$B:$B,0)),{"Non Concerné";"Niveau 1";"Niveau 2";"Niveau 3";"Niveau 4"},0)-1)&gt;(MATCH(INDEX(Data_metier!$D:$D,MATCH(I$1,Data_metier!$B:$B,0)),{"Non Concerné";"Niveau 1";"Niveau 2";"Niveau 3";"Niveau 4"},0)-1),
1/6,0)+IF((MATCH(INDEX(Data_metier!$E:$E,MATCH($A8,Data_metier!$B:$B,0)),{"Non Concerné";"Niveau 1";"Niveau 2";"Niveau 3";"Niveau 4"},0)-1)&gt;(MATCH(INDEX(Data_metier!$E:$E,MATCH(I$1,Data_metier!$B:$B,0)),{"Non Concerné";"Niveau 1";"Niveau 2";"Niveau 3";"Niveau 4"},0)-1),
1/6,0))</f>
        <v>2.9999999999999996</v>
      </c>
      <c r="J8">
        <f>IF(DE_respon_transv!J8=-1,-1,
DE_respon_transv!J8+IF((MATCH(INDEX(Data_metier!$C:$C,MATCH($A8,Data_metier!$B:$B,0)),{"Non Concerné";"Niveau 1";"Niveau 2";"Niveau 3";"Niveau 4"},0)-1)&gt;(MATCH(INDEX(Data_metier!$C:$C,MATCH(J$1,Data_metier!$B:$B,0)),{"Non Concerné";"Niveau 1";"Niveau 2";"Niveau 3";"Niveau 4"},0)-1),
1/6,0)+IF((MATCH(INDEX(Data_metier!$D:$D,MATCH($A8,Data_metier!$B:$B,0)),{"Non Concerné";"Niveau 1";"Niveau 2";"Niveau 3";"Niveau 4"},0)-1)&gt;(MATCH(INDEX(Data_metier!$D:$D,MATCH(J$1,Data_metier!$B:$B,0)),{"Non Concerné";"Niveau 1";"Niveau 2";"Niveau 3";"Niveau 4"},0)-1),
1/6,0)+IF((MATCH(INDEX(Data_metier!$E:$E,MATCH($A8,Data_metier!$B:$B,0)),{"Non Concerné";"Niveau 1";"Niveau 2";"Niveau 3";"Niveau 4"},0)-1)&gt;(MATCH(INDEX(Data_metier!$E:$E,MATCH(J$1,Data_metier!$B:$B,0)),{"Non Concerné";"Niveau 1";"Niveau 2";"Niveau 3";"Niveau 4"},0)-1),
1/6,0))</f>
        <v>1.8333333333333335</v>
      </c>
      <c r="K8">
        <f>IF(DE_respon_transv!K8=-1,-1,
DE_respon_transv!K8+IF((MATCH(INDEX(Data_metier!$C:$C,MATCH($A8,Data_metier!$B:$B,0)),{"Non Concerné";"Niveau 1";"Niveau 2";"Niveau 3";"Niveau 4"},0)-1)&gt;(MATCH(INDEX(Data_metier!$C:$C,MATCH(K$1,Data_metier!$B:$B,0)),{"Non Concerné";"Niveau 1";"Niveau 2";"Niveau 3";"Niveau 4"},0)-1),
1/6,0)+IF((MATCH(INDEX(Data_metier!$D:$D,MATCH($A8,Data_metier!$B:$B,0)),{"Non Concerné";"Niveau 1";"Niveau 2";"Niveau 3";"Niveau 4"},0)-1)&gt;(MATCH(INDEX(Data_metier!$D:$D,MATCH(K$1,Data_metier!$B:$B,0)),{"Non Concerné";"Niveau 1";"Niveau 2";"Niveau 3";"Niveau 4"},0)-1),
1/6,0)+IF((MATCH(INDEX(Data_metier!$E:$E,MATCH($A8,Data_metier!$B:$B,0)),{"Non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8">
        <f>IF(DE_respon_transv!L8=-1,-1,
DE_respon_transv!L8+IF((MATCH(INDEX(Data_metier!$C:$C,MATCH($A8,Data_metier!$B:$B,0)),{"Non Concerné";"Niveau 1";"Niveau 2";"Niveau 3";"Niveau 4"},0)-1)&gt;(MATCH(INDEX(Data_metier!$C:$C,MATCH(L$1,Data_metier!$B:$B,0)),{"Non Concerné";"Niveau 1";"Niveau 2";"Niveau 3";"Niveau 4"},0)-1),
1/6,0)+IF((MATCH(INDEX(Data_metier!$D:$D,MATCH($A8,Data_metier!$B:$B,0)),{"Non Concerné";"Niveau 1";"Niveau 2";"Niveau 3";"Niveau 4"},0)-1)&gt;(MATCH(INDEX(Data_metier!$D:$D,MATCH(L$1,Data_metier!$B:$B,0)),{"Non Concerné";"Niveau 1";"Niveau 2";"Niveau 3";"Niveau 4"},0)-1),
1/6,0)+IF((MATCH(INDEX(Data_metier!$E:$E,MATCH($A8,Data_metier!$B:$B,0)),{"Non Concerné";"Niveau 1";"Niveau 2";"Niveau 3";"Niveau 4"},0)-1)&gt;(MATCH(INDEX(Data_metier!$E:$E,MATCH(L$1,Data_metier!$B:$B,0)),{"Non Concerné";"Niveau 1";"Niveau 2";"Niveau 3";"Niveau 4"},0)-1),
1/6,0))</f>
        <v>2.9999999999999996</v>
      </c>
      <c r="M8">
        <f>IF(DE_respon_transv!M8=-1,-1,
DE_respon_transv!M8+IF((MATCH(INDEX(Data_metier!$C:$C,MATCH($A8,Data_metier!$B:$B,0)),{"Non Concerné";"Niveau 1";"Niveau 2";"Niveau 3";"Niveau 4"},0)-1)&gt;(MATCH(INDEX(Data_metier!$C:$C,MATCH(M$1,Data_metier!$B:$B,0)),{"Non Concerné";"Niveau 1";"Niveau 2";"Niveau 3";"Niveau 4"},0)-1),
1/6,0)+IF((MATCH(INDEX(Data_metier!$D:$D,MATCH($A8,Data_metier!$B:$B,0)),{"Non Concerné";"Niveau 1";"Niveau 2";"Niveau 3";"Niveau 4"},0)-1)&gt;(MATCH(INDEX(Data_metier!$D:$D,MATCH(M$1,Data_metier!$B:$B,0)),{"Non Concerné";"Niveau 1";"Niveau 2";"Niveau 3";"Niveau 4"},0)-1),
1/6,0)+IF((MATCH(INDEX(Data_metier!$E:$E,MATCH($A8,Data_metier!$B:$B,0)),{"Non Concerné";"Niveau 1";"Niveau 2";"Niveau 3";"Niveau 4"},0)-1)&gt;(MATCH(INDEX(Data_metier!$E:$E,MATCH(M$1,Data_metier!$B:$B,0)),{"Non Concerné";"Niveau 1";"Niveau 2";"Niveau 3";"Niveau 4"},0)-1),
1/6,0))</f>
        <v>2.9999999999999996</v>
      </c>
      <c r="N8">
        <f>IF(DE_respon_transv!N8=-1,-1,
DE_respon_transv!N8+IF((MATCH(INDEX(Data_metier!$C:$C,MATCH($A8,Data_metier!$B:$B,0)),{"Non Concerné";"Niveau 1";"Niveau 2";"Niveau 3";"Niveau 4"},0)-1)&gt;(MATCH(INDEX(Data_metier!$C:$C,MATCH(N$1,Data_metier!$B:$B,0)),{"Non Concerné";"Niveau 1";"Niveau 2";"Niveau 3";"Niveau 4"},0)-1),
1/6,0)+IF((MATCH(INDEX(Data_metier!$D:$D,MATCH($A8,Data_metier!$B:$B,0)),{"Non Concerné";"Niveau 1";"Niveau 2";"Niveau 3";"Niveau 4"},0)-1)&gt;(MATCH(INDEX(Data_metier!$D:$D,MATCH(N$1,Data_metier!$B:$B,0)),{"Non Concerné";"Niveau 1";"Niveau 2";"Niveau 3";"Niveau 4"},0)-1),
1/6,0)+IF((MATCH(INDEX(Data_metier!$E:$E,MATCH($A8,Data_metier!$B:$B,0)),{"Non Concerné";"Niveau 1";"Niveau 2";"Niveau 3";"Niveau 4"},0)-1)&gt;(MATCH(INDEX(Data_metier!$E:$E,MATCH(N$1,Data_metier!$B:$B,0)),{"Non Concerné";"Niveau 1";"Niveau 2";"Niveau 3";"Niveau 4"},0)-1),
1/6,0))</f>
        <v>1.1666666666666667</v>
      </c>
      <c r="O8">
        <f>IF(DE_respon_transv!O8=-1,-1,
DE_respon_transv!O8+IF((MATCH(INDEX(Data_metier!$C:$C,MATCH($A8,Data_metier!$B:$B,0)),{"Non Concerné";"Niveau 1";"Niveau 2";"Niveau 3";"Niveau 4"},0)-1)&gt;(MATCH(INDEX(Data_metier!$C:$C,MATCH(O$1,Data_metier!$B:$B,0)),{"Non Concerné";"Niveau 1";"Niveau 2";"Niveau 3";"Niveau 4"},0)-1),
1/6,0)+IF((MATCH(INDEX(Data_metier!$D:$D,MATCH($A8,Data_metier!$B:$B,0)),{"Non Concerné";"Niveau 1";"Niveau 2";"Niveau 3";"Niveau 4"},0)-1)&gt;(MATCH(INDEX(Data_metier!$D:$D,MATCH(O$1,Data_metier!$B:$B,0)),{"Non Concerné";"Niveau 1";"Niveau 2";"Niveau 3";"Niveau 4"},0)-1),
1/6,0)+IF((MATCH(INDEX(Data_metier!$E:$E,MATCH($A8,Data_metier!$B:$B,0)),{"Non Concerné";"Niveau 1";"Niveau 2";"Niveau 3";"Niveau 4"},0)-1)&gt;(MATCH(INDEX(Data_metier!$E:$E,MATCH(O$1,Data_metier!$B:$B,0)),{"Non Concerné";"Niveau 1";"Niveau 2";"Niveau 3";"Niveau 4"},0)-1),
1/6,0))</f>
        <v>2.9999999999999996</v>
      </c>
      <c r="P8">
        <f>IF(DE_respon_transv!P8=-1,-1,
DE_respon_transv!P8+IF((MATCH(INDEX(Data_metier!$C:$C,MATCH($A8,Data_metier!$B:$B,0)),{"Non Concerné";"Niveau 1";"Niveau 2";"Niveau 3";"Niveau 4"},0)-1)&gt;(MATCH(INDEX(Data_metier!$C:$C,MATCH(P$1,Data_metier!$B:$B,0)),{"Non Concerné";"Niveau 1";"Niveau 2";"Niveau 3";"Niveau 4"},0)-1),
1/6,0)+IF((MATCH(INDEX(Data_metier!$D:$D,MATCH($A8,Data_metier!$B:$B,0)),{"Non Concerné";"Niveau 1";"Niveau 2";"Niveau 3";"Niveau 4"},0)-1)&gt;(MATCH(INDEX(Data_metier!$D:$D,MATCH(P$1,Data_metier!$B:$B,0)),{"Non Concerné";"Niveau 1";"Niveau 2";"Niveau 3";"Niveau 4"},0)-1),
1/6,0)+IF((MATCH(INDEX(Data_metier!$E:$E,MATCH($A8,Data_metier!$B:$B,0)),{"Non Concerné";"Niveau 1";"Niveau 2";"Niveau 3";"Niveau 4"},0)-1)&gt;(MATCH(INDEX(Data_metier!$E:$E,MATCH(P$1,Data_metier!$B:$B,0)),{"Non Concerné";"Niveau 1";"Niveau 2";"Niveau 3";"Niveau 4"},0)-1),
1/6,0))</f>
        <v>2.9999999999999996</v>
      </c>
      <c r="Q8">
        <f>IF(DE_respon_transv!Q8=-1,-1,
DE_respon_transv!Q8+IF((MATCH(INDEX(Data_metier!$C:$C,MATCH($A8,Data_metier!$B:$B,0)),{"Non Concerné";"Niveau 1";"Niveau 2";"Niveau 3";"Niveau 4"},0)-1)&gt;(MATCH(INDEX(Data_metier!$C:$C,MATCH(Q$1,Data_metier!$B:$B,0)),{"Non Concerné";"Niveau 1";"Niveau 2";"Niveau 3";"Niveau 4"},0)-1),
1/6,0)+IF((MATCH(INDEX(Data_metier!$D:$D,MATCH($A8,Data_metier!$B:$B,0)),{"Non Concerné";"Niveau 1";"Niveau 2";"Niveau 3";"Niveau 4"},0)-1)&gt;(MATCH(INDEX(Data_metier!$D:$D,MATCH(Q$1,Data_metier!$B:$B,0)),{"Non Concerné";"Niveau 1";"Niveau 2";"Niveau 3";"Niveau 4"},0)-1),
1/6,0)+IF((MATCH(INDEX(Data_metier!$E:$E,MATCH($A8,Data_metier!$B:$B,0)),{"Non Concerné";"Niveau 1";"Niveau 2";"Niveau 3";"Niveau 4"},0)-1)&gt;(MATCH(INDEX(Data_metier!$E:$E,MATCH(Q$1,Data_metier!$B:$B,0)),{"Non Concerné";"Niveau 1";"Niveau 2";"Niveau 3";"Niveau 4"},0)-1),
1/6,0))</f>
        <v>1</v>
      </c>
      <c r="R8">
        <f>IF(DE_respon_transv!R8=-1,-1,
DE_respon_transv!R8+IF((MATCH(INDEX(Data_metier!$C:$C,MATCH($A8,Data_metier!$B:$B,0)),{"Non Concerné";"Niveau 1";"Niveau 2";"Niveau 3";"Niveau 4"},0)-1)&gt;(MATCH(INDEX(Data_metier!$C:$C,MATCH(R$1,Data_metier!$B:$B,0)),{"Non Concerné";"Niveau 1";"Niveau 2";"Niveau 3";"Niveau 4"},0)-1),
1/6,0)+IF((MATCH(INDEX(Data_metier!$D:$D,MATCH($A8,Data_metier!$B:$B,0)),{"Non Concerné";"Niveau 1";"Niveau 2";"Niveau 3";"Niveau 4"},0)-1)&gt;(MATCH(INDEX(Data_metier!$D:$D,MATCH(R$1,Data_metier!$B:$B,0)),{"Non Concerné";"Niveau 1";"Niveau 2";"Niveau 3";"Niveau 4"},0)-1),
1/6,0)+IF((MATCH(INDEX(Data_metier!$E:$E,MATCH($A8,Data_metier!$B:$B,0)),{"Non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8">
        <f>IF(DE_respon_transv!S8=-1,-1,
DE_respon_transv!S8+IF((MATCH(INDEX(Data_metier!$C:$C,MATCH($A8,Data_metier!$B:$B,0)),{"Non Concerné";"Niveau 1";"Niveau 2";"Niveau 3";"Niveau 4"},0)-1)&gt;(MATCH(INDEX(Data_metier!$C:$C,MATCH(S$1,Data_metier!$B:$B,0)),{"Non Concerné";"Niveau 1";"Niveau 2";"Niveau 3";"Niveau 4"},0)-1),
1/6,0)+IF((MATCH(INDEX(Data_metier!$D:$D,MATCH($A8,Data_metier!$B:$B,0)),{"Non Concerné";"Niveau 1";"Niveau 2";"Niveau 3";"Niveau 4"},0)-1)&gt;(MATCH(INDEX(Data_metier!$D:$D,MATCH(S$1,Data_metier!$B:$B,0)),{"Non Concerné";"Niveau 1";"Niveau 2";"Niveau 3";"Niveau 4"},0)-1),
1/6,0)+IF((MATCH(INDEX(Data_metier!$E:$E,MATCH($A8,Data_metier!$B:$B,0)),{"Non Concerné";"Niveau 1";"Niveau 2";"Niveau 3";"Niveau 4"},0)-1)&gt;(MATCH(INDEX(Data_metier!$E:$E,MATCH(S$1,Data_metier!$B:$B,0)),{"Non Concerné";"Niveau 1";"Niveau 2";"Niveau 3";"Niveau 4"},0)-1),
1/6,0))</f>
        <v>2.9999999999999996</v>
      </c>
      <c r="T8">
        <f>IF(DE_respon_transv!T8=-1,-1,
DE_respon_transv!T8+IF((MATCH(INDEX(Data_metier!$C:$C,MATCH($A8,Data_metier!$B:$B,0)),{"Non Concerné";"Niveau 1";"Niveau 2";"Niveau 3";"Niveau 4"},0)-1)&gt;(MATCH(INDEX(Data_metier!$C:$C,MATCH(T$1,Data_metier!$B:$B,0)),{"Non Concerné";"Niveau 1";"Niveau 2";"Niveau 3";"Niveau 4"},0)-1),
1/6,0)+IF((MATCH(INDEX(Data_metier!$D:$D,MATCH($A8,Data_metier!$B:$B,0)),{"Non Concerné";"Niveau 1";"Niveau 2";"Niveau 3";"Niveau 4"},0)-1)&gt;(MATCH(INDEX(Data_metier!$D:$D,MATCH(T$1,Data_metier!$B:$B,0)),{"Non Concerné";"Niveau 1";"Niveau 2";"Niveau 3";"Niveau 4"},0)-1),
1/6,0)+IF((MATCH(INDEX(Data_metier!$E:$E,MATCH($A8,Data_metier!$B:$B,0)),{"Non Concerné";"Niveau 1";"Niveau 2";"Niveau 3";"Niveau 4"},0)-1)&gt;(MATCH(INDEX(Data_metier!$E:$E,MATCH(T$1,Data_metier!$B:$B,0)),{"Non Concerné";"Niveau 1";"Niveau 2";"Niveau 3";"Niveau 4"},0)-1),
1/6,0))</f>
        <v>2.9999999999999996</v>
      </c>
      <c r="U8">
        <f>IF(DE_respon_transv!U8=-1,-1,
DE_respon_transv!U8+IF((MATCH(INDEX(Data_metier!$C:$C,MATCH($A8,Data_metier!$B:$B,0)),{"Non Concerné";"Niveau 1";"Niveau 2";"Niveau 3";"Niveau 4"},0)-1)&gt;(MATCH(INDEX(Data_metier!$C:$C,MATCH(U$1,Data_metier!$B:$B,0)),{"Non Concerné";"Niveau 1";"Niveau 2";"Niveau 3";"Niveau 4"},0)-1),
1/6,0)+IF((MATCH(INDEX(Data_metier!$D:$D,MATCH($A8,Data_metier!$B:$B,0)),{"Non Concerné";"Niveau 1";"Niveau 2";"Niveau 3";"Niveau 4"},0)-1)&gt;(MATCH(INDEX(Data_metier!$D:$D,MATCH(U$1,Data_metier!$B:$B,0)),{"Non Concerné";"Niveau 1";"Niveau 2";"Niveau 3";"Niveau 4"},0)-1),
1/6,0)+IF((MATCH(INDEX(Data_metier!$E:$E,MATCH($A8,Data_metier!$B:$B,0)),{"Non Concerné";"Niveau 1";"Niveau 2";"Niveau 3";"Niveau 4"},0)-1)&gt;(MATCH(INDEX(Data_metier!$E:$E,MATCH(U$1,Data_metier!$B:$B,0)),{"Non Concerné";"Niveau 1";"Niveau 2";"Niveau 3";"Niveau 4"},0)-1),
1/6,0))</f>
        <v>2.9999999999999996</v>
      </c>
      <c r="V8">
        <f>IF(DE_respon_transv!V8=-1,-1,
DE_respon_transv!V8+IF((MATCH(INDEX(Data_metier!$C:$C,MATCH($A8,Data_metier!$B:$B,0)),{"Non Concerné";"Niveau 1";"Niveau 2";"Niveau 3";"Niveau 4"},0)-1)&gt;(MATCH(INDEX(Data_metier!$C:$C,MATCH(V$1,Data_metier!$B:$B,0)),{"Non Concerné";"Niveau 1";"Niveau 2";"Niveau 3";"Niveau 4"},0)-1),
1/6,0)+IF((MATCH(INDEX(Data_metier!$D:$D,MATCH($A8,Data_metier!$B:$B,0)),{"Non Concerné";"Niveau 1";"Niveau 2";"Niveau 3";"Niveau 4"},0)-1)&gt;(MATCH(INDEX(Data_metier!$D:$D,MATCH(V$1,Data_metier!$B:$B,0)),{"Non Concerné";"Niveau 1";"Niveau 2";"Niveau 3";"Niveau 4"},0)-1),
1/6,0)+IF((MATCH(INDEX(Data_metier!$E:$E,MATCH($A8,Data_metier!$B:$B,0)),{"Non Concerné";"Niveau 1";"Niveau 2";"Niveau 3";"Niveau 4"},0)-1)&gt;(MATCH(INDEX(Data_metier!$E:$E,MATCH(V$1,Data_metier!$B:$B,0)),{"Non Concerné";"Niveau 1";"Niveau 2";"Niveau 3";"Niveau 4"},0)-1),
1/6,0))</f>
        <v>2.9999999999999996</v>
      </c>
      <c r="W8">
        <f>IF(DE_respon_transv!W8=-1,-1,
DE_respon_transv!W8+IF((MATCH(INDEX(Data_metier!$C:$C,MATCH($A8,Data_metier!$B:$B,0)),{"Non Concerné";"Niveau 1";"Niveau 2";"Niveau 3";"Niveau 4"},0)-1)&gt;(MATCH(INDEX(Data_metier!$C:$C,MATCH(W$1,Data_metier!$B:$B,0)),{"Non Concerné";"Niveau 1";"Niveau 2";"Niveau 3";"Niveau 4"},0)-1),
1/6,0)+IF((MATCH(INDEX(Data_metier!$D:$D,MATCH($A8,Data_metier!$B:$B,0)),{"Non Concerné";"Niveau 1";"Niveau 2";"Niveau 3";"Niveau 4"},0)-1)&gt;(MATCH(INDEX(Data_metier!$D:$D,MATCH(W$1,Data_metier!$B:$B,0)),{"Non Concerné";"Niveau 1";"Niveau 2";"Niveau 3";"Niveau 4"},0)-1),
1/6,0)+IF((MATCH(INDEX(Data_metier!$E:$E,MATCH($A8,Data_metier!$B:$B,0)),{"Non Concerné";"Niveau 1";"Niveau 2";"Niveau 3";"Niveau 4"},0)-1)&gt;(MATCH(INDEX(Data_metier!$E:$E,MATCH(W$1,Data_metier!$B:$B,0)),{"Non Concerné";"Niveau 1";"Niveau 2";"Niveau 3";"Niveau 4"},0)-1),
1/6,0))</f>
        <v>2.4999999999999996</v>
      </c>
      <c r="X8">
        <f>IF(DE_respon_transv!X8=-1,-1,
DE_respon_transv!X8+IF((MATCH(INDEX(Data_metier!$C:$C,MATCH($A8,Data_metier!$B:$B,0)),{"Non Concerné";"Niveau 1";"Niveau 2";"Niveau 3";"Niveau 4"},0)-1)&gt;(MATCH(INDEX(Data_metier!$C:$C,MATCH(X$1,Data_metier!$B:$B,0)),{"Non Concerné";"Niveau 1";"Niveau 2";"Niveau 3";"Niveau 4"},0)-1),
1/6,0)+IF((MATCH(INDEX(Data_metier!$D:$D,MATCH($A8,Data_metier!$B:$B,0)),{"Non Concerné";"Niveau 1";"Niveau 2";"Niveau 3";"Niveau 4"},0)-1)&gt;(MATCH(INDEX(Data_metier!$D:$D,MATCH(X$1,Data_metier!$B:$B,0)),{"Non Concerné";"Niveau 1";"Niveau 2";"Niveau 3";"Niveau 4"},0)-1),
1/6,0)+IF((MATCH(INDEX(Data_metier!$E:$E,MATCH($A8,Data_metier!$B:$B,0)),{"Non Concerné";"Niveau 1";"Niveau 2";"Niveau 3";"Niveau 4"},0)-1)&gt;(MATCH(INDEX(Data_metier!$E:$E,MATCH(X$1,Data_metier!$B:$B,0)),{"Non Concerné";"Niveau 1";"Niveau 2";"Niveau 3";"Niveau 4"},0)-1),
1/6,0))</f>
        <v>0</v>
      </c>
      <c r="Y8">
        <f>IF(DE_respon_transv!Y8=-1,-1,
DE_respon_transv!Y8+IF((MATCH(INDEX(Data_metier!$C:$C,MATCH($A8,Data_metier!$B:$B,0)),{"Non Concerné";"Niveau 1";"Niveau 2";"Niveau 3";"Niveau 4"},0)-1)&gt;(MATCH(INDEX(Data_metier!$C:$C,MATCH(Y$1,Data_metier!$B:$B,0)),{"Non Concerné";"Niveau 1";"Niveau 2";"Niveau 3";"Niveau 4"},0)-1),
1/6,0)+IF((MATCH(INDEX(Data_metier!$D:$D,MATCH($A8,Data_metier!$B:$B,0)),{"Non Concerné";"Niveau 1";"Niveau 2";"Niveau 3";"Niveau 4"},0)-1)&gt;(MATCH(INDEX(Data_metier!$D:$D,MATCH(Y$1,Data_metier!$B:$B,0)),{"Non Concerné";"Niveau 1";"Niveau 2";"Niveau 3";"Niveau 4"},0)-1),
1/6,0)+IF((MATCH(INDEX(Data_metier!$E:$E,MATCH($A8,Data_metier!$B:$B,0)),{"Non Concerné";"Niveau 1";"Niveau 2";"Niveau 3";"Niveau 4"},0)-1)&gt;(MATCH(INDEX(Data_metier!$E:$E,MATCH(Y$1,Data_metier!$B:$B,0)),{"Non Concerné";"Niveau 1";"Niveau 2";"Niveau 3";"Niveau 4"},0)-1),
1/6,0))</f>
        <v>2.9999999999999996</v>
      </c>
      <c r="Z8">
        <f>IF(DE_respon_transv!Z8=-1,-1,
DE_respon_transv!Z8+IF((MATCH(INDEX(Data_metier!$C:$C,MATCH($A8,Data_metier!$B:$B,0)),{"Non Concerné";"Niveau 1";"Niveau 2";"Niveau 3";"Niveau 4"},0)-1)&gt;(MATCH(INDEX(Data_metier!$C:$C,MATCH(Z$1,Data_metier!$B:$B,0)),{"Non Concerné";"Niveau 1";"Niveau 2";"Niveau 3";"Niveau 4"},0)-1),
1/6,0)+IF((MATCH(INDEX(Data_metier!$D:$D,MATCH($A8,Data_metier!$B:$B,0)),{"Non Concerné";"Niveau 1";"Niveau 2";"Niveau 3";"Niveau 4"},0)-1)&gt;(MATCH(INDEX(Data_metier!$D:$D,MATCH(Z$1,Data_metier!$B:$B,0)),{"Non Concerné";"Niveau 1";"Niveau 2";"Niveau 3";"Niveau 4"},0)-1),
1/6,0)+IF((MATCH(INDEX(Data_metier!$E:$E,MATCH($A8,Data_metier!$B:$B,0)),{"Non Concerné";"Niveau 1";"Niveau 2";"Niveau 3";"Niveau 4"},0)-1)&gt;(MATCH(INDEX(Data_metier!$E:$E,MATCH(Z$1,Data_metier!$B:$B,0)),{"Non Concerné";"Niveau 1";"Niveau 2";"Niveau 3";"Niveau 4"},0)-1),
1/6,0))</f>
        <v>2.9999999999999996</v>
      </c>
      <c r="AA8">
        <f>IF(DE_respon_transv!AA8=-1,-1,
DE_respon_transv!AA8+IF((MATCH(INDEX(Data_metier!$C:$C,MATCH($A8,Data_metier!$B:$B,0)),{"Non Concerné";"Niveau 1";"Niveau 2";"Niveau 3";"Niveau 4"},0)-1)&gt;(MATCH(INDEX(Data_metier!$C:$C,MATCH(AA$1,Data_metier!$B:$B,0)),{"Non Concerné";"Niveau 1";"Niveau 2";"Niveau 3";"Niveau 4"},0)-1),
1/6,0)+IF((MATCH(INDEX(Data_metier!$D:$D,MATCH($A8,Data_metier!$B:$B,0)),{"Non Concerné";"Niveau 1";"Niveau 2";"Niveau 3";"Niveau 4"},0)-1)&gt;(MATCH(INDEX(Data_metier!$D:$D,MATCH(AA$1,Data_metier!$B:$B,0)),{"Non Concerné";"Niveau 1";"Niveau 2";"Niveau 3";"Niveau 4"},0)-1),
1/6,0)+IF((MATCH(INDEX(Data_metier!$E:$E,MATCH($A8,Data_metier!$B:$B,0)),{"Non Concerné";"Niveau 1";"Niveau 2";"Niveau 3";"Niveau 4"},0)-1)&gt;(MATCH(INDEX(Data_metier!$E:$E,MATCH(AA$1,Data_metier!$B:$B,0)),{"Non Concerné";"Niveau 1";"Niveau 2";"Niveau 3";"Niveau 4"},0)-1),
1/6,0))</f>
        <v>2.9999999999999996</v>
      </c>
      <c r="AB8">
        <f>IF(DE_respon_transv!AB8=-1,-1,
DE_respon_transv!AB8+IF((MATCH(INDEX(Data_metier!$C:$C,MATCH($A8,Data_metier!$B:$B,0)),{"Non Concerné";"Niveau 1";"Niveau 2";"Niveau 3";"Niveau 4"},0)-1)&gt;(MATCH(INDEX(Data_metier!$C:$C,MATCH(AB$1,Data_metier!$B:$B,0)),{"Non Concerné";"Niveau 1";"Niveau 2";"Niveau 3";"Niveau 4"},0)-1),
1/6,0)+IF((MATCH(INDEX(Data_metier!$D:$D,MATCH($A8,Data_metier!$B:$B,0)),{"Non Concerné";"Niveau 1";"Niveau 2";"Niveau 3";"Niveau 4"},0)-1)&gt;(MATCH(INDEX(Data_metier!$D:$D,MATCH(AB$1,Data_metier!$B:$B,0)),{"Non Concerné";"Niveau 1";"Niveau 2";"Niveau 3";"Niveau 4"},0)-1),
1/6,0)+IF((MATCH(INDEX(Data_metier!$E:$E,MATCH($A8,Data_metier!$B:$B,0)),{"Non Concerné";"Niveau 1";"Niveau 2";"Niveau 3";"Niveau 4"},0)-1)&gt;(MATCH(INDEX(Data_metier!$E:$E,MATCH(AB$1,Data_metier!$B:$B,0)),{"Non Concerné";"Niveau 1";"Niveau 2";"Niveau 3";"Niveau 4"},0)-1),
1/6,0))</f>
        <v>2.9999999999999996</v>
      </c>
      <c r="AC8">
        <f>IF(DE_respon_transv!AC8=-1,-1,
DE_respon_transv!AC8+IF((MATCH(INDEX(Data_metier!$C:$C,MATCH($A8,Data_metier!$B:$B,0)),{"Non Concerné";"Niveau 1";"Niveau 2";"Niveau 3";"Niveau 4"},0)-1)&gt;(MATCH(INDEX(Data_metier!$C:$C,MATCH(AC$1,Data_metier!$B:$B,0)),{"Non Concerné";"Niveau 1";"Niveau 2";"Niveau 3";"Niveau 4"},0)-1),
1/6,0)+IF((MATCH(INDEX(Data_metier!$D:$D,MATCH($A8,Data_metier!$B:$B,0)),{"Non Concerné";"Niveau 1";"Niveau 2";"Niveau 3";"Niveau 4"},0)-1)&gt;(MATCH(INDEX(Data_metier!$D:$D,MATCH(AC$1,Data_metier!$B:$B,0)),{"Non Concerné";"Niveau 1";"Niveau 2";"Niveau 3";"Niveau 4"},0)-1),
1/6,0)+IF((MATCH(INDEX(Data_metier!$E:$E,MATCH($A8,Data_metier!$B:$B,0)),{"Non Concerné";"Niveau 1";"Niveau 2";"Niveau 3";"Niveau 4"},0)-1)&gt;(MATCH(INDEX(Data_metier!$E:$E,MATCH(AC$1,Data_metier!$B:$B,0)),{"Non Concerné";"Niveau 1";"Niveau 2";"Niveau 3";"Niveau 4"},0)-1),
1/6,0))</f>
        <v>2.9999999999999996</v>
      </c>
      <c r="AD8">
        <f>IF(DE_respon_transv!AD8=-1,-1,
DE_respon_transv!AD8+IF((MATCH(INDEX(Data_metier!$C:$C,MATCH($A8,Data_metier!$B:$B,0)),{"Non Concerné";"Niveau 1";"Niveau 2";"Niveau 3";"Niveau 4"},0)-1)&gt;(MATCH(INDEX(Data_metier!$C:$C,MATCH(AD$1,Data_metier!$B:$B,0)),{"Non Concerné";"Niveau 1";"Niveau 2";"Niveau 3";"Niveau 4"},0)-1),
1/6,0)+IF((MATCH(INDEX(Data_metier!$D:$D,MATCH($A8,Data_metier!$B:$B,0)),{"Non Concerné";"Niveau 1";"Niveau 2";"Niveau 3";"Niveau 4"},0)-1)&gt;(MATCH(INDEX(Data_metier!$D:$D,MATCH(AD$1,Data_metier!$B:$B,0)),{"Non Concerné";"Niveau 1";"Niveau 2";"Niveau 3";"Niveau 4"},0)-1),
1/6,0)+IF((MATCH(INDEX(Data_metier!$E:$E,MATCH($A8,Data_metier!$B:$B,0)),{"Non Concerné";"Niveau 1";"Niveau 2";"Niveau 3";"Niveau 4"},0)-1)&gt;(MATCH(INDEX(Data_metier!$E:$E,MATCH(AD$1,Data_metier!$B:$B,0)),{"Non Concerné";"Niveau 1";"Niveau 2";"Niveau 3";"Niveau 4"},0)-1),
1/6,0))</f>
        <v>2.9999999999999996</v>
      </c>
    </row>
    <row r="9" spans="1:30">
      <c r="A9" t="str">
        <v>Opérateur(trice) logistique</v>
      </c>
      <c r="B9">
        <f>IF(DE_respon_transv!B9=-1,-1,
DE_respon_transv!B9+IF((MATCH(INDEX(Data_metier!$C:$C,MATCH($A9,Data_metier!$B:$B,0)),{"Non Concerné";"Niveau 1";"Niveau 2";"Niveau 3";"Niveau 4"},0)-1)&gt;(MATCH(INDEX(Data_metier!$C:$C,MATCH(B$1,Data_metier!$B:$B,0)),{"Non Concerné";"Niveau 1";"Niveau 2";"Niveau 3";"Niveau 4"},0)-1),
1/6,0)+IF((MATCH(INDEX(Data_metier!$D:$D,MATCH($A9,Data_metier!$B:$B,0)),{"Non Concerné";"Niveau 1";"Niveau 2";"Niveau 3";"Niveau 4"},0)-1)&gt;(MATCH(INDEX(Data_metier!$D:$D,MATCH(B$1,Data_metier!$B:$B,0)),{"Non Concerné";"Niveau 1";"Niveau 2";"Niveau 3";"Niveau 4"},0)-1),
1/6,0)+IF((MATCH(INDEX(Data_metier!$E:$E,MATCH($A9,Data_metier!$B:$B,0)),{"Non Concerné";"Niveau 1";"Niveau 2";"Niveau 3";"Niveau 4"},0)-1)&gt;(MATCH(INDEX(Data_metier!$E:$E,MATCH(B$1,Data_metier!$B:$B,0)),{"Non Concerné";"Niveau 1";"Niveau 2";"Niveau 3";"Niveau 4"},0)-1),
1/6,0))</f>
        <v>-1</v>
      </c>
      <c r="C9">
        <f>IF(DE_respon_transv!C9=-1,-1,
DE_respon_transv!C9+IF((MATCH(INDEX(Data_metier!$C:$C,MATCH($A9,Data_metier!$B:$B,0)),{"Non Concerné";"Niveau 1";"Niveau 2";"Niveau 3";"Niveau 4"},0)-1)&gt;(MATCH(INDEX(Data_metier!$C:$C,MATCH(C$1,Data_metier!$B:$B,0)),{"Non Concerné";"Niveau 1";"Niveau 2";"Niveau 3";"Niveau 4"},0)-1),
1/6,0)+IF((MATCH(INDEX(Data_metier!$D:$D,MATCH($A9,Data_metier!$B:$B,0)),{"Non Concerné";"Niveau 1";"Niveau 2";"Niveau 3";"Niveau 4"},0)-1)&gt;(MATCH(INDEX(Data_metier!$D:$D,MATCH(C$1,Data_metier!$B:$B,0)),{"Non Concerné";"Niveau 1";"Niveau 2";"Niveau 3";"Niveau 4"},0)-1),
1/6,0)+IF((MATCH(INDEX(Data_metier!$E:$E,MATCH($A9,Data_metier!$B:$B,0)),{"Non Concerné";"Niveau 1";"Niveau 2";"Niveau 3";"Niveau 4"},0)-1)&gt;(MATCH(INDEX(Data_metier!$E:$E,MATCH(C$1,Data_metier!$B:$B,0)),{"Non Concerné";"Niveau 1";"Niveau 2";"Niveau 3";"Niveau 4"},0)-1),
1/6,0))</f>
        <v>-1</v>
      </c>
      <c r="D9">
        <f>IF(DE_respon_transv!D9=-1,-1,
DE_respon_transv!D9+IF((MATCH(INDEX(Data_metier!$C:$C,MATCH($A9,Data_metier!$B:$B,0)),{"Non Concerné";"Niveau 1";"Niveau 2";"Niveau 3";"Niveau 4"},0)-1)&gt;(MATCH(INDEX(Data_metier!$C:$C,MATCH(D$1,Data_metier!$B:$B,0)),{"Non Concerné";"Niveau 1";"Niveau 2";"Niveau 3";"Niveau 4"},0)-1),
1/6,0)+IF((MATCH(INDEX(Data_metier!$D:$D,MATCH($A9,Data_metier!$B:$B,0)),{"Non Concerné";"Niveau 1";"Niveau 2";"Niveau 3";"Niveau 4"},0)-1)&gt;(MATCH(INDEX(Data_metier!$D:$D,MATCH(D$1,Data_metier!$B:$B,0)),{"Non Concerné";"Niveau 1";"Niveau 2";"Niveau 3";"Niveau 4"},0)-1),
1/6,0)+IF((MATCH(INDEX(Data_metier!$E:$E,MATCH($A9,Data_metier!$B:$B,0)),{"Non Concerné";"Niveau 1";"Niveau 2";"Niveau 3";"Niveau 4"},0)-1)&gt;(MATCH(INDEX(Data_metier!$E:$E,MATCH(D$1,Data_metier!$B:$B,0)),{"Non Concerné";"Niveau 1";"Niveau 2";"Niveau 3";"Niveau 4"},0)-1),
1/6,0))</f>
        <v>0</v>
      </c>
      <c r="E9">
        <f>IF(DE_respon_transv!E9=-1,-1,
DE_respon_transv!E9+IF((MATCH(INDEX(Data_metier!$C:$C,MATCH($A9,Data_metier!$B:$B,0)),{"Non Concerné";"Niveau 1";"Niveau 2";"Niveau 3";"Niveau 4"},0)-1)&gt;(MATCH(INDEX(Data_metier!$C:$C,MATCH(E$1,Data_metier!$B:$B,0)),{"Non Concerné";"Niveau 1";"Niveau 2";"Niveau 3";"Niveau 4"},0)-1),
1/6,0)+IF((MATCH(INDEX(Data_metier!$D:$D,MATCH($A9,Data_metier!$B:$B,0)),{"Non Concerné";"Niveau 1";"Niveau 2";"Niveau 3";"Niveau 4"},0)-1)&gt;(MATCH(INDEX(Data_metier!$D:$D,MATCH(E$1,Data_metier!$B:$B,0)),{"Non Concerné";"Niveau 1";"Niveau 2";"Niveau 3";"Niveau 4"},0)-1),
1/6,0)+IF((MATCH(INDEX(Data_metier!$E:$E,MATCH($A9,Data_metier!$B:$B,0)),{"Non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9">
        <f>IF(DE_respon_transv!F9=-1,-1,
DE_respon_transv!F9+IF((MATCH(INDEX(Data_metier!$C:$C,MATCH($A9,Data_metier!$B:$B,0)),{"Non Concerné";"Niveau 1";"Niveau 2";"Niveau 3";"Niveau 4"},0)-1)&gt;(MATCH(INDEX(Data_metier!$C:$C,MATCH(F$1,Data_metier!$B:$B,0)),{"Non Concerné";"Niveau 1";"Niveau 2";"Niveau 3";"Niveau 4"},0)-1),
1/6,0)+IF((MATCH(INDEX(Data_metier!$D:$D,MATCH($A9,Data_metier!$B:$B,0)),{"Non Concerné";"Niveau 1";"Niveau 2";"Niveau 3";"Niveau 4"},0)-1)&gt;(MATCH(INDEX(Data_metier!$D:$D,MATCH(F$1,Data_metier!$B:$B,0)),{"Non Concerné";"Niveau 1";"Niveau 2";"Niveau 3";"Niveau 4"},0)-1),
1/6,0)+IF((MATCH(INDEX(Data_metier!$E:$E,MATCH($A9,Data_metier!$B:$B,0)),{"Non Concerné";"Niveau 1";"Niveau 2";"Niveau 3";"Niveau 4"},0)-1)&gt;(MATCH(INDEX(Data_metier!$E:$E,MATCH(F$1,Data_metier!$B:$B,0)),{"Non Concerné";"Niveau 1";"Niveau 2";"Niveau 3";"Niveau 4"},0)-1),
1/6,0))</f>
        <v>-1</v>
      </c>
      <c r="G9">
        <f>IF(DE_respon_transv!G9=-1,-1,
DE_respon_transv!G9+IF((MATCH(INDEX(Data_metier!$C:$C,MATCH($A9,Data_metier!$B:$B,0)),{"Non Concerné";"Niveau 1";"Niveau 2";"Niveau 3";"Niveau 4"},0)-1)&gt;(MATCH(INDEX(Data_metier!$C:$C,MATCH(G$1,Data_metier!$B:$B,0)),{"Non Concerné";"Niveau 1";"Niveau 2";"Niveau 3";"Niveau 4"},0)-1),
1/6,0)+IF((MATCH(INDEX(Data_metier!$D:$D,MATCH($A9,Data_metier!$B:$B,0)),{"Non Concerné";"Niveau 1";"Niveau 2";"Niveau 3";"Niveau 4"},0)-1)&gt;(MATCH(INDEX(Data_metier!$D:$D,MATCH(G$1,Data_metier!$B:$B,0)),{"Non Concerné";"Niveau 1";"Niveau 2";"Niveau 3";"Niveau 4"},0)-1),
1/6,0)+IF((MATCH(INDEX(Data_metier!$E:$E,MATCH($A9,Data_metier!$B:$B,0)),{"Non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9">
        <f>IF(DE_respon_transv!H9=-1,-1,
DE_respon_transv!H9+IF((MATCH(INDEX(Data_metier!$C:$C,MATCH($A9,Data_metier!$B:$B,0)),{"Non Concerné";"Niveau 1";"Niveau 2";"Niveau 3";"Niveau 4"},0)-1)&gt;(MATCH(INDEX(Data_metier!$C:$C,MATCH(H$1,Data_metier!$B:$B,0)),{"Non Concerné";"Niveau 1";"Niveau 2";"Niveau 3";"Niveau 4"},0)-1),
1/6,0)+IF((MATCH(INDEX(Data_metier!$D:$D,MATCH($A9,Data_metier!$B:$B,0)),{"Non Concerné";"Niveau 1";"Niveau 2";"Niveau 3";"Niveau 4"},0)-1)&gt;(MATCH(INDEX(Data_metier!$D:$D,MATCH(H$1,Data_metier!$B:$B,0)),{"Non Concerné";"Niveau 1";"Niveau 2";"Niveau 3";"Niveau 4"},0)-1),
1/6,0)+IF((MATCH(INDEX(Data_metier!$E:$E,MATCH($A9,Data_metier!$B:$B,0)),{"Non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9">
        <f>IF(DE_respon_transv!I9=-1,-1,
DE_respon_transv!I9+IF((MATCH(INDEX(Data_metier!$C:$C,MATCH($A9,Data_metier!$B:$B,0)),{"Non Concerné";"Niveau 1";"Niveau 2";"Niveau 3";"Niveau 4"},0)-1)&gt;(MATCH(INDEX(Data_metier!$C:$C,MATCH(I$1,Data_metier!$B:$B,0)),{"Non Concerné";"Niveau 1";"Niveau 2";"Niveau 3";"Niveau 4"},0)-1),
1/6,0)+IF((MATCH(INDEX(Data_metier!$D:$D,MATCH($A9,Data_metier!$B:$B,0)),{"Non Concerné";"Niveau 1";"Niveau 2";"Niveau 3";"Niveau 4"},0)-1)&gt;(MATCH(INDEX(Data_metier!$D:$D,MATCH(I$1,Data_metier!$B:$B,0)),{"Non Concerné";"Niveau 1";"Niveau 2";"Niveau 3";"Niveau 4"},0)-1),
1/6,0)+IF((MATCH(INDEX(Data_metier!$E:$E,MATCH($A9,Data_metier!$B:$B,0)),{"Non Concerné";"Niveau 1";"Niveau 2";"Niveau 3";"Niveau 4"},0)-1)&gt;(MATCH(INDEX(Data_metier!$E:$E,MATCH(I$1,Data_metier!$B:$B,0)),{"Non Concerné";"Niveau 1";"Niveau 2";"Niveau 3";"Niveau 4"},0)-1),
1/6,0))</f>
        <v>0</v>
      </c>
      <c r="J9">
        <f>IF(DE_respon_transv!J9=-1,-1,
DE_respon_transv!J9+IF((MATCH(INDEX(Data_metier!$C:$C,MATCH($A9,Data_metier!$B:$B,0)),{"Non Concerné";"Niveau 1";"Niveau 2";"Niveau 3";"Niveau 4"},0)-1)&gt;(MATCH(INDEX(Data_metier!$C:$C,MATCH(J$1,Data_metier!$B:$B,0)),{"Non Concerné";"Niveau 1";"Niveau 2";"Niveau 3";"Niveau 4"},0)-1),
1/6,0)+IF((MATCH(INDEX(Data_metier!$D:$D,MATCH($A9,Data_metier!$B:$B,0)),{"Non Concerné";"Niveau 1";"Niveau 2";"Niveau 3";"Niveau 4"},0)-1)&gt;(MATCH(INDEX(Data_metier!$D:$D,MATCH(J$1,Data_metier!$B:$B,0)),{"Non Concerné";"Niveau 1";"Niveau 2";"Niveau 3";"Niveau 4"},0)-1),
1/6,0)+IF((MATCH(INDEX(Data_metier!$E:$E,MATCH($A9,Data_metier!$B:$B,0)),{"Non Concerné";"Niveau 1";"Niveau 2";"Niveau 3";"Niveau 4"},0)-1)&gt;(MATCH(INDEX(Data_metier!$E:$E,MATCH(J$1,Data_metier!$B:$B,0)),{"Non Concerné";"Niveau 1";"Niveau 2";"Niveau 3";"Niveau 4"},0)-1),
1/6,0))</f>
        <v>-1</v>
      </c>
      <c r="K9">
        <f>IF(DE_respon_transv!K9=-1,-1,
DE_respon_transv!K9+IF((MATCH(INDEX(Data_metier!$C:$C,MATCH($A9,Data_metier!$B:$B,0)),{"Non Concerné";"Niveau 1";"Niveau 2";"Niveau 3";"Niveau 4"},0)-1)&gt;(MATCH(INDEX(Data_metier!$C:$C,MATCH(K$1,Data_metier!$B:$B,0)),{"Non Concerné";"Niveau 1";"Niveau 2";"Niveau 3";"Niveau 4"},0)-1),
1/6,0)+IF((MATCH(INDEX(Data_metier!$D:$D,MATCH($A9,Data_metier!$B:$B,0)),{"Non Concerné";"Niveau 1";"Niveau 2";"Niveau 3";"Niveau 4"},0)-1)&gt;(MATCH(INDEX(Data_metier!$D:$D,MATCH(K$1,Data_metier!$B:$B,0)),{"Non Concerné";"Niveau 1";"Niveau 2";"Niveau 3";"Niveau 4"},0)-1),
1/6,0)+IF((MATCH(INDEX(Data_metier!$E:$E,MATCH($A9,Data_metier!$B:$B,0)),{"Non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9">
        <f>IF(DE_respon_transv!L9=-1,-1,
DE_respon_transv!L9+IF((MATCH(INDEX(Data_metier!$C:$C,MATCH($A9,Data_metier!$B:$B,0)),{"Non Concerné";"Niveau 1";"Niveau 2";"Niveau 3";"Niveau 4"},0)-1)&gt;(MATCH(INDEX(Data_metier!$C:$C,MATCH(L$1,Data_metier!$B:$B,0)),{"Non Concerné";"Niveau 1";"Niveau 2";"Niveau 3";"Niveau 4"},0)-1),
1/6,0)+IF((MATCH(INDEX(Data_metier!$D:$D,MATCH($A9,Data_metier!$B:$B,0)),{"Non Concerné";"Niveau 1";"Niveau 2";"Niveau 3";"Niveau 4"},0)-1)&gt;(MATCH(INDEX(Data_metier!$D:$D,MATCH(L$1,Data_metier!$B:$B,0)),{"Non Concerné";"Niveau 1";"Niveau 2";"Niveau 3";"Niveau 4"},0)-1),
1/6,0)+IF((MATCH(INDEX(Data_metier!$E:$E,MATCH($A9,Data_metier!$B:$B,0)),{"Non Concerné";"Niveau 1";"Niveau 2";"Niveau 3";"Niveau 4"},0)-1)&gt;(MATCH(INDEX(Data_metier!$E:$E,MATCH(L$1,Data_metier!$B:$B,0)),{"Non Concerné";"Niveau 1";"Niveau 2";"Niveau 3";"Niveau 4"},0)-1),
1/6,0))</f>
        <v>0</v>
      </c>
      <c r="M9">
        <f>IF(DE_respon_transv!M9=-1,-1,
DE_respon_transv!M9+IF((MATCH(INDEX(Data_metier!$C:$C,MATCH($A9,Data_metier!$B:$B,0)),{"Non Concerné";"Niveau 1";"Niveau 2";"Niveau 3";"Niveau 4"},0)-1)&gt;(MATCH(INDEX(Data_metier!$C:$C,MATCH(M$1,Data_metier!$B:$B,0)),{"Non Concerné";"Niveau 1";"Niveau 2";"Niveau 3";"Niveau 4"},0)-1),
1/6,0)+IF((MATCH(INDEX(Data_metier!$D:$D,MATCH($A9,Data_metier!$B:$B,0)),{"Non Concerné";"Niveau 1";"Niveau 2";"Niveau 3";"Niveau 4"},0)-1)&gt;(MATCH(INDEX(Data_metier!$D:$D,MATCH(M$1,Data_metier!$B:$B,0)),{"Non Concerné";"Niveau 1";"Niveau 2";"Niveau 3";"Niveau 4"},0)-1),
1/6,0)+IF((MATCH(INDEX(Data_metier!$E:$E,MATCH($A9,Data_metier!$B:$B,0)),{"Non Concerné";"Niveau 1";"Niveau 2";"Niveau 3";"Niveau 4"},0)-1)&gt;(MATCH(INDEX(Data_metier!$E:$E,MATCH(M$1,Data_metier!$B:$B,0)),{"Non Concerné";"Niveau 1";"Niveau 2";"Niveau 3";"Niveau 4"},0)-1),
1/6,0))</f>
        <v>-1</v>
      </c>
      <c r="N9">
        <f>IF(DE_respon_transv!N9=-1,-1,
DE_respon_transv!N9+IF((MATCH(INDEX(Data_metier!$C:$C,MATCH($A9,Data_metier!$B:$B,0)),{"Non Concerné";"Niveau 1";"Niveau 2";"Niveau 3";"Niveau 4"},0)-1)&gt;(MATCH(INDEX(Data_metier!$C:$C,MATCH(N$1,Data_metier!$B:$B,0)),{"Non Concerné";"Niveau 1";"Niveau 2";"Niveau 3";"Niveau 4"},0)-1),
1/6,0)+IF((MATCH(INDEX(Data_metier!$D:$D,MATCH($A9,Data_metier!$B:$B,0)),{"Non Concerné";"Niveau 1";"Niveau 2";"Niveau 3";"Niveau 4"},0)-1)&gt;(MATCH(INDEX(Data_metier!$D:$D,MATCH(N$1,Data_metier!$B:$B,0)),{"Non Concerné";"Niveau 1";"Niveau 2";"Niveau 3";"Niveau 4"},0)-1),
1/6,0)+IF((MATCH(INDEX(Data_metier!$E:$E,MATCH($A9,Data_metier!$B:$B,0)),{"Non Concerné";"Niveau 1";"Niveau 2";"Niveau 3";"Niveau 4"},0)-1)&gt;(MATCH(INDEX(Data_metier!$E:$E,MATCH(N$1,Data_metier!$B:$B,0)),{"Non Concerné";"Niveau 1";"Niveau 2";"Niveau 3";"Niveau 4"},0)-1),
1/6,0))</f>
        <v>-1</v>
      </c>
      <c r="O9">
        <f>IF(DE_respon_transv!O9=-1,-1,
DE_respon_transv!O9+IF((MATCH(INDEX(Data_metier!$C:$C,MATCH($A9,Data_metier!$B:$B,0)),{"Non Concerné";"Niveau 1";"Niveau 2";"Niveau 3";"Niveau 4"},0)-1)&gt;(MATCH(INDEX(Data_metier!$C:$C,MATCH(O$1,Data_metier!$B:$B,0)),{"Non Concerné";"Niveau 1";"Niveau 2";"Niveau 3";"Niveau 4"},0)-1),
1/6,0)+IF((MATCH(INDEX(Data_metier!$D:$D,MATCH($A9,Data_metier!$B:$B,0)),{"Non Concerné";"Niveau 1";"Niveau 2";"Niveau 3";"Niveau 4"},0)-1)&gt;(MATCH(INDEX(Data_metier!$D:$D,MATCH(O$1,Data_metier!$B:$B,0)),{"Non Concerné";"Niveau 1";"Niveau 2";"Niveau 3";"Niveau 4"},0)-1),
1/6,0)+IF((MATCH(INDEX(Data_metier!$E:$E,MATCH($A9,Data_metier!$B:$B,0)),{"Non Concerné";"Niveau 1";"Niveau 2";"Niveau 3";"Niveau 4"},0)-1)&gt;(MATCH(INDEX(Data_metier!$E:$E,MATCH(O$1,Data_metier!$B:$B,0)),{"Non Concerné";"Niveau 1";"Niveau 2";"Niveau 3";"Niveau 4"},0)-1),
1/6,0))</f>
        <v>0</v>
      </c>
      <c r="P9">
        <f>IF(DE_respon_transv!P9=-1,-1,
DE_respon_transv!P9+IF((MATCH(INDEX(Data_metier!$C:$C,MATCH($A9,Data_metier!$B:$B,0)),{"Non Concerné";"Niveau 1";"Niveau 2";"Niveau 3";"Niveau 4"},0)-1)&gt;(MATCH(INDEX(Data_metier!$C:$C,MATCH(P$1,Data_metier!$B:$B,0)),{"Non Concerné";"Niveau 1";"Niveau 2";"Niveau 3";"Niveau 4"},0)-1),
1/6,0)+IF((MATCH(INDEX(Data_metier!$D:$D,MATCH($A9,Data_metier!$B:$B,0)),{"Non Concerné";"Niveau 1";"Niveau 2";"Niveau 3";"Niveau 4"},0)-1)&gt;(MATCH(INDEX(Data_metier!$D:$D,MATCH(P$1,Data_metier!$B:$B,0)),{"Non Concerné";"Niveau 1";"Niveau 2";"Niveau 3";"Niveau 4"},0)-1),
1/6,0)+IF((MATCH(INDEX(Data_metier!$E:$E,MATCH($A9,Data_metier!$B:$B,0)),{"Non Concerné";"Niveau 1";"Niveau 2";"Niveau 3";"Niveau 4"},0)-1)&gt;(MATCH(INDEX(Data_metier!$E:$E,MATCH(P$1,Data_metier!$B:$B,0)),{"Non Concerné";"Niveau 1";"Niveau 2";"Niveau 3";"Niveau 4"},0)-1),
1/6,0))</f>
        <v>0</v>
      </c>
      <c r="Q9">
        <f>IF(DE_respon_transv!Q9=-1,-1,
DE_respon_transv!Q9+IF((MATCH(INDEX(Data_metier!$C:$C,MATCH($A9,Data_metier!$B:$B,0)),{"Non Concerné";"Niveau 1";"Niveau 2";"Niveau 3";"Niveau 4"},0)-1)&gt;(MATCH(INDEX(Data_metier!$C:$C,MATCH(Q$1,Data_metier!$B:$B,0)),{"Non Concerné";"Niveau 1";"Niveau 2";"Niveau 3";"Niveau 4"},0)-1),
1/6,0)+IF((MATCH(INDEX(Data_metier!$D:$D,MATCH($A9,Data_metier!$B:$B,0)),{"Non Concerné";"Niveau 1";"Niveau 2";"Niveau 3";"Niveau 4"},0)-1)&gt;(MATCH(INDEX(Data_metier!$D:$D,MATCH(Q$1,Data_metier!$B:$B,0)),{"Non Concerné";"Niveau 1";"Niveau 2";"Niveau 3";"Niveau 4"},0)-1),
1/6,0)+IF((MATCH(INDEX(Data_metier!$E:$E,MATCH($A9,Data_metier!$B:$B,0)),{"Non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9">
        <f>IF(DE_respon_transv!R9=-1,-1,
DE_respon_transv!R9+IF((MATCH(INDEX(Data_metier!$C:$C,MATCH($A9,Data_metier!$B:$B,0)),{"Non Concerné";"Niveau 1";"Niveau 2";"Niveau 3";"Niveau 4"},0)-1)&gt;(MATCH(INDEX(Data_metier!$C:$C,MATCH(R$1,Data_metier!$B:$B,0)),{"Non Concerné";"Niveau 1";"Niveau 2";"Niveau 3";"Niveau 4"},0)-1),
1/6,0)+IF((MATCH(INDEX(Data_metier!$D:$D,MATCH($A9,Data_metier!$B:$B,0)),{"Non Concerné";"Niveau 1";"Niveau 2";"Niveau 3";"Niveau 4"},0)-1)&gt;(MATCH(INDEX(Data_metier!$D:$D,MATCH(R$1,Data_metier!$B:$B,0)),{"Non Concerné";"Niveau 1";"Niveau 2";"Niveau 3";"Niveau 4"},0)-1),
1/6,0)+IF((MATCH(INDEX(Data_metier!$E:$E,MATCH($A9,Data_metier!$B:$B,0)),{"Non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9">
        <f>IF(DE_respon_transv!S9=-1,-1,
DE_respon_transv!S9+IF((MATCH(INDEX(Data_metier!$C:$C,MATCH($A9,Data_metier!$B:$B,0)),{"Non Concerné";"Niveau 1";"Niveau 2";"Niveau 3";"Niveau 4"},0)-1)&gt;(MATCH(INDEX(Data_metier!$C:$C,MATCH(S$1,Data_metier!$B:$B,0)),{"Non Concerné";"Niveau 1";"Niveau 2";"Niveau 3";"Niveau 4"},0)-1),
1/6,0)+IF((MATCH(INDEX(Data_metier!$D:$D,MATCH($A9,Data_metier!$B:$B,0)),{"Non Concerné";"Niveau 1";"Niveau 2";"Niveau 3";"Niveau 4"},0)-1)&gt;(MATCH(INDEX(Data_metier!$D:$D,MATCH(S$1,Data_metier!$B:$B,0)),{"Non Concerné";"Niveau 1";"Niveau 2";"Niveau 3";"Niveau 4"},0)-1),
1/6,0)+IF((MATCH(INDEX(Data_metier!$E:$E,MATCH($A9,Data_metier!$B:$B,0)),{"Non Concerné";"Niveau 1";"Niveau 2";"Niveau 3";"Niveau 4"},0)-1)&gt;(MATCH(INDEX(Data_metier!$E:$E,MATCH(S$1,Data_metier!$B:$B,0)),{"Non Concerné";"Niveau 1";"Niveau 2";"Niveau 3";"Niveau 4"},0)-1),
1/6,0))</f>
        <v>0</v>
      </c>
      <c r="T9">
        <f>IF(DE_respon_transv!T9=-1,-1,
DE_respon_transv!T9+IF((MATCH(INDEX(Data_metier!$C:$C,MATCH($A9,Data_metier!$B:$B,0)),{"Non Concerné";"Niveau 1";"Niveau 2";"Niveau 3";"Niveau 4"},0)-1)&gt;(MATCH(INDEX(Data_metier!$C:$C,MATCH(T$1,Data_metier!$B:$B,0)),{"Non Concerné";"Niveau 1";"Niveau 2";"Niveau 3";"Niveau 4"},0)-1),
1/6,0)+IF((MATCH(INDEX(Data_metier!$D:$D,MATCH($A9,Data_metier!$B:$B,0)),{"Non Concerné";"Niveau 1";"Niveau 2";"Niveau 3";"Niveau 4"},0)-1)&gt;(MATCH(INDEX(Data_metier!$D:$D,MATCH(T$1,Data_metier!$B:$B,0)),{"Non Concerné";"Niveau 1";"Niveau 2";"Niveau 3";"Niveau 4"},0)-1),
1/6,0)+IF((MATCH(INDEX(Data_metier!$E:$E,MATCH($A9,Data_metier!$B:$B,0)),{"Non Concerné";"Niveau 1";"Niveau 2";"Niveau 3";"Niveau 4"},0)-1)&gt;(MATCH(INDEX(Data_metier!$E:$E,MATCH(T$1,Data_metier!$B:$B,0)),{"Non Concerné";"Niveau 1";"Niveau 2";"Niveau 3";"Niveau 4"},0)-1),
1/6,0))</f>
        <v>0</v>
      </c>
      <c r="U9">
        <f>IF(DE_respon_transv!U9=-1,-1,
DE_respon_transv!U9+IF((MATCH(INDEX(Data_metier!$C:$C,MATCH($A9,Data_metier!$B:$B,0)),{"Non Concerné";"Niveau 1";"Niveau 2";"Niveau 3";"Niveau 4"},0)-1)&gt;(MATCH(INDEX(Data_metier!$C:$C,MATCH(U$1,Data_metier!$B:$B,0)),{"Non Concerné";"Niveau 1";"Niveau 2";"Niveau 3";"Niveau 4"},0)-1),
1/6,0)+IF((MATCH(INDEX(Data_metier!$D:$D,MATCH($A9,Data_metier!$B:$B,0)),{"Non Concerné";"Niveau 1";"Niveau 2";"Niveau 3";"Niveau 4"},0)-1)&gt;(MATCH(INDEX(Data_metier!$D:$D,MATCH(U$1,Data_metier!$B:$B,0)),{"Non Concerné";"Niveau 1";"Niveau 2";"Niveau 3";"Niveau 4"},0)-1),
1/6,0)+IF((MATCH(INDEX(Data_metier!$E:$E,MATCH($A9,Data_metier!$B:$B,0)),{"Non Concerné";"Niveau 1";"Niveau 2";"Niveau 3";"Niveau 4"},0)-1)&gt;(MATCH(INDEX(Data_metier!$E:$E,MATCH(U$1,Data_metier!$B:$B,0)),{"Non Concerné";"Niveau 1";"Niveau 2";"Niveau 3";"Niveau 4"},0)-1),
1/6,0))</f>
        <v>0</v>
      </c>
      <c r="V9">
        <f>IF(DE_respon_transv!V9=-1,-1,
DE_respon_transv!V9+IF((MATCH(INDEX(Data_metier!$C:$C,MATCH($A9,Data_metier!$B:$B,0)),{"Non Concerné";"Niveau 1";"Niveau 2";"Niveau 3";"Niveau 4"},0)-1)&gt;(MATCH(INDEX(Data_metier!$C:$C,MATCH(V$1,Data_metier!$B:$B,0)),{"Non Concerné";"Niveau 1";"Niveau 2";"Niveau 3";"Niveau 4"},0)-1),
1/6,0)+IF((MATCH(INDEX(Data_metier!$D:$D,MATCH($A9,Data_metier!$B:$B,0)),{"Non Concerné";"Niveau 1";"Niveau 2";"Niveau 3";"Niveau 4"},0)-1)&gt;(MATCH(INDEX(Data_metier!$D:$D,MATCH(V$1,Data_metier!$B:$B,0)),{"Non Concerné";"Niveau 1";"Niveau 2";"Niveau 3";"Niveau 4"},0)-1),
1/6,0)+IF((MATCH(INDEX(Data_metier!$E:$E,MATCH($A9,Data_metier!$B:$B,0)),{"Non Concerné";"Niveau 1";"Niveau 2";"Niveau 3";"Niveau 4"},0)-1)&gt;(MATCH(INDEX(Data_metier!$E:$E,MATCH(V$1,Data_metier!$B:$B,0)),{"Non Concerné";"Niveau 1";"Niveau 2";"Niveau 3";"Niveau 4"},0)-1),
1/6,0))</f>
        <v>-1</v>
      </c>
      <c r="W9">
        <f>IF(DE_respon_transv!W9=-1,-1,
DE_respon_transv!W9+IF((MATCH(INDEX(Data_metier!$C:$C,MATCH($A9,Data_metier!$B:$B,0)),{"Non Concerné";"Niveau 1";"Niveau 2";"Niveau 3";"Niveau 4"},0)-1)&gt;(MATCH(INDEX(Data_metier!$C:$C,MATCH(W$1,Data_metier!$B:$B,0)),{"Non Concerné";"Niveau 1";"Niveau 2";"Niveau 3";"Niveau 4"},0)-1),
1/6,0)+IF((MATCH(INDEX(Data_metier!$D:$D,MATCH($A9,Data_metier!$B:$B,0)),{"Non Concerné";"Niveau 1";"Niveau 2";"Niveau 3";"Niveau 4"},0)-1)&gt;(MATCH(INDEX(Data_metier!$D:$D,MATCH(W$1,Data_metier!$B:$B,0)),{"Non Concerné";"Niveau 1";"Niveau 2";"Niveau 3";"Niveau 4"},0)-1),
1/6,0)+IF((MATCH(INDEX(Data_metier!$E:$E,MATCH($A9,Data_metier!$B:$B,0)),{"Non Concerné";"Niveau 1";"Niveau 2";"Niveau 3";"Niveau 4"},0)-1)&gt;(MATCH(INDEX(Data_metier!$E:$E,MATCH(W$1,Data_metier!$B:$B,0)),{"Non Concerné";"Niveau 1";"Niveau 2";"Niveau 3";"Niveau 4"},0)-1),
1/6,0))</f>
        <v>-1</v>
      </c>
      <c r="X9">
        <f>IF(DE_respon_transv!X9=-1,-1,
DE_respon_transv!X9+IF((MATCH(INDEX(Data_metier!$C:$C,MATCH($A9,Data_metier!$B:$B,0)),{"Non Concerné";"Niveau 1";"Niveau 2";"Niveau 3";"Niveau 4"},0)-1)&gt;(MATCH(INDEX(Data_metier!$C:$C,MATCH(X$1,Data_metier!$B:$B,0)),{"Non Concerné";"Niveau 1";"Niveau 2";"Niveau 3";"Niveau 4"},0)-1),
1/6,0)+IF((MATCH(INDEX(Data_metier!$D:$D,MATCH($A9,Data_metier!$B:$B,0)),{"Non Concerné";"Niveau 1";"Niveau 2";"Niveau 3";"Niveau 4"},0)-1)&gt;(MATCH(INDEX(Data_metier!$D:$D,MATCH(X$1,Data_metier!$B:$B,0)),{"Non Concerné";"Niveau 1";"Niveau 2";"Niveau 3";"Niveau 4"},0)-1),
1/6,0)+IF((MATCH(INDEX(Data_metier!$E:$E,MATCH($A9,Data_metier!$B:$B,0)),{"Non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9">
        <f>IF(DE_respon_transv!Y9=-1,-1,
DE_respon_transv!Y9+IF((MATCH(INDEX(Data_metier!$C:$C,MATCH($A9,Data_metier!$B:$B,0)),{"Non Concerné";"Niveau 1";"Niveau 2";"Niveau 3";"Niveau 4"},0)-1)&gt;(MATCH(INDEX(Data_metier!$C:$C,MATCH(Y$1,Data_metier!$B:$B,0)),{"Non Concerné";"Niveau 1";"Niveau 2";"Niveau 3";"Niveau 4"},0)-1),
1/6,0)+IF((MATCH(INDEX(Data_metier!$D:$D,MATCH($A9,Data_metier!$B:$B,0)),{"Non Concerné";"Niveau 1";"Niveau 2";"Niveau 3";"Niveau 4"},0)-1)&gt;(MATCH(INDEX(Data_metier!$D:$D,MATCH(Y$1,Data_metier!$B:$B,0)),{"Non Concerné";"Niveau 1";"Niveau 2";"Niveau 3";"Niveau 4"},0)-1),
1/6,0)+IF((MATCH(INDEX(Data_metier!$E:$E,MATCH($A9,Data_metier!$B:$B,0)),{"Non Concerné";"Niveau 1";"Niveau 2";"Niveau 3";"Niveau 4"},0)-1)&gt;(MATCH(INDEX(Data_metier!$E:$E,MATCH(Y$1,Data_metier!$B:$B,0)),{"Non Concerné";"Niveau 1";"Niveau 2";"Niveau 3";"Niveau 4"},0)-1),
1/6,0))</f>
        <v>0</v>
      </c>
      <c r="Z9">
        <f>IF(DE_respon_transv!Z9=-1,-1,
DE_respon_transv!Z9+IF((MATCH(INDEX(Data_metier!$C:$C,MATCH($A9,Data_metier!$B:$B,0)),{"Non Concerné";"Niveau 1";"Niveau 2";"Niveau 3";"Niveau 4"},0)-1)&gt;(MATCH(INDEX(Data_metier!$C:$C,MATCH(Z$1,Data_metier!$B:$B,0)),{"Non Concerné";"Niveau 1";"Niveau 2";"Niveau 3";"Niveau 4"},0)-1),
1/6,0)+IF((MATCH(INDEX(Data_metier!$D:$D,MATCH($A9,Data_metier!$B:$B,0)),{"Non Concerné";"Niveau 1";"Niveau 2";"Niveau 3";"Niveau 4"},0)-1)&gt;(MATCH(INDEX(Data_metier!$D:$D,MATCH(Z$1,Data_metier!$B:$B,0)),{"Non Concerné";"Niveau 1";"Niveau 2";"Niveau 3";"Niveau 4"},0)-1),
1/6,0)+IF((MATCH(INDEX(Data_metier!$E:$E,MATCH($A9,Data_metier!$B:$B,0)),{"Non Concerné";"Niveau 1";"Niveau 2";"Niveau 3";"Niveau 4"},0)-1)&gt;(MATCH(INDEX(Data_metier!$E:$E,MATCH(Z$1,Data_metier!$B:$B,0)),{"Non Concerné";"Niveau 1";"Niveau 2";"Niveau 3";"Niveau 4"},0)-1),
1/6,0))</f>
        <v>0</v>
      </c>
      <c r="AA9">
        <f>IF(DE_respon_transv!AA9=-1,-1,
DE_respon_transv!AA9+IF((MATCH(INDEX(Data_metier!$C:$C,MATCH($A9,Data_metier!$B:$B,0)),{"Non Concerné";"Niveau 1";"Niveau 2";"Niveau 3";"Niveau 4"},0)-1)&gt;(MATCH(INDEX(Data_metier!$C:$C,MATCH(AA$1,Data_metier!$B:$B,0)),{"Non Concerné";"Niveau 1";"Niveau 2";"Niveau 3";"Niveau 4"},0)-1),
1/6,0)+IF((MATCH(INDEX(Data_metier!$D:$D,MATCH($A9,Data_metier!$B:$B,0)),{"Non Concerné";"Niveau 1";"Niveau 2";"Niveau 3";"Niveau 4"},0)-1)&gt;(MATCH(INDEX(Data_metier!$D:$D,MATCH(AA$1,Data_metier!$B:$B,0)),{"Non Concerné";"Niveau 1";"Niveau 2";"Niveau 3";"Niveau 4"},0)-1),
1/6,0)+IF((MATCH(INDEX(Data_metier!$E:$E,MATCH($A9,Data_metier!$B:$B,0)),{"Non Concerné";"Niveau 1";"Niveau 2";"Niveau 3";"Niveau 4"},0)-1)&gt;(MATCH(INDEX(Data_metier!$E:$E,MATCH(AA$1,Data_metier!$B:$B,0)),{"Non Concerné";"Niveau 1";"Niveau 2";"Niveau 3";"Niveau 4"},0)-1),
1/6,0))</f>
        <v>0</v>
      </c>
      <c r="AB9">
        <f>IF(DE_respon_transv!AB9=-1,-1,
DE_respon_transv!AB9+IF((MATCH(INDEX(Data_metier!$C:$C,MATCH($A9,Data_metier!$B:$B,0)),{"Non Concerné";"Niveau 1";"Niveau 2";"Niveau 3";"Niveau 4"},0)-1)&gt;(MATCH(INDEX(Data_metier!$C:$C,MATCH(AB$1,Data_metier!$B:$B,0)),{"Non Concerné";"Niveau 1";"Niveau 2";"Niveau 3";"Niveau 4"},0)-1),
1/6,0)+IF((MATCH(INDEX(Data_metier!$D:$D,MATCH($A9,Data_metier!$B:$B,0)),{"Non Concerné";"Niveau 1";"Niveau 2";"Niveau 3";"Niveau 4"},0)-1)&gt;(MATCH(INDEX(Data_metier!$D:$D,MATCH(AB$1,Data_metier!$B:$B,0)),{"Non Concerné";"Niveau 1";"Niveau 2";"Niveau 3";"Niveau 4"},0)-1),
1/6,0)+IF((MATCH(INDEX(Data_metier!$E:$E,MATCH($A9,Data_metier!$B:$B,0)),{"Non Concerné";"Niveau 1";"Niveau 2";"Niveau 3";"Niveau 4"},0)-1)&gt;(MATCH(INDEX(Data_metier!$E:$E,MATCH(AB$1,Data_metier!$B:$B,0)),{"Non Concerné";"Niveau 1";"Niveau 2";"Niveau 3";"Niveau 4"},0)-1),
1/6,0))</f>
        <v>-1</v>
      </c>
      <c r="AC9">
        <f>IF(DE_respon_transv!AC9=-1,-1,
DE_respon_transv!AC9+IF((MATCH(INDEX(Data_metier!$C:$C,MATCH($A9,Data_metier!$B:$B,0)),{"Non Concerné";"Niveau 1";"Niveau 2";"Niveau 3";"Niveau 4"},0)-1)&gt;(MATCH(INDEX(Data_metier!$C:$C,MATCH(AC$1,Data_metier!$B:$B,0)),{"Non Concerné";"Niveau 1";"Niveau 2";"Niveau 3";"Niveau 4"},0)-1),
1/6,0)+IF((MATCH(INDEX(Data_metier!$D:$D,MATCH($A9,Data_metier!$B:$B,0)),{"Non Concerné";"Niveau 1";"Niveau 2";"Niveau 3";"Niveau 4"},0)-1)&gt;(MATCH(INDEX(Data_metier!$D:$D,MATCH(AC$1,Data_metier!$B:$B,0)),{"Non Concerné";"Niveau 1";"Niveau 2";"Niveau 3";"Niveau 4"},0)-1),
1/6,0)+IF((MATCH(INDEX(Data_metier!$E:$E,MATCH($A9,Data_metier!$B:$B,0)),{"Non Concerné";"Niveau 1";"Niveau 2";"Niveau 3";"Niveau 4"},0)-1)&gt;(MATCH(INDEX(Data_metier!$E:$E,MATCH(AC$1,Data_metier!$B:$B,0)),{"Non Concerné";"Niveau 1";"Niveau 2";"Niveau 3";"Niveau 4"},0)-1),
1/6,0))</f>
        <v>-1</v>
      </c>
      <c r="AD9">
        <f>IF(DE_respon_transv!AD9=-1,-1,
DE_respon_transv!AD9+IF((MATCH(INDEX(Data_metier!$C:$C,MATCH($A9,Data_metier!$B:$B,0)),{"Non Concerné";"Niveau 1";"Niveau 2";"Niveau 3";"Niveau 4"},0)-1)&gt;(MATCH(INDEX(Data_metier!$C:$C,MATCH(AD$1,Data_metier!$B:$B,0)),{"Non Concerné";"Niveau 1";"Niveau 2";"Niveau 3";"Niveau 4"},0)-1),
1/6,0)+IF((MATCH(INDEX(Data_metier!$D:$D,MATCH($A9,Data_metier!$B:$B,0)),{"Non Concerné";"Niveau 1";"Niveau 2";"Niveau 3";"Niveau 4"},0)-1)&gt;(MATCH(INDEX(Data_metier!$D:$D,MATCH(AD$1,Data_metier!$B:$B,0)),{"Non Concerné";"Niveau 1";"Niveau 2";"Niveau 3";"Niveau 4"},0)-1),
1/6,0)+IF((MATCH(INDEX(Data_metier!$E:$E,MATCH($A9,Data_metier!$B:$B,0)),{"Non Concerné";"Niveau 1";"Niveau 2";"Niveau 3";"Niveau 4"},0)-1)&gt;(MATCH(INDEX(Data_metier!$E:$E,MATCH(AD$1,Data_metier!$B:$B,0)),{"Non Concerné";"Niveau 1";"Niveau 2";"Niveau 3";"Niveau 4"},0)-1),
1/6,0))</f>
        <v>-1</v>
      </c>
    </row>
    <row r="10" spans="1:30">
      <c r="A10" t="str">
        <v>Logisticien(ne) approvisionneur(se)</v>
      </c>
      <c r="B10">
        <f>IF(DE_respon_transv!B10=-1,-1,
DE_respon_transv!B10+IF((MATCH(INDEX(Data_metier!$C:$C,MATCH($A10,Data_metier!$B:$B,0)),{"Non Concerné";"Niveau 1";"Niveau 2";"Niveau 3";"Niveau 4"},0)-1)&gt;(MATCH(INDEX(Data_metier!$C:$C,MATCH(B$1,Data_metier!$B:$B,0)),{"Non Concerné";"Niveau 1";"Niveau 2";"Niveau 3";"Niveau 4"},0)-1),
1/6,0)+IF((MATCH(INDEX(Data_metier!$D:$D,MATCH($A10,Data_metier!$B:$B,0)),{"Non Concerné";"Niveau 1";"Niveau 2";"Niveau 3";"Niveau 4"},0)-1)&gt;(MATCH(INDEX(Data_metier!$D:$D,MATCH(B$1,Data_metier!$B:$B,0)),{"Non Concerné";"Niveau 1";"Niveau 2";"Niveau 3";"Niveau 4"},0)-1),
1/6,0)+IF((MATCH(INDEX(Data_metier!$E:$E,MATCH($A10,Data_metier!$B:$B,0)),{"Non Concerné";"Niveau 1";"Niveau 2";"Niveau 3";"Niveau 4"},0)-1)&gt;(MATCH(INDEX(Data_metier!$E:$E,MATCH(B$1,Data_metier!$B:$B,0)),{"Non Concerné";"Niveau 1";"Niveau 2";"Niveau 3";"Niveau 4"},0)-1),
1/6,0))</f>
        <v>2.4999999999999996</v>
      </c>
      <c r="C10">
        <f>IF(DE_respon_transv!C10=-1,-1,
DE_respon_transv!C10+IF((MATCH(INDEX(Data_metier!$C:$C,MATCH($A10,Data_metier!$B:$B,0)),{"Non Concerné";"Niveau 1";"Niveau 2";"Niveau 3";"Niveau 4"},0)-1)&gt;(MATCH(INDEX(Data_metier!$C:$C,MATCH(C$1,Data_metier!$B:$B,0)),{"Non Concerné";"Niveau 1";"Niveau 2";"Niveau 3";"Niveau 4"},0)-1),
1/6,0)+IF((MATCH(INDEX(Data_metier!$D:$D,MATCH($A10,Data_metier!$B:$B,0)),{"Non Concerné";"Niveau 1";"Niveau 2";"Niveau 3";"Niveau 4"},0)-1)&gt;(MATCH(INDEX(Data_metier!$D:$D,MATCH(C$1,Data_metier!$B:$B,0)),{"Non Concerné";"Niveau 1";"Niveau 2";"Niveau 3";"Niveau 4"},0)-1),
1/6,0)+IF((MATCH(INDEX(Data_metier!$E:$E,MATCH($A10,Data_metier!$B:$B,0)),{"Non Concerné";"Niveau 1";"Niveau 2";"Niveau 3";"Niveau 4"},0)-1)&gt;(MATCH(INDEX(Data_metier!$E:$E,MATCH(C$1,Data_metier!$B:$B,0)),{"Non Concerné";"Niveau 1";"Niveau 2";"Niveau 3";"Niveau 4"},0)-1),
1/6,0))</f>
        <v>2.333333333333333</v>
      </c>
      <c r="D10">
        <f>IF(DE_respon_transv!D10=-1,-1,
DE_respon_transv!D10+IF((MATCH(INDEX(Data_metier!$C:$C,MATCH($A10,Data_metier!$B:$B,0)),{"Non Concerné";"Niveau 1";"Niveau 2";"Niveau 3";"Niveau 4"},0)-1)&gt;(MATCH(INDEX(Data_metier!$C:$C,MATCH(D$1,Data_metier!$B:$B,0)),{"Non Concerné";"Niveau 1";"Niveau 2";"Niveau 3";"Niveau 4"},0)-1),
1/6,0)+IF((MATCH(INDEX(Data_metier!$D:$D,MATCH($A10,Data_metier!$B:$B,0)),{"Non Concerné";"Niveau 1";"Niveau 2";"Niveau 3";"Niveau 4"},0)-1)&gt;(MATCH(INDEX(Data_metier!$D:$D,MATCH(D$1,Data_metier!$B:$B,0)),{"Non Concerné";"Niveau 1";"Niveau 2";"Niveau 3";"Niveau 4"},0)-1),
1/6,0)+IF((MATCH(INDEX(Data_metier!$E:$E,MATCH($A10,Data_metier!$B:$B,0)),{"Non Concerné";"Niveau 1";"Niveau 2";"Niveau 3";"Niveau 4"},0)-1)&gt;(MATCH(INDEX(Data_metier!$E:$E,MATCH(D$1,Data_metier!$B:$B,0)),{"Non Concerné";"Niveau 1";"Niveau 2";"Niveau 3";"Niveau 4"},0)-1),
1/6,0))</f>
        <v>2.4999999999999996</v>
      </c>
      <c r="E10">
        <f>IF(DE_respon_transv!E10=-1,-1,
DE_respon_transv!E10+IF((MATCH(INDEX(Data_metier!$C:$C,MATCH($A10,Data_metier!$B:$B,0)),{"Non Concerné";"Niveau 1";"Niveau 2";"Niveau 3";"Niveau 4"},0)-1)&gt;(MATCH(INDEX(Data_metier!$C:$C,MATCH(E$1,Data_metier!$B:$B,0)),{"Non Concerné";"Niveau 1";"Niveau 2";"Niveau 3";"Niveau 4"},0)-1),
1/6,0)+IF((MATCH(INDEX(Data_metier!$D:$D,MATCH($A10,Data_metier!$B:$B,0)),{"Non Concerné";"Niveau 1";"Niveau 2";"Niveau 3";"Niveau 4"},0)-1)&gt;(MATCH(INDEX(Data_metier!$D:$D,MATCH(E$1,Data_metier!$B:$B,0)),{"Non Concerné";"Niveau 1";"Niveau 2";"Niveau 3";"Niveau 4"},0)-1),
1/6,0)+IF((MATCH(INDEX(Data_metier!$E:$E,MATCH($A10,Data_metier!$B:$B,0)),{"Non Concerné";"Niveau 1";"Niveau 2";"Niveau 3";"Niveau 4"},0)-1)&gt;(MATCH(INDEX(Data_metier!$E:$E,MATCH(E$1,Data_metier!$B:$B,0)),{"Non Concerné";"Niveau 1";"Niveau 2";"Niveau 3";"Niveau 4"},0)-1),
1/6,0))</f>
        <v>0</v>
      </c>
      <c r="F10">
        <f>IF(DE_respon_transv!F10=-1,-1,
DE_respon_transv!F10+IF((MATCH(INDEX(Data_metier!$C:$C,MATCH($A10,Data_metier!$B:$B,0)),{"Non Concerné";"Niveau 1";"Niveau 2";"Niveau 3";"Niveau 4"},0)-1)&gt;(MATCH(INDEX(Data_metier!$C:$C,MATCH(F$1,Data_metier!$B:$B,0)),{"Non Concerné";"Niveau 1";"Niveau 2";"Niveau 3";"Niveau 4"},0)-1),
1/6,0)+IF((MATCH(INDEX(Data_metier!$D:$D,MATCH($A10,Data_metier!$B:$B,0)),{"Non Concerné";"Niveau 1";"Niveau 2";"Niveau 3";"Niveau 4"},0)-1)&gt;(MATCH(INDEX(Data_metier!$D:$D,MATCH(F$1,Data_metier!$B:$B,0)),{"Non Concerné";"Niveau 1";"Niveau 2";"Niveau 3";"Niveau 4"},0)-1),
1/6,0)+IF((MATCH(INDEX(Data_metier!$E:$E,MATCH($A10,Data_metier!$B:$B,0)),{"Non Concerné";"Niveau 1";"Niveau 2";"Niveau 3";"Niveau 4"},0)-1)&gt;(MATCH(INDEX(Data_metier!$E:$E,MATCH(F$1,Data_metier!$B:$B,0)),{"Non Concerné";"Niveau 1";"Niveau 2";"Niveau 3";"Niveau 4"},0)-1),
1/6,0))</f>
        <v>-1</v>
      </c>
      <c r="G10">
        <f>IF(DE_respon_transv!G10=-1,-1,
DE_respon_transv!G10+IF((MATCH(INDEX(Data_metier!$C:$C,MATCH($A10,Data_metier!$B:$B,0)),{"Non Concerné";"Niveau 1";"Niveau 2";"Niveau 3";"Niveau 4"},0)-1)&gt;(MATCH(INDEX(Data_metier!$C:$C,MATCH(G$1,Data_metier!$B:$B,0)),{"Non Concerné";"Niveau 1";"Niveau 2";"Niveau 3";"Niveau 4"},0)-1),
1/6,0)+IF((MATCH(INDEX(Data_metier!$D:$D,MATCH($A10,Data_metier!$B:$B,0)),{"Non Concerné";"Niveau 1";"Niveau 2";"Niveau 3";"Niveau 4"},0)-1)&gt;(MATCH(INDEX(Data_metier!$D:$D,MATCH(G$1,Data_metier!$B:$B,0)),{"Non Concerné";"Niveau 1";"Niveau 2";"Niveau 3";"Niveau 4"},0)-1),
1/6,0)+IF((MATCH(INDEX(Data_metier!$E:$E,MATCH($A10,Data_metier!$B:$B,0)),{"Non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10">
        <f>IF(DE_respon_transv!H10=-1,-1,
DE_respon_transv!H10+IF((MATCH(INDEX(Data_metier!$C:$C,MATCH($A10,Data_metier!$B:$B,0)),{"Non Concerné";"Niveau 1";"Niveau 2";"Niveau 3";"Niveau 4"},0)-1)&gt;(MATCH(INDEX(Data_metier!$C:$C,MATCH(H$1,Data_metier!$B:$B,0)),{"Non Concerné";"Niveau 1";"Niveau 2";"Niveau 3";"Niveau 4"},0)-1),
1/6,0)+IF((MATCH(INDEX(Data_metier!$D:$D,MATCH($A10,Data_metier!$B:$B,0)),{"Non Concerné";"Niveau 1";"Niveau 2";"Niveau 3";"Niveau 4"},0)-1)&gt;(MATCH(INDEX(Data_metier!$D:$D,MATCH(H$1,Data_metier!$B:$B,0)),{"Non Concerné";"Niveau 1";"Niveau 2";"Niveau 3";"Niveau 4"},0)-1),
1/6,0)+IF((MATCH(INDEX(Data_metier!$E:$E,MATCH($A10,Data_metier!$B:$B,0)),{"Non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10">
        <f>IF(DE_respon_transv!I10=-1,-1,
DE_respon_transv!I10+IF((MATCH(INDEX(Data_metier!$C:$C,MATCH($A10,Data_metier!$B:$B,0)),{"Non Concerné";"Niveau 1";"Niveau 2";"Niveau 3";"Niveau 4"},0)-1)&gt;(MATCH(INDEX(Data_metier!$C:$C,MATCH(I$1,Data_metier!$B:$B,0)),{"Non Concerné";"Niveau 1";"Niveau 2";"Niveau 3";"Niveau 4"},0)-1),
1/6,0)+IF((MATCH(INDEX(Data_metier!$D:$D,MATCH($A10,Data_metier!$B:$B,0)),{"Non Concerné";"Niveau 1";"Niveau 2";"Niveau 3";"Niveau 4"},0)-1)&gt;(MATCH(INDEX(Data_metier!$D:$D,MATCH(I$1,Data_metier!$B:$B,0)),{"Non Concerné";"Niveau 1";"Niveau 2";"Niveau 3";"Niveau 4"},0)-1),
1/6,0)+IF((MATCH(INDEX(Data_metier!$E:$E,MATCH($A10,Data_metier!$B:$B,0)),{"Non Concerné";"Niveau 1";"Niveau 2";"Niveau 3";"Niveau 4"},0)-1)&gt;(MATCH(INDEX(Data_metier!$E:$E,MATCH(I$1,Data_metier!$B:$B,0)),{"Non Concerné";"Niveau 1";"Niveau 2";"Niveau 3";"Niveau 4"},0)-1),
1/6,0))</f>
        <v>2.4999999999999996</v>
      </c>
      <c r="J10">
        <f>IF(DE_respon_transv!J10=-1,-1,
DE_respon_transv!J10+IF((MATCH(INDEX(Data_metier!$C:$C,MATCH($A10,Data_metier!$B:$B,0)),{"Non Concerné";"Niveau 1";"Niveau 2";"Niveau 3";"Niveau 4"},0)-1)&gt;(MATCH(INDEX(Data_metier!$C:$C,MATCH(J$1,Data_metier!$B:$B,0)),{"Non Concerné";"Niveau 1";"Niveau 2";"Niveau 3";"Niveau 4"},0)-1),
1/6,0)+IF((MATCH(INDEX(Data_metier!$D:$D,MATCH($A10,Data_metier!$B:$B,0)),{"Non Concerné";"Niveau 1";"Niveau 2";"Niveau 3";"Niveau 4"},0)-1)&gt;(MATCH(INDEX(Data_metier!$D:$D,MATCH(J$1,Data_metier!$B:$B,0)),{"Non Concerné";"Niveau 1";"Niveau 2";"Niveau 3";"Niveau 4"},0)-1),
1/6,0)+IF((MATCH(INDEX(Data_metier!$E:$E,MATCH($A10,Data_metier!$B:$B,0)),{"Non Concerné";"Niveau 1";"Niveau 2";"Niveau 3";"Niveau 4"},0)-1)&gt;(MATCH(INDEX(Data_metier!$E:$E,MATCH(J$1,Data_metier!$B:$B,0)),{"Non Concerné";"Niveau 1";"Niveau 2";"Niveau 3";"Niveau 4"},0)-1),
1/6,0))</f>
        <v>0</v>
      </c>
      <c r="K10">
        <f>IF(DE_respon_transv!K10=-1,-1,
DE_respon_transv!K10+IF((MATCH(INDEX(Data_metier!$C:$C,MATCH($A10,Data_metier!$B:$B,0)),{"Non Concerné";"Niveau 1";"Niveau 2";"Niveau 3";"Niveau 4"},0)-1)&gt;(MATCH(INDEX(Data_metier!$C:$C,MATCH(K$1,Data_metier!$B:$B,0)),{"Non Concerné";"Niveau 1";"Niveau 2";"Niveau 3";"Niveau 4"},0)-1),
1/6,0)+IF((MATCH(INDEX(Data_metier!$D:$D,MATCH($A10,Data_metier!$B:$B,0)),{"Non Concerné";"Niveau 1";"Niveau 2";"Niveau 3";"Niveau 4"},0)-1)&gt;(MATCH(INDEX(Data_metier!$D:$D,MATCH(K$1,Data_metier!$B:$B,0)),{"Non Concerné";"Niveau 1";"Niveau 2";"Niveau 3";"Niveau 4"},0)-1),
1/6,0)+IF((MATCH(INDEX(Data_metier!$E:$E,MATCH($A10,Data_metier!$B:$B,0)),{"Non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10">
        <f>IF(DE_respon_transv!L10=-1,-1,
DE_respon_transv!L10+IF((MATCH(INDEX(Data_metier!$C:$C,MATCH($A10,Data_metier!$B:$B,0)),{"Non Concerné";"Niveau 1";"Niveau 2";"Niveau 3";"Niveau 4"},0)-1)&gt;(MATCH(INDEX(Data_metier!$C:$C,MATCH(L$1,Data_metier!$B:$B,0)),{"Non Concerné";"Niveau 1";"Niveau 2";"Niveau 3";"Niveau 4"},0)-1),
1/6,0)+IF((MATCH(INDEX(Data_metier!$D:$D,MATCH($A10,Data_metier!$B:$B,0)),{"Non Concerné";"Niveau 1";"Niveau 2";"Niveau 3";"Niveau 4"},0)-1)&gt;(MATCH(INDEX(Data_metier!$D:$D,MATCH(L$1,Data_metier!$B:$B,0)),{"Non Concerné";"Niveau 1";"Niveau 2";"Niveau 3";"Niveau 4"},0)-1),
1/6,0)+IF((MATCH(INDEX(Data_metier!$E:$E,MATCH($A10,Data_metier!$B:$B,0)),{"Non Concerné";"Niveau 1";"Niveau 2";"Niveau 3";"Niveau 4"},0)-1)&gt;(MATCH(INDEX(Data_metier!$E:$E,MATCH(L$1,Data_metier!$B:$B,0)),{"Non Concerné";"Niveau 1";"Niveau 2";"Niveau 3";"Niveau 4"},0)-1),
1/6,0))</f>
        <v>2.1666666666666665</v>
      </c>
      <c r="M10">
        <f>IF(DE_respon_transv!M10=-1,-1,
DE_respon_transv!M10+IF((MATCH(INDEX(Data_metier!$C:$C,MATCH($A10,Data_metier!$B:$B,0)),{"Non Concerné";"Niveau 1";"Niveau 2";"Niveau 3";"Niveau 4"},0)-1)&gt;(MATCH(INDEX(Data_metier!$C:$C,MATCH(M$1,Data_metier!$B:$B,0)),{"Non Concerné";"Niveau 1";"Niveau 2";"Niveau 3";"Niveau 4"},0)-1),
1/6,0)+IF((MATCH(INDEX(Data_metier!$D:$D,MATCH($A10,Data_metier!$B:$B,0)),{"Non Concerné";"Niveau 1";"Niveau 2";"Niveau 3";"Niveau 4"},0)-1)&gt;(MATCH(INDEX(Data_metier!$D:$D,MATCH(M$1,Data_metier!$B:$B,0)),{"Non Concerné";"Niveau 1";"Niveau 2";"Niveau 3";"Niveau 4"},0)-1),
1/6,0)+IF((MATCH(INDEX(Data_metier!$E:$E,MATCH($A10,Data_metier!$B:$B,0)),{"Non Concerné";"Niveau 1";"Niveau 2";"Niveau 3";"Niveau 4"},0)-1)&gt;(MATCH(INDEX(Data_metier!$E:$E,MATCH(M$1,Data_metier!$B:$B,0)),{"Non Concerné";"Niveau 1";"Niveau 2";"Niveau 3";"Niveau 4"},0)-1),
1/6,0))</f>
        <v>2.333333333333333</v>
      </c>
      <c r="N10">
        <f>IF(DE_respon_transv!N10=-1,-1,
DE_respon_transv!N10+IF((MATCH(INDEX(Data_metier!$C:$C,MATCH($A10,Data_metier!$B:$B,0)),{"Non Concerné";"Niveau 1";"Niveau 2";"Niveau 3";"Niveau 4"},0)-1)&gt;(MATCH(INDEX(Data_metier!$C:$C,MATCH(N$1,Data_metier!$B:$B,0)),{"Non Concerné";"Niveau 1";"Niveau 2";"Niveau 3";"Niveau 4"},0)-1),
1/6,0)+IF((MATCH(INDEX(Data_metier!$D:$D,MATCH($A10,Data_metier!$B:$B,0)),{"Non Concerné";"Niveau 1";"Niveau 2";"Niveau 3";"Niveau 4"},0)-1)&gt;(MATCH(INDEX(Data_metier!$D:$D,MATCH(N$1,Data_metier!$B:$B,0)),{"Non Concerné";"Niveau 1";"Niveau 2";"Niveau 3";"Niveau 4"},0)-1),
1/6,0)+IF((MATCH(INDEX(Data_metier!$E:$E,MATCH($A10,Data_metier!$B:$B,0)),{"Non Concerné";"Niveau 1";"Niveau 2";"Niveau 3";"Niveau 4"},0)-1)&gt;(MATCH(INDEX(Data_metier!$E:$E,MATCH(N$1,Data_metier!$B:$B,0)),{"Non Concerné";"Niveau 1";"Niveau 2";"Niveau 3";"Niveau 4"},0)-1),
1/6,0))</f>
        <v>1</v>
      </c>
      <c r="O10">
        <f>IF(DE_respon_transv!O10=-1,-1,
DE_respon_transv!O10+IF((MATCH(INDEX(Data_metier!$C:$C,MATCH($A10,Data_metier!$B:$B,0)),{"Non Concerné";"Niveau 1";"Niveau 2";"Niveau 3";"Niveau 4"},0)-1)&gt;(MATCH(INDEX(Data_metier!$C:$C,MATCH(O$1,Data_metier!$B:$B,0)),{"Non Concerné";"Niveau 1";"Niveau 2";"Niveau 3";"Niveau 4"},0)-1),
1/6,0)+IF((MATCH(INDEX(Data_metier!$D:$D,MATCH($A10,Data_metier!$B:$B,0)),{"Non Concerné";"Niveau 1";"Niveau 2";"Niveau 3";"Niveau 4"},0)-1)&gt;(MATCH(INDEX(Data_metier!$D:$D,MATCH(O$1,Data_metier!$B:$B,0)),{"Non Concerné";"Niveau 1";"Niveau 2";"Niveau 3";"Niveau 4"},0)-1),
1/6,0)+IF((MATCH(INDEX(Data_metier!$E:$E,MATCH($A10,Data_metier!$B:$B,0)),{"Non Concerné";"Niveau 1";"Niveau 2";"Niveau 3";"Niveau 4"},0)-1)&gt;(MATCH(INDEX(Data_metier!$E:$E,MATCH(O$1,Data_metier!$B:$B,0)),{"Non Concerné";"Niveau 1";"Niveau 2";"Niveau 3";"Niveau 4"},0)-1),
1/6,0))</f>
        <v>2.1666666666666665</v>
      </c>
      <c r="P10">
        <f>IF(DE_respon_transv!P10=-1,-1,
DE_respon_transv!P10+IF((MATCH(INDEX(Data_metier!$C:$C,MATCH($A10,Data_metier!$B:$B,0)),{"Non Concerné";"Niveau 1";"Niveau 2";"Niveau 3";"Niveau 4"},0)-1)&gt;(MATCH(INDEX(Data_metier!$C:$C,MATCH(P$1,Data_metier!$B:$B,0)),{"Non Concerné";"Niveau 1";"Niveau 2";"Niveau 3";"Niveau 4"},0)-1),
1/6,0)+IF((MATCH(INDEX(Data_metier!$D:$D,MATCH($A10,Data_metier!$B:$B,0)),{"Non Concerné";"Niveau 1";"Niveau 2";"Niveau 3";"Niveau 4"},0)-1)&gt;(MATCH(INDEX(Data_metier!$D:$D,MATCH(P$1,Data_metier!$B:$B,0)),{"Non Concerné";"Niveau 1";"Niveau 2";"Niveau 3";"Niveau 4"},0)-1),
1/6,0)+IF((MATCH(INDEX(Data_metier!$E:$E,MATCH($A10,Data_metier!$B:$B,0)),{"Non Concerné";"Niveau 1";"Niveau 2";"Niveau 3";"Niveau 4"},0)-1)&gt;(MATCH(INDEX(Data_metier!$E:$E,MATCH(P$1,Data_metier!$B:$B,0)),{"Non Concerné";"Niveau 1";"Niveau 2";"Niveau 3";"Niveau 4"},0)-1),
1/6,0))</f>
        <v>2.4999999999999996</v>
      </c>
      <c r="Q10">
        <f>IF(DE_respon_transv!Q10=-1,-1,
DE_respon_transv!Q10+IF((MATCH(INDEX(Data_metier!$C:$C,MATCH($A10,Data_metier!$B:$B,0)),{"Non Concerné";"Niveau 1";"Niveau 2";"Niveau 3";"Niveau 4"},0)-1)&gt;(MATCH(INDEX(Data_metier!$C:$C,MATCH(Q$1,Data_metier!$B:$B,0)),{"Non Concerné";"Niveau 1";"Niveau 2";"Niveau 3";"Niveau 4"},0)-1),
1/6,0)+IF((MATCH(INDEX(Data_metier!$D:$D,MATCH($A10,Data_metier!$B:$B,0)),{"Non Concerné";"Niveau 1";"Niveau 2";"Niveau 3";"Niveau 4"},0)-1)&gt;(MATCH(INDEX(Data_metier!$D:$D,MATCH(Q$1,Data_metier!$B:$B,0)),{"Non Concerné";"Niveau 1";"Niveau 2";"Niveau 3";"Niveau 4"},0)-1),
1/6,0)+IF((MATCH(INDEX(Data_metier!$E:$E,MATCH($A10,Data_metier!$B:$B,0)),{"Non Concerné";"Niveau 1";"Niveau 2";"Niveau 3";"Niveau 4"},0)-1)&gt;(MATCH(INDEX(Data_metier!$E:$E,MATCH(Q$1,Data_metier!$B:$B,0)),{"Non Concerné";"Niveau 1";"Niveau 2";"Niveau 3";"Niveau 4"},0)-1),
1/6,0))</f>
        <v>0</v>
      </c>
      <c r="R10">
        <f>IF(DE_respon_transv!R10=-1,-1,
DE_respon_transv!R10+IF((MATCH(INDEX(Data_metier!$C:$C,MATCH($A10,Data_metier!$B:$B,0)),{"Non Concerné";"Niveau 1";"Niveau 2";"Niveau 3";"Niveau 4"},0)-1)&gt;(MATCH(INDEX(Data_metier!$C:$C,MATCH(R$1,Data_metier!$B:$B,0)),{"Non Concerné";"Niveau 1";"Niveau 2";"Niveau 3";"Niveau 4"},0)-1),
1/6,0)+IF((MATCH(INDEX(Data_metier!$D:$D,MATCH($A10,Data_metier!$B:$B,0)),{"Non Concerné";"Niveau 1";"Niveau 2";"Niveau 3";"Niveau 4"},0)-1)&gt;(MATCH(INDEX(Data_metier!$D:$D,MATCH(R$1,Data_metier!$B:$B,0)),{"Non Concerné";"Niveau 1";"Niveau 2";"Niveau 3";"Niveau 4"},0)-1),
1/6,0)+IF((MATCH(INDEX(Data_metier!$E:$E,MATCH($A10,Data_metier!$B:$B,0)),{"Non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10">
        <f>IF(DE_respon_transv!S10=-1,-1,
DE_respon_transv!S10+IF((MATCH(INDEX(Data_metier!$C:$C,MATCH($A10,Data_metier!$B:$B,0)),{"Non Concerné";"Niveau 1";"Niveau 2";"Niveau 3";"Niveau 4"},0)-1)&gt;(MATCH(INDEX(Data_metier!$C:$C,MATCH(S$1,Data_metier!$B:$B,0)),{"Non Concerné";"Niveau 1";"Niveau 2";"Niveau 3";"Niveau 4"},0)-1),
1/6,0)+IF((MATCH(INDEX(Data_metier!$D:$D,MATCH($A10,Data_metier!$B:$B,0)),{"Non Concerné";"Niveau 1";"Niveau 2";"Niveau 3";"Niveau 4"},0)-1)&gt;(MATCH(INDEX(Data_metier!$D:$D,MATCH(S$1,Data_metier!$B:$B,0)),{"Non Concerné";"Niveau 1";"Niveau 2";"Niveau 3";"Niveau 4"},0)-1),
1/6,0)+IF((MATCH(INDEX(Data_metier!$E:$E,MATCH($A10,Data_metier!$B:$B,0)),{"Non Concerné";"Niveau 1";"Niveau 2";"Niveau 3";"Niveau 4"},0)-1)&gt;(MATCH(INDEX(Data_metier!$E:$E,MATCH(S$1,Data_metier!$B:$B,0)),{"Non Concerné";"Niveau 1";"Niveau 2";"Niveau 3";"Niveau 4"},0)-1),
1/6,0))</f>
        <v>2.4999999999999996</v>
      </c>
      <c r="T10">
        <f>IF(DE_respon_transv!T10=-1,-1,
DE_respon_transv!T10+IF((MATCH(INDEX(Data_metier!$C:$C,MATCH($A10,Data_metier!$B:$B,0)),{"Non Concerné";"Niveau 1";"Niveau 2";"Niveau 3";"Niveau 4"},0)-1)&gt;(MATCH(INDEX(Data_metier!$C:$C,MATCH(T$1,Data_metier!$B:$B,0)),{"Non Concerné";"Niveau 1";"Niveau 2";"Niveau 3";"Niveau 4"},0)-1),
1/6,0)+IF((MATCH(INDEX(Data_metier!$D:$D,MATCH($A10,Data_metier!$B:$B,0)),{"Non Concerné";"Niveau 1";"Niveau 2";"Niveau 3";"Niveau 4"},0)-1)&gt;(MATCH(INDEX(Data_metier!$D:$D,MATCH(T$1,Data_metier!$B:$B,0)),{"Non Concerné";"Niveau 1";"Niveau 2";"Niveau 3";"Niveau 4"},0)-1),
1/6,0)+IF((MATCH(INDEX(Data_metier!$E:$E,MATCH($A10,Data_metier!$B:$B,0)),{"Non Concerné";"Niveau 1";"Niveau 2";"Niveau 3";"Niveau 4"},0)-1)&gt;(MATCH(INDEX(Data_metier!$E:$E,MATCH(T$1,Data_metier!$B:$B,0)),{"Non Concerné";"Niveau 1";"Niveau 2";"Niveau 3";"Niveau 4"},0)-1),
1/6,0))</f>
        <v>2.4999999999999996</v>
      </c>
      <c r="U10">
        <f>IF(DE_respon_transv!U10=-1,-1,
DE_respon_transv!U10+IF((MATCH(INDEX(Data_metier!$C:$C,MATCH($A10,Data_metier!$B:$B,0)),{"Non Concerné";"Niveau 1";"Niveau 2";"Niveau 3";"Niveau 4"},0)-1)&gt;(MATCH(INDEX(Data_metier!$C:$C,MATCH(U$1,Data_metier!$B:$B,0)),{"Non Concerné";"Niveau 1";"Niveau 2";"Niveau 3";"Niveau 4"},0)-1),
1/6,0)+IF((MATCH(INDEX(Data_metier!$D:$D,MATCH($A10,Data_metier!$B:$B,0)),{"Non Concerné";"Niveau 1";"Niveau 2";"Niveau 3";"Niveau 4"},0)-1)&gt;(MATCH(INDEX(Data_metier!$D:$D,MATCH(U$1,Data_metier!$B:$B,0)),{"Non Concerné";"Niveau 1";"Niveau 2";"Niveau 3";"Niveau 4"},0)-1),
1/6,0)+IF((MATCH(INDEX(Data_metier!$E:$E,MATCH($A10,Data_metier!$B:$B,0)),{"Non Concerné";"Niveau 1";"Niveau 2";"Niveau 3";"Niveau 4"},0)-1)&gt;(MATCH(INDEX(Data_metier!$E:$E,MATCH(U$1,Data_metier!$B:$B,0)),{"Non Concerné";"Niveau 1";"Niveau 2";"Niveau 3";"Niveau 4"},0)-1),
1/6,0))</f>
        <v>2.4999999999999996</v>
      </c>
      <c r="V10">
        <f>IF(DE_respon_transv!V10=-1,-1,
DE_respon_transv!V10+IF((MATCH(INDEX(Data_metier!$C:$C,MATCH($A10,Data_metier!$B:$B,0)),{"Non Concerné";"Niveau 1";"Niveau 2";"Niveau 3";"Niveau 4"},0)-1)&gt;(MATCH(INDEX(Data_metier!$C:$C,MATCH(V$1,Data_metier!$B:$B,0)),{"Non Concerné";"Niveau 1";"Niveau 2";"Niveau 3";"Niveau 4"},0)-1),
1/6,0)+IF((MATCH(INDEX(Data_metier!$D:$D,MATCH($A10,Data_metier!$B:$B,0)),{"Non Concerné";"Niveau 1";"Niveau 2";"Niveau 3";"Niveau 4"},0)-1)&gt;(MATCH(INDEX(Data_metier!$D:$D,MATCH(V$1,Data_metier!$B:$B,0)),{"Non Concerné";"Niveau 1";"Niveau 2";"Niveau 3";"Niveau 4"},0)-1),
1/6,0)+IF((MATCH(INDEX(Data_metier!$E:$E,MATCH($A10,Data_metier!$B:$B,0)),{"Non Concerné";"Niveau 1";"Niveau 2";"Niveau 3";"Niveau 4"},0)-1)&gt;(MATCH(INDEX(Data_metier!$E:$E,MATCH(V$1,Data_metier!$B:$B,0)),{"Non Concerné";"Niveau 1";"Niveau 2";"Niveau 3";"Niveau 4"},0)-1),
1/6,0))</f>
        <v>2.1666666666666665</v>
      </c>
      <c r="W10">
        <f>IF(DE_respon_transv!W10=-1,-1,
DE_respon_transv!W10+IF((MATCH(INDEX(Data_metier!$C:$C,MATCH($A10,Data_metier!$B:$B,0)),{"Non Concerné";"Niveau 1";"Niveau 2";"Niveau 3";"Niveau 4"},0)-1)&gt;(MATCH(INDEX(Data_metier!$C:$C,MATCH(W$1,Data_metier!$B:$B,0)),{"Non Concerné";"Niveau 1";"Niveau 2";"Niveau 3";"Niveau 4"},0)-1),
1/6,0)+IF((MATCH(INDEX(Data_metier!$D:$D,MATCH($A10,Data_metier!$B:$B,0)),{"Non Concerné";"Niveau 1";"Niveau 2";"Niveau 3";"Niveau 4"},0)-1)&gt;(MATCH(INDEX(Data_metier!$D:$D,MATCH(W$1,Data_metier!$B:$B,0)),{"Non Concerné";"Niveau 1";"Niveau 2";"Niveau 3";"Niveau 4"},0)-1),
1/6,0)+IF((MATCH(INDEX(Data_metier!$E:$E,MATCH($A10,Data_metier!$B:$B,0)),{"Non Concerné";"Niveau 1";"Niveau 2";"Niveau 3";"Niveau 4"},0)-1)&gt;(MATCH(INDEX(Data_metier!$E:$E,MATCH(W$1,Data_metier!$B:$B,0)),{"Non Concerné";"Niveau 1";"Niveau 2";"Niveau 3";"Niveau 4"},0)-1),
1/6,0))</f>
        <v>2.1666666666666665</v>
      </c>
      <c r="X10">
        <f>IF(DE_respon_transv!X10=-1,-1,
DE_respon_transv!X10+IF((MATCH(INDEX(Data_metier!$C:$C,MATCH($A10,Data_metier!$B:$B,0)),{"Non Concerné";"Niveau 1";"Niveau 2";"Niveau 3";"Niveau 4"},0)-1)&gt;(MATCH(INDEX(Data_metier!$C:$C,MATCH(X$1,Data_metier!$B:$B,0)),{"Non Concerné";"Niveau 1";"Niveau 2";"Niveau 3";"Niveau 4"},0)-1),
1/6,0)+IF((MATCH(INDEX(Data_metier!$D:$D,MATCH($A10,Data_metier!$B:$B,0)),{"Non Concerné";"Niveau 1";"Niveau 2";"Niveau 3";"Niveau 4"},0)-1)&gt;(MATCH(INDEX(Data_metier!$D:$D,MATCH(X$1,Data_metier!$B:$B,0)),{"Non Concerné";"Niveau 1";"Niveau 2";"Niveau 3";"Niveau 4"},0)-1),
1/6,0)+IF((MATCH(INDEX(Data_metier!$E:$E,MATCH($A10,Data_metier!$B:$B,0)),{"Non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10">
        <f>IF(DE_respon_transv!Y10=-1,-1,
DE_respon_transv!Y10+IF((MATCH(INDEX(Data_metier!$C:$C,MATCH($A10,Data_metier!$B:$B,0)),{"Non Concerné";"Niveau 1";"Niveau 2";"Niveau 3";"Niveau 4"},0)-1)&gt;(MATCH(INDEX(Data_metier!$C:$C,MATCH(Y$1,Data_metier!$B:$B,0)),{"Non Concerné";"Niveau 1";"Niveau 2";"Niveau 3";"Niveau 4"},0)-1),
1/6,0)+IF((MATCH(INDEX(Data_metier!$D:$D,MATCH($A10,Data_metier!$B:$B,0)),{"Non Concerné";"Niveau 1";"Niveau 2";"Niveau 3";"Niveau 4"},0)-1)&gt;(MATCH(INDEX(Data_metier!$D:$D,MATCH(Y$1,Data_metier!$B:$B,0)),{"Non Concerné";"Niveau 1";"Niveau 2";"Niveau 3";"Niveau 4"},0)-1),
1/6,0)+IF((MATCH(INDEX(Data_metier!$E:$E,MATCH($A10,Data_metier!$B:$B,0)),{"Non Concerné";"Niveau 1";"Niveau 2";"Niveau 3";"Niveau 4"},0)-1)&gt;(MATCH(INDEX(Data_metier!$E:$E,MATCH(Y$1,Data_metier!$B:$B,0)),{"Non Concerné";"Niveau 1";"Niveau 2";"Niveau 3";"Niveau 4"},0)-1),
1/6,0))</f>
        <v>2.4999999999999996</v>
      </c>
      <c r="Z10">
        <f>IF(DE_respon_transv!Z10=-1,-1,
DE_respon_transv!Z10+IF((MATCH(INDEX(Data_metier!$C:$C,MATCH($A10,Data_metier!$B:$B,0)),{"Non Concerné";"Niveau 1";"Niveau 2";"Niveau 3";"Niveau 4"},0)-1)&gt;(MATCH(INDEX(Data_metier!$C:$C,MATCH(Z$1,Data_metier!$B:$B,0)),{"Non Concerné";"Niveau 1";"Niveau 2";"Niveau 3";"Niveau 4"},0)-1),
1/6,0)+IF((MATCH(INDEX(Data_metier!$D:$D,MATCH($A10,Data_metier!$B:$B,0)),{"Non Concerné";"Niveau 1";"Niveau 2";"Niveau 3";"Niveau 4"},0)-1)&gt;(MATCH(INDEX(Data_metier!$D:$D,MATCH(Z$1,Data_metier!$B:$B,0)),{"Non Concerné";"Niveau 1";"Niveau 2";"Niveau 3";"Niveau 4"},0)-1),
1/6,0)+IF((MATCH(INDEX(Data_metier!$E:$E,MATCH($A10,Data_metier!$B:$B,0)),{"Non Concerné";"Niveau 1";"Niveau 2";"Niveau 3";"Niveau 4"},0)-1)&gt;(MATCH(INDEX(Data_metier!$E:$E,MATCH(Z$1,Data_metier!$B:$B,0)),{"Non Concerné";"Niveau 1";"Niveau 2";"Niveau 3";"Niveau 4"},0)-1),
1/6,0))</f>
        <v>2.4999999999999996</v>
      </c>
      <c r="AA10">
        <f>IF(DE_respon_transv!AA10=-1,-1,
DE_respon_transv!AA10+IF((MATCH(INDEX(Data_metier!$C:$C,MATCH($A10,Data_metier!$B:$B,0)),{"Non Concerné";"Niveau 1";"Niveau 2";"Niveau 3";"Niveau 4"},0)-1)&gt;(MATCH(INDEX(Data_metier!$C:$C,MATCH(AA$1,Data_metier!$B:$B,0)),{"Non Concerné";"Niveau 1";"Niveau 2";"Niveau 3";"Niveau 4"},0)-1),
1/6,0)+IF((MATCH(INDEX(Data_metier!$D:$D,MATCH($A10,Data_metier!$B:$B,0)),{"Non Concerné";"Niveau 1";"Niveau 2";"Niveau 3";"Niveau 4"},0)-1)&gt;(MATCH(INDEX(Data_metier!$D:$D,MATCH(AA$1,Data_metier!$B:$B,0)),{"Non Concerné";"Niveau 1";"Niveau 2";"Niveau 3";"Niveau 4"},0)-1),
1/6,0)+IF((MATCH(INDEX(Data_metier!$E:$E,MATCH($A10,Data_metier!$B:$B,0)),{"Non Concerné";"Niveau 1";"Niveau 2";"Niveau 3";"Niveau 4"},0)-1)&gt;(MATCH(INDEX(Data_metier!$E:$E,MATCH(AA$1,Data_metier!$B:$B,0)),{"Non Concerné";"Niveau 1";"Niveau 2";"Niveau 3";"Niveau 4"},0)-1),
1/6,0))</f>
        <v>2.4999999999999996</v>
      </c>
      <c r="AB10">
        <f>IF(DE_respon_transv!AB10=-1,-1,
DE_respon_transv!AB10+IF((MATCH(INDEX(Data_metier!$C:$C,MATCH($A10,Data_metier!$B:$B,0)),{"Non Concerné";"Niveau 1";"Niveau 2";"Niveau 3";"Niveau 4"},0)-1)&gt;(MATCH(INDEX(Data_metier!$C:$C,MATCH(AB$1,Data_metier!$B:$B,0)),{"Non Concerné";"Niveau 1";"Niveau 2";"Niveau 3";"Niveau 4"},0)-1),
1/6,0)+IF((MATCH(INDEX(Data_metier!$D:$D,MATCH($A10,Data_metier!$B:$B,0)),{"Non Concerné";"Niveau 1";"Niveau 2";"Niveau 3";"Niveau 4"},0)-1)&gt;(MATCH(INDEX(Data_metier!$D:$D,MATCH(AB$1,Data_metier!$B:$B,0)),{"Non Concerné";"Niveau 1";"Niveau 2";"Niveau 3";"Niveau 4"},0)-1),
1/6,0)+IF((MATCH(INDEX(Data_metier!$E:$E,MATCH($A10,Data_metier!$B:$B,0)),{"Non Concerné";"Niveau 1";"Niveau 2";"Niveau 3";"Niveau 4"},0)-1)&gt;(MATCH(INDEX(Data_metier!$E:$E,MATCH(AB$1,Data_metier!$B:$B,0)),{"Non Concerné";"Niveau 1";"Niveau 2";"Niveau 3";"Niveau 4"},0)-1),
1/6,0))</f>
        <v>2.333333333333333</v>
      </c>
      <c r="AC10">
        <f>IF(DE_respon_transv!AC10=-1,-1,
DE_respon_transv!AC10+IF((MATCH(INDEX(Data_metier!$C:$C,MATCH($A10,Data_metier!$B:$B,0)),{"Non Concerné";"Niveau 1";"Niveau 2";"Niveau 3";"Niveau 4"},0)-1)&gt;(MATCH(INDEX(Data_metier!$C:$C,MATCH(AC$1,Data_metier!$B:$B,0)),{"Non Concerné";"Niveau 1";"Niveau 2";"Niveau 3";"Niveau 4"},0)-1),
1/6,0)+IF((MATCH(INDEX(Data_metier!$D:$D,MATCH($A10,Data_metier!$B:$B,0)),{"Non Concerné";"Niveau 1";"Niveau 2";"Niveau 3";"Niveau 4"},0)-1)&gt;(MATCH(INDEX(Data_metier!$D:$D,MATCH(AC$1,Data_metier!$B:$B,0)),{"Non Concerné";"Niveau 1";"Niveau 2";"Niveau 3";"Niveau 4"},0)-1),
1/6,0)+IF((MATCH(INDEX(Data_metier!$E:$E,MATCH($A10,Data_metier!$B:$B,0)),{"Non Concerné";"Niveau 1";"Niveau 2";"Niveau 3";"Niveau 4"},0)-1)&gt;(MATCH(INDEX(Data_metier!$E:$E,MATCH(AC$1,Data_metier!$B:$B,0)),{"Non Concerné";"Niveau 1";"Niveau 2";"Niveau 3";"Niveau 4"},0)-1),
1/6,0))</f>
        <v>2.333333333333333</v>
      </c>
      <c r="AD10">
        <f>IF(DE_respon_transv!AD10=-1,-1,
DE_respon_transv!AD10+IF((MATCH(INDEX(Data_metier!$C:$C,MATCH($A10,Data_metier!$B:$B,0)),{"Non Concerné";"Niveau 1";"Niveau 2";"Niveau 3";"Niveau 4"},0)-1)&gt;(MATCH(INDEX(Data_metier!$C:$C,MATCH(AD$1,Data_metier!$B:$B,0)),{"Non Concerné";"Niveau 1";"Niveau 2";"Niveau 3";"Niveau 4"},0)-1),
1/6,0)+IF((MATCH(INDEX(Data_metier!$D:$D,MATCH($A10,Data_metier!$B:$B,0)),{"Non Concerné";"Niveau 1";"Niveau 2";"Niveau 3";"Niveau 4"},0)-1)&gt;(MATCH(INDEX(Data_metier!$D:$D,MATCH(AD$1,Data_metier!$B:$B,0)),{"Non Concerné";"Niveau 1";"Niveau 2";"Niveau 3";"Niveau 4"},0)-1),
1/6,0)+IF((MATCH(INDEX(Data_metier!$E:$E,MATCH($A10,Data_metier!$B:$B,0)),{"Non Concerné";"Niveau 1";"Niveau 2";"Niveau 3";"Niveau 4"},0)-1)&gt;(MATCH(INDEX(Data_metier!$E:$E,MATCH(AD$1,Data_metier!$B:$B,0)),{"Non Concerné";"Niveau 1";"Niveau 2";"Niveau 3";"Niveau 4"},0)-1),
1/6,0))</f>
        <v>1.3333333333333335</v>
      </c>
    </row>
    <row r="11" spans="1:30">
      <c r="A11" t="str">
        <v>Responsable de production de produits alimentaires (fabrication / conditionnement)</v>
      </c>
      <c r="B11">
        <f>IF(DE_respon_transv!B11=-1,-1,
DE_respon_transv!B11+IF((MATCH(INDEX(Data_metier!$C:$C,MATCH($A11,Data_metier!$B:$B,0)),{"Non Concerné";"Niveau 1";"Niveau 2";"Niveau 3";"Niveau 4"},0)-1)&gt;(MATCH(INDEX(Data_metier!$C:$C,MATCH(B$1,Data_metier!$B:$B,0)),{"Non Concerné";"Niveau 1";"Niveau 2";"Niveau 3";"Niveau 4"},0)-1),
1/6,0)+IF((MATCH(INDEX(Data_metier!$D:$D,MATCH($A11,Data_metier!$B:$B,0)),{"Non Concerné";"Niveau 1";"Niveau 2";"Niveau 3";"Niveau 4"},0)-1)&gt;(MATCH(INDEX(Data_metier!$D:$D,MATCH(B$1,Data_metier!$B:$B,0)),{"Non Concerné";"Niveau 1";"Niveau 2";"Niveau 3";"Niveau 4"},0)-1),
1/6,0)+IF((MATCH(INDEX(Data_metier!$E:$E,MATCH($A11,Data_metier!$B:$B,0)),{"Non Concerné";"Niveau 1";"Niveau 2";"Niveau 3";"Niveau 4"},0)-1)&gt;(MATCH(INDEX(Data_metier!$E:$E,MATCH(B$1,Data_metier!$B:$B,0)),{"Non Concerné";"Niveau 1";"Niveau 2";"Niveau 3";"Niveau 4"},0)-1),
1/6,0))</f>
        <v>2.9999999999999996</v>
      </c>
      <c r="C11">
        <f>IF(DE_respon_transv!C11=-1,-1,
DE_respon_transv!C11+IF((MATCH(INDEX(Data_metier!$C:$C,MATCH($A11,Data_metier!$B:$B,0)),{"Non Concerné";"Niveau 1";"Niveau 2";"Niveau 3";"Niveau 4"},0)-1)&gt;(MATCH(INDEX(Data_metier!$C:$C,MATCH(C$1,Data_metier!$B:$B,0)),{"Non Concerné";"Niveau 1";"Niveau 2";"Niveau 3";"Niveau 4"},0)-1),
1/6,0)+IF((MATCH(INDEX(Data_metier!$D:$D,MATCH($A11,Data_metier!$B:$B,0)),{"Non Concerné";"Niveau 1";"Niveau 2";"Niveau 3";"Niveau 4"},0)-1)&gt;(MATCH(INDEX(Data_metier!$D:$D,MATCH(C$1,Data_metier!$B:$B,0)),{"Non Concerné";"Niveau 1";"Niveau 2";"Niveau 3";"Niveau 4"},0)-1),
1/6,0)+IF((MATCH(INDEX(Data_metier!$E:$E,MATCH($A11,Data_metier!$B:$B,0)),{"Non Concerné";"Niveau 1";"Niveau 2";"Niveau 3";"Niveau 4"},0)-1)&gt;(MATCH(INDEX(Data_metier!$E:$E,MATCH(C$1,Data_metier!$B:$B,0)),{"Non Concerné";"Niveau 1";"Niveau 2";"Niveau 3";"Niveau 4"},0)-1),
1/6,0))</f>
        <v>2.9999999999999996</v>
      </c>
      <c r="D11">
        <f>IF(DE_respon_transv!D11=-1,-1,
DE_respon_transv!D11+IF((MATCH(INDEX(Data_metier!$C:$C,MATCH($A11,Data_metier!$B:$B,0)),{"Non Concerné";"Niveau 1";"Niveau 2";"Niveau 3";"Niveau 4"},0)-1)&gt;(MATCH(INDEX(Data_metier!$C:$C,MATCH(D$1,Data_metier!$B:$B,0)),{"Non Concerné";"Niveau 1";"Niveau 2";"Niveau 3";"Niveau 4"},0)-1),
1/6,0)+IF((MATCH(INDEX(Data_metier!$D:$D,MATCH($A11,Data_metier!$B:$B,0)),{"Non Concerné";"Niveau 1";"Niveau 2";"Niveau 3";"Niveau 4"},0)-1)&gt;(MATCH(INDEX(Data_metier!$D:$D,MATCH(D$1,Data_metier!$B:$B,0)),{"Non Concerné";"Niveau 1";"Niveau 2";"Niveau 3";"Niveau 4"},0)-1),
1/6,0)+IF((MATCH(INDEX(Data_metier!$E:$E,MATCH($A11,Data_metier!$B:$B,0)),{"Non Concerné";"Niveau 1";"Niveau 2";"Niveau 3";"Niveau 4"},0)-1)&gt;(MATCH(INDEX(Data_metier!$E:$E,MATCH(D$1,Data_metier!$B:$B,0)),{"Non Concerné";"Niveau 1";"Niveau 2";"Niveau 3";"Niveau 4"},0)-1),
1/6,0))</f>
        <v>2.9999999999999996</v>
      </c>
      <c r="E11">
        <f>IF(DE_respon_transv!E11=-1,-1,
DE_respon_transv!E11+IF((MATCH(INDEX(Data_metier!$C:$C,MATCH($A11,Data_metier!$B:$B,0)),{"Non Concerné";"Niveau 1";"Niveau 2";"Niveau 3";"Niveau 4"},0)-1)&gt;(MATCH(INDEX(Data_metier!$C:$C,MATCH(E$1,Data_metier!$B:$B,0)),{"Non Concerné";"Niveau 1";"Niveau 2";"Niveau 3";"Niveau 4"},0)-1),
1/6,0)+IF((MATCH(INDEX(Data_metier!$D:$D,MATCH($A11,Data_metier!$B:$B,0)),{"Non Concerné";"Niveau 1";"Niveau 2";"Niveau 3";"Niveau 4"},0)-1)&gt;(MATCH(INDEX(Data_metier!$D:$D,MATCH(E$1,Data_metier!$B:$B,0)),{"Non Concerné";"Niveau 1";"Niveau 2";"Niveau 3";"Niveau 4"},0)-1),
1/6,0)+IF((MATCH(INDEX(Data_metier!$E:$E,MATCH($A11,Data_metier!$B:$B,0)),{"Non Concerné";"Niveau 1";"Niveau 2";"Niveau 3";"Niveau 4"},0)-1)&gt;(MATCH(INDEX(Data_metier!$E:$E,MATCH(E$1,Data_metier!$B:$B,0)),{"Non Concerné";"Niveau 1";"Niveau 2";"Niveau 3";"Niveau 4"},0)-1),
1/6,0))</f>
        <v>2.4999999999999996</v>
      </c>
      <c r="F11">
        <f>IF(DE_respon_transv!F11=-1,-1,
DE_respon_transv!F11+IF((MATCH(INDEX(Data_metier!$C:$C,MATCH($A11,Data_metier!$B:$B,0)),{"Non Concerné";"Niveau 1";"Niveau 2";"Niveau 3";"Niveau 4"},0)-1)&gt;(MATCH(INDEX(Data_metier!$C:$C,MATCH(F$1,Data_metier!$B:$B,0)),{"Non Concerné";"Niveau 1";"Niveau 2";"Niveau 3";"Niveau 4"},0)-1),
1/6,0)+IF((MATCH(INDEX(Data_metier!$D:$D,MATCH($A11,Data_metier!$B:$B,0)),{"Non Concerné";"Niveau 1";"Niveau 2";"Niveau 3";"Niveau 4"},0)-1)&gt;(MATCH(INDEX(Data_metier!$D:$D,MATCH(F$1,Data_metier!$B:$B,0)),{"Non Concerné";"Niveau 1";"Niveau 2";"Niveau 3";"Niveau 4"},0)-1),
1/6,0)+IF((MATCH(INDEX(Data_metier!$E:$E,MATCH($A11,Data_metier!$B:$B,0)),{"Non Concerné";"Niveau 1";"Niveau 2";"Niveau 3";"Niveau 4"},0)-1)&gt;(MATCH(INDEX(Data_metier!$E:$E,MATCH(F$1,Data_metier!$B:$B,0)),{"Non Concerné";"Niveau 1";"Niveau 2";"Niveau 3";"Niveau 4"},0)-1),
1/6,0))</f>
        <v>2</v>
      </c>
      <c r="G11">
        <f>IF(DE_respon_transv!G11=-1,-1,
DE_respon_transv!G11+IF((MATCH(INDEX(Data_metier!$C:$C,MATCH($A11,Data_metier!$B:$B,0)),{"Non Concerné";"Niveau 1";"Niveau 2";"Niveau 3";"Niveau 4"},0)-1)&gt;(MATCH(INDEX(Data_metier!$C:$C,MATCH(G$1,Data_metier!$B:$B,0)),{"Non Concerné";"Niveau 1";"Niveau 2";"Niveau 3";"Niveau 4"},0)-1),
1/6,0)+IF((MATCH(INDEX(Data_metier!$D:$D,MATCH($A11,Data_metier!$B:$B,0)),{"Non Concerné";"Niveau 1";"Niveau 2";"Niveau 3";"Niveau 4"},0)-1)&gt;(MATCH(INDEX(Data_metier!$D:$D,MATCH(G$1,Data_metier!$B:$B,0)),{"Non Concerné";"Niveau 1";"Niveau 2";"Niveau 3";"Niveau 4"},0)-1),
1/6,0)+IF((MATCH(INDEX(Data_metier!$E:$E,MATCH($A11,Data_metier!$B:$B,0)),{"Non Concerné";"Niveau 1";"Niveau 2";"Niveau 3";"Niveau 4"},0)-1)&gt;(MATCH(INDEX(Data_metier!$E:$E,MATCH(G$1,Data_metier!$B:$B,0)),{"Non Concerné";"Niveau 1";"Niveau 2";"Niveau 3";"Niveau 4"},0)-1),
1/6,0))</f>
        <v>1.5000000000000002</v>
      </c>
      <c r="H11">
        <f>IF(DE_respon_transv!H11=-1,-1,
DE_respon_transv!H11+IF((MATCH(INDEX(Data_metier!$C:$C,MATCH($A11,Data_metier!$B:$B,0)),{"Non Concerné";"Niveau 1";"Niveau 2";"Niveau 3";"Niveau 4"},0)-1)&gt;(MATCH(INDEX(Data_metier!$C:$C,MATCH(H$1,Data_metier!$B:$B,0)),{"Non Concerné";"Niveau 1";"Niveau 2";"Niveau 3";"Niveau 4"},0)-1),
1/6,0)+IF((MATCH(INDEX(Data_metier!$D:$D,MATCH($A11,Data_metier!$B:$B,0)),{"Non Concerné";"Niveau 1";"Niveau 2";"Niveau 3";"Niveau 4"},0)-1)&gt;(MATCH(INDEX(Data_metier!$D:$D,MATCH(H$1,Data_metier!$B:$B,0)),{"Non Concerné";"Niveau 1";"Niveau 2";"Niveau 3";"Niveau 4"},0)-1),
1/6,0)+IF((MATCH(INDEX(Data_metier!$E:$E,MATCH($A11,Data_metier!$B:$B,0)),{"Non Concerné";"Niveau 1";"Niveau 2";"Niveau 3";"Niveau 4"},0)-1)&gt;(MATCH(INDEX(Data_metier!$E:$E,MATCH(H$1,Data_metier!$B:$B,0)),{"Non Concerné";"Niveau 1";"Niveau 2";"Niveau 3";"Niveau 4"},0)-1),
1/6,0))</f>
        <v>1.5000000000000002</v>
      </c>
      <c r="I11">
        <f>IF(DE_respon_transv!I11=-1,-1,
DE_respon_transv!I11+IF((MATCH(INDEX(Data_metier!$C:$C,MATCH($A11,Data_metier!$B:$B,0)),{"Non Concerné";"Niveau 1";"Niveau 2";"Niveau 3";"Niveau 4"},0)-1)&gt;(MATCH(INDEX(Data_metier!$C:$C,MATCH(I$1,Data_metier!$B:$B,0)),{"Non Concerné";"Niveau 1";"Niveau 2";"Niveau 3";"Niveau 4"},0)-1),
1/6,0)+IF((MATCH(INDEX(Data_metier!$D:$D,MATCH($A11,Data_metier!$B:$B,0)),{"Non Concerné";"Niveau 1";"Niveau 2";"Niveau 3";"Niveau 4"},0)-1)&gt;(MATCH(INDEX(Data_metier!$D:$D,MATCH(I$1,Data_metier!$B:$B,0)),{"Non Concerné";"Niveau 1";"Niveau 2";"Niveau 3";"Niveau 4"},0)-1),
1/6,0)+IF((MATCH(INDEX(Data_metier!$E:$E,MATCH($A11,Data_metier!$B:$B,0)),{"Non Concerné";"Niveau 1";"Niveau 2";"Niveau 3";"Niveau 4"},0)-1)&gt;(MATCH(INDEX(Data_metier!$E:$E,MATCH(I$1,Data_metier!$B:$B,0)),{"Non Concerné";"Niveau 1";"Niveau 2";"Niveau 3";"Niveau 4"},0)-1),
1/6,0))</f>
        <v>2.9999999999999996</v>
      </c>
      <c r="J11">
        <f>IF(DE_respon_transv!J11=-1,-1,
DE_respon_transv!J11+IF((MATCH(INDEX(Data_metier!$C:$C,MATCH($A11,Data_metier!$B:$B,0)),{"Non Concerné";"Niveau 1";"Niveau 2";"Niveau 3";"Niveau 4"},0)-1)&gt;(MATCH(INDEX(Data_metier!$C:$C,MATCH(J$1,Data_metier!$B:$B,0)),{"Non Concerné";"Niveau 1";"Niveau 2";"Niveau 3";"Niveau 4"},0)-1),
1/6,0)+IF((MATCH(INDEX(Data_metier!$D:$D,MATCH($A11,Data_metier!$B:$B,0)),{"Non Concerné";"Niveau 1";"Niveau 2";"Niveau 3";"Niveau 4"},0)-1)&gt;(MATCH(INDEX(Data_metier!$D:$D,MATCH(J$1,Data_metier!$B:$B,0)),{"Non Concerné";"Niveau 1";"Niveau 2";"Niveau 3";"Niveau 4"},0)-1),
1/6,0)+IF((MATCH(INDEX(Data_metier!$E:$E,MATCH($A11,Data_metier!$B:$B,0)),{"Non Concerné";"Niveau 1";"Niveau 2";"Niveau 3";"Niveau 4"},0)-1)&gt;(MATCH(INDEX(Data_metier!$E:$E,MATCH(J$1,Data_metier!$B:$B,0)),{"Non Concerné";"Niveau 1";"Niveau 2";"Niveau 3";"Niveau 4"},0)-1),
1/6,0))</f>
        <v>2.9999999999999996</v>
      </c>
      <c r="K11">
        <f>IF(DE_respon_transv!K11=-1,-1,
DE_respon_transv!K11+IF((MATCH(INDEX(Data_metier!$C:$C,MATCH($A11,Data_metier!$B:$B,0)),{"Non Concerné";"Niveau 1";"Niveau 2";"Niveau 3";"Niveau 4"},0)-1)&gt;(MATCH(INDEX(Data_metier!$C:$C,MATCH(K$1,Data_metier!$B:$B,0)),{"Non Concerné";"Niveau 1";"Niveau 2";"Niveau 3";"Niveau 4"},0)-1),
1/6,0)+IF((MATCH(INDEX(Data_metier!$D:$D,MATCH($A11,Data_metier!$B:$B,0)),{"Non Concerné";"Niveau 1";"Niveau 2";"Niveau 3";"Niveau 4"},0)-1)&gt;(MATCH(INDEX(Data_metier!$D:$D,MATCH(K$1,Data_metier!$B:$B,0)),{"Non Concerné";"Niveau 1";"Niveau 2";"Niveau 3";"Niveau 4"},0)-1),
1/6,0)+IF((MATCH(INDEX(Data_metier!$E:$E,MATCH($A11,Data_metier!$B:$B,0)),{"Non Concerné";"Niveau 1";"Niveau 2";"Niveau 3";"Niveau 4"},0)-1)&gt;(MATCH(INDEX(Data_metier!$E:$E,MATCH(K$1,Data_metier!$B:$B,0)),{"Non Concerné";"Niveau 1";"Niveau 2";"Niveau 3";"Niveau 4"},0)-1),
1/6,0))</f>
        <v>0</v>
      </c>
      <c r="L11">
        <f>IF(DE_respon_transv!L11=-1,-1,
DE_respon_transv!L11+IF((MATCH(INDEX(Data_metier!$C:$C,MATCH($A11,Data_metier!$B:$B,0)),{"Non Concerné";"Niveau 1";"Niveau 2";"Niveau 3";"Niveau 4"},0)-1)&gt;(MATCH(INDEX(Data_metier!$C:$C,MATCH(L$1,Data_metier!$B:$B,0)),{"Non Concerné";"Niveau 1";"Niveau 2";"Niveau 3";"Niveau 4"},0)-1),
1/6,0)+IF((MATCH(INDEX(Data_metier!$D:$D,MATCH($A11,Data_metier!$B:$B,0)),{"Non Concerné";"Niveau 1";"Niveau 2";"Niveau 3";"Niveau 4"},0)-1)&gt;(MATCH(INDEX(Data_metier!$D:$D,MATCH(L$1,Data_metier!$B:$B,0)),{"Non Concerné";"Niveau 1";"Niveau 2";"Niveau 3";"Niveau 4"},0)-1),
1/6,0)+IF((MATCH(INDEX(Data_metier!$E:$E,MATCH($A11,Data_metier!$B:$B,0)),{"Non Concerné";"Niveau 1";"Niveau 2";"Niveau 3";"Niveau 4"},0)-1)&gt;(MATCH(INDEX(Data_metier!$E:$E,MATCH(L$1,Data_metier!$B:$B,0)),{"Non Concerné";"Niveau 1";"Niveau 2";"Niveau 3";"Niveau 4"},0)-1),
1/6,0))</f>
        <v>2.9999999999999996</v>
      </c>
      <c r="M11">
        <f>IF(DE_respon_transv!M11=-1,-1,
DE_respon_transv!M11+IF((MATCH(INDEX(Data_metier!$C:$C,MATCH($A11,Data_metier!$B:$B,0)),{"Non Concerné";"Niveau 1";"Niveau 2";"Niveau 3";"Niveau 4"},0)-1)&gt;(MATCH(INDEX(Data_metier!$C:$C,MATCH(M$1,Data_metier!$B:$B,0)),{"Non Concerné";"Niveau 1";"Niveau 2";"Niveau 3";"Niveau 4"},0)-1),
1/6,0)+IF((MATCH(INDEX(Data_metier!$D:$D,MATCH($A11,Data_metier!$B:$B,0)),{"Non Concerné";"Niveau 1";"Niveau 2";"Niveau 3";"Niveau 4"},0)-1)&gt;(MATCH(INDEX(Data_metier!$D:$D,MATCH(M$1,Data_metier!$B:$B,0)),{"Non Concerné";"Niveau 1";"Niveau 2";"Niveau 3";"Niveau 4"},0)-1),
1/6,0)+IF((MATCH(INDEX(Data_metier!$E:$E,MATCH($A11,Data_metier!$B:$B,0)),{"Non Concerné";"Niveau 1";"Niveau 2";"Niveau 3";"Niveau 4"},0)-1)&gt;(MATCH(INDEX(Data_metier!$E:$E,MATCH(M$1,Data_metier!$B:$B,0)),{"Non Concerné";"Niveau 1";"Niveau 2";"Niveau 3";"Niveau 4"},0)-1),
1/6,0))</f>
        <v>2.9999999999999996</v>
      </c>
      <c r="N11">
        <f>IF(DE_respon_transv!N11=-1,-1,
DE_respon_transv!N11+IF((MATCH(INDEX(Data_metier!$C:$C,MATCH($A11,Data_metier!$B:$B,0)),{"Non Concerné";"Niveau 1";"Niveau 2";"Niveau 3";"Niveau 4"},0)-1)&gt;(MATCH(INDEX(Data_metier!$C:$C,MATCH(N$1,Data_metier!$B:$B,0)),{"Non Concerné";"Niveau 1";"Niveau 2";"Niveau 3";"Niveau 4"},0)-1),
1/6,0)+IF((MATCH(INDEX(Data_metier!$D:$D,MATCH($A11,Data_metier!$B:$B,0)),{"Non Concerné";"Niveau 1";"Niveau 2";"Niveau 3";"Niveau 4"},0)-1)&gt;(MATCH(INDEX(Data_metier!$D:$D,MATCH(N$1,Data_metier!$B:$B,0)),{"Non Concerné";"Niveau 1";"Niveau 2";"Niveau 3";"Niveau 4"},0)-1),
1/6,0)+IF((MATCH(INDEX(Data_metier!$E:$E,MATCH($A11,Data_metier!$B:$B,0)),{"Non Concerné";"Niveau 1";"Niveau 2";"Niveau 3";"Niveau 4"},0)-1)&gt;(MATCH(INDEX(Data_metier!$E:$E,MATCH(N$1,Data_metier!$B:$B,0)),{"Non Concerné";"Niveau 1";"Niveau 2";"Niveau 3";"Niveau 4"},0)-1),
1/6,0))</f>
        <v>2.4999999999999996</v>
      </c>
      <c r="O11">
        <f>IF(DE_respon_transv!O11=-1,-1,
DE_respon_transv!O11+IF((MATCH(INDEX(Data_metier!$C:$C,MATCH($A11,Data_metier!$B:$B,0)),{"Non Concerné";"Niveau 1";"Niveau 2";"Niveau 3";"Niveau 4"},0)-1)&gt;(MATCH(INDEX(Data_metier!$C:$C,MATCH(O$1,Data_metier!$B:$B,0)),{"Non Concerné";"Niveau 1";"Niveau 2";"Niveau 3";"Niveau 4"},0)-1),
1/6,0)+IF((MATCH(INDEX(Data_metier!$D:$D,MATCH($A11,Data_metier!$B:$B,0)),{"Non Concerné";"Niveau 1";"Niveau 2";"Niveau 3";"Niveau 4"},0)-1)&gt;(MATCH(INDEX(Data_metier!$D:$D,MATCH(O$1,Data_metier!$B:$B,0)),{"Non Concerné";"Niveau 1";"Niveau 2";"Niveau 3";"Niveau 4"},0)-1),
1/6,0)+IF((MATCH(INDEX(Data_metier!$E:$E,MATCH($A11,Data_metier!$B:$B,0)),{"Non Concerné";"Niveau 1";"Niveau 2";"Niveau 3";"Niveau 4"},0)-1)&gt;(MATCH(INDEX(Data_metier!$E:$E,MATCH(O$1,Data_metier!$B:$B,0)),{"Non Concerné";"Niveau 1";"Niveau 2";"Niveau 3";"Niveau 4"},0)-1),
1/6,0))</f>
        <v>2.9999999999999996</v>
      </c>
      <c r="P11">
        <f>IF(DE_respon_transv!P11=-1,-1,
DE_respon_transv!P11+IF((MATCH(INDEX(Data_metier!$C:$C,MATCH($A11,Data_metier!$B:$B,0)),{"Non Concerné";"Niveau 1";"Niveau 2";"Niveau 3";"Niveau 4"},0)-1)&gt;(MATCH(INDEX(Data_metier!$C:$C,MATCH(P$1,Data_metier!$B:$B,0)),{"Non Concerné";"Niveau 1";"Niveau 2";"Niveau 3";"Niveau 4"},0)-1),
1/6,0)+IF((MATCH(INDEX(Data_metier!$D:$D,MATCH($A11,Data_metier!$B:$B,0)),{"Non Concerné";"Niveau 1";"Niveau 2";"Niveau 3";"Niveau 4"},0)-1)&gt;(MATCH(INDEX(Data_metier!$D:$D,MATCH(P$1,Data_metier!$B:$B,0)),{"Non Concerné";"Niveau 1";"Niveau 2";"Niveau 3";"Niveau 4"},0)-1),
1/6,0)+IF((MATCH(INDEX(Data_metier!$E:$E,MATCH($A11,Data_metier!$B:$B,0)),{"Non Concerné";"Niveau 1";"Niveau 2";"Niveau 3";"Niveau 4"},0)-1)&gt;(MATCH(INDEX(Data_metier!$E:$E,MATCH(P$1,Data_metier!$B:$B,0)),{"Non Concerné";"Niveau 1";"Niveau 2";"Niveau 3";"Niveau 4"},0)-1),
1/6,0))</f>
        <v>2.9999999999999996</v>
      </c>
      <c r="Q11">
        <f>IF(DE_respon_transv!Q11=-1,-1,
DE_respon_transv!Q11+IF((MATCH(INDEX(Data_metier!$C:$C,MATCH($A11,Data_metier!$B:$B,0)),{"Non Concerné";"Niveau 1";"Niveau 2";"Niveau 3";"Niveau 4"},0)-1)&gt;(MATCH(INDEX(Data_metier!$C:$C,MATCH(Q$1,Data_metier!$B:$B,0)),{"Non Concerné";"Niveau 1";"Niveau 2";"Niveau 3";"Niveau 4"},0)-1),
1/6,0)+IF((MATCH(INDEX(Data_metier!$D:$D,MATCH($A11,Data_metier!$B:$B,0)),{"Non Concerné";"Niveau 1";"Niveau 2";"Niveau 3";"Niveau 4"},0)-1)&gt;(MATCH(INDEX(Data_metier!$D:$D,MATCH(Q$1,Data_metier!$B:$B,0)),{"Non Concerné";"Niveau 1";"Niveau 2";"Niveau 3";"Niveau 4"},0)-1),
1/6,0)+IF((MATCH(INDEX(Data_metier!$E:$E,MATCH($A11,Data_metier!$B:$B,0)),{"Non Concerné";"Niveau 1";"Niveau 2";"Niveau 3";"Niveau 4"},0)-1)&gt;(MATCH(INDEX(Data_metier!$E:$E,MATCH(Q$1,Data_metier!$B:$B,0)),{"Non Concerné";"Niveau 1";"Niveau 2";"Niveau 3";"Niveau 4"},0)-1),
1/6,0))</f>
        <v>2.4999999999999996</v>
      </c>
      <c r="R11">
        <f>IF(DE_respon_transv!R11=-1,-1,
DE_respon_transv!R11+IF((MATCH(INDEX(Data_metier!$C:$C,MATCH($A11,Data_metier!$B:$B,0)),{"Non Concerné";"Niveau 1";"Niveau 2";"Niveau 3";"Niveau 4"},0)-1)&gt;(MATCH(INDEX(Data_metier!$C:$C,MATCH(R$1,Data_metier!$B:$B,0)),{"Non Concerné";"Niveau 1";"Niveau 2";"Niveau 3";"Niveau 4"},0)-1),
1/6,0)+IF((MATCH(INDEX(Data_metier!$D:$D,MATCH($A11,Data_metier!$B:$B,0)),{"Non Concerné";"Niveau 1";"Niveau 2";"Niveau 3";"Niveau 4"},0)-1)&gt;(MATCH(INDEX(Data_metier!$D:$D,MATCH(R$1,Data_metier!$B:$B,0)),{"Non Concerné";"Niveau 1";"Niveau 2";"Niveau 3";"Niveau 4"},0)-1),
1/6,0)+IF((MATCH(INDEX(Data_metier!$E:$E,MATCH($A11,Data_metier!$B:$B,0)),{"Non Concerné";"Niveau 1";"Niveau 2";"Niveau 3";"Niveau 4"},0)-1)&gt;(MATCH(INDEX(Data_metier!$E:$E,MATCH(R$1,Data_metier!$B:$B,0)),{"Non Concerné";"Niveau 1";"Niveau 2";"Niveau 3";"Niveau 4"},0)-1),
1/6,0))</f>
        <v>1.5000000000000002</v>
      </c>
      <c r="S11">
        <f>IF(DE_respon_transv!S11=-1,-1,
DE_respon_transv!S11+IF((MATCH(INDEX(Data_metier!$C:$C,MATCH($A11,Data_metier!$B:$B,0)),{"Non Concerné";"Niveau 1";"Niveau 2";"Niveau 3";"Niveau 4"},0)-1)&gt;(MATCH(INDEX(Data_metier!$C:$C,MATCH(S$1,Data_metier!$B:$B,0)),{"Non Concerné";"Niveau 1";"Niveau 2";"Niveau 3";"Niveau 4"},0)-1),
1/6,0)+IF((MATCH(INDEX(Data_metier!$D:$D,MATCH($A11,Data_metier!$B:$B,0)),{"Non Concerné";"Niveau 1";"Niveau 2";"Niveau 3";"Niveau 4"},0)-1)&gt;(MATCH(INDEX(Data_metier!$D:$D,MATCH(S$1,Data_metier!$B:$B,0)),{"Non Concerné";"Niveau 1";"Niveau 2";"Niveau 3";"Niveau 4"},0)-1),
1/6,0)+IF((MATCH(INDEX(Data_metier!$E:$E,MATCH($A11,Data_metier!$B:$B,0)),{"Non Concerné";"Niveau 1";"Niveau 2";"Niveau 3";"Niveau 4"},0)-1)&gt;(MATCH(INDEX(Data_metier!$E:$E,MATCH(S$1,Data_metier!$B:$B,0)),{"Non Concerné";"Niveau 1";"Niveau 2";"Niveau 3";"Niveau 4"},0)-1),
1/6,0))</f>
        <v>2.9999999999999996</v>
      </c>
      <c r="T11">
        <f>IF(DE_respon_transv!T11=-1,-1,
DE_respon_transv!T11+IF((MATCH(INDEX(Data_metier!$C:$C,MATCH($A11,Data_metier!$B:$B,0)),{"Non Concerné";"Niveau 1";"Niveau 2";"Niveau 3";"Niveau 4"},0)-1)&gt;(MATCH(INDEX(Data_metier!$C:$C,MATCH(T$1,Data_metier!$B:$B,0)),{"Non Concerné";"Niveau 1";"Niveau 2";"Niveau 3";"Niveau 4"},0)-1),
1/6,0)+IF((MATCH(INDEX(Data_metier!$D:$D,MATCH($A11,Data_metier!$B:$B,0)),{"Non Concerné";"Niveau 1";"Niveau 2";"Niveau 3";"Niveau 4"},0)-1)&gt;(MATCH(INDEX(Data_metier!$D:$D,MATCH(T$1,Data_metier!$B:$B,0)),{"Non Concerné";"Niveau 1";"Niveau 2";"Niveau 3";"Niveau 4"},0)-1),
1/6,0)+IF((MATCH(INDEX(Data_metier!$E:$E,MATCH($A11,Data_metier!$B:$B,0)),{"Non Concerné";"Niveau 1";"Niveau 2";"Niveau 3";"Niveau 4"},0)-1)&gt;(MATCH(INDEX(Data_metier!$E:$E,MATCH(T$1,Data_metier!$B:$B,0)),{"Non Concerné";"Niveau 1";"Niveau 2";"Niveau 3";"Niveau 4"},0)-1),
1/6,0))</f>
        <v>2.9999999999999996</v>
      </c>
      <c r="U11">
        <f>IF(DE_respon_transv!U11=-1,-1,
DE_respon_transv!U11+IF((MATCH(INDEX(Data_metier!$C:$C,MATCH($A11,Data_metier!$B:$B,0)),{"Non Concerné";"Niveau 1";"Niveau 2";"Niveau 3";"Niveau 4"},0)-1)&gt;(MATCH(INDEX(Data_metier!$C:$C,MATCH(U$1,Data_metier!$B:$B,0)),{"Non Concerné";"Niveau 1";"Niveau 2";"Niveau 3";"Niveau 4"},0)-1),
1/6,0)+IF((MATCH(INDEX(Data_metier!$D:$D,MATCH($A11,Data_metier!$B:$B,0)),{"Non Concerné";"Niveau 1";"Niveau 2";"Niveau 3";"Niveau 4"},0)-1)&gt;(MATCH(INDEX(Data_metier!$D:$D,MATCH(U$1,Data_metier!$B:$B,0)),{"Non Concerné";"Niveau 1";"Niveau 2";"Niveau 3";"Niveau 4"},0)-1),
1/6,0)+IF((MATCH(INDEX(Data_metier!$E:$E,MATCH($A11,Data_metier!$B:$B,0)),{"Non Concerné";"Niveau 1";"Niveau 2";"Niveau 3";"Niveau 4"},0)-1)&gt;(MATCH(INDEX(Data_metier!$E:$E,MATCH(U$1,Data_metier!$B:$B,0)),{"Non Concerné";"Niveau 1";"Niveau 2";"Niveau 3";"Niveau 4"},0)-1),
1/6,0))</f>
        <v>2.9999999999999996</v>
      </c>
      <c r="V11">
        <f>IF(DE_respon_transv!V11=-1,-1,
DE_respon_transv!V11+IF((MATCH(INDEX(Data_metier!$C:$C,MATCH($A11,Data_metier!$B:$B,0)),{"Non Concerné";"Niveau 1";"Niveau 2";"Niveau 3";"Niveau 4"},0)-1)&gt;(MATCH(INDEX(Data_metier!$C:$C,MATCH(V$1,Data_metier!$B:$B,0)),{"Non Concerné";"Niveau 1";"Niveau 2";"Niveau 3";"Niveau 4"},0)-1),
1/6,0)+IF((MATCH(INDEX(Data_metier!$D:$D,MATCH($A11,Data_metier!$B:$B,0)),{"Non Concerné";"Niveau 1";"Niveau 2";"Niveau 3";"Niveau 4"},0)-1)&gt;(MATCH(INDEX(Data_metier!$D:$D,MATCH(V$1,Data_metier!$B:$B,0)),{"Non Concerné";"Niveau 1";"Niveau 2";"Niveau 3";"Niveau 4"},0)-1),
1/6,0)+IF((MATCH(INDEX(Data_metier!$E:$E,MATCH($A11,Data_metier!$B:$B,0)),{"Non Concerné";"Niveau 1";"Niveau 2";"Niveau 3";"Niveau 4"},0)-1)&gt;(MATCH(INDEX(Data_metier!$E:$E,MATCH(V$1,Data_metier!$B:$B,0)),{"Non Concerné";"Niveau 1";"Niveau 2";"Niveau 3";"Niveau 4"},0)-1),
1/6,0))</f>
        <v>2.9999999999999996</v>
      </c>
      <c r="W11">
        <f>IF(DE_respon_transv!W11=-1,-1,
DE_respon_transv!W11+IF((MATCH(INDEX(Data_metier!$C:$C,MATCH($A11,Data_metier!$B:$B,0)),{"Non Concerné";"Niveau 1";"Niveau 2";"Niveau 3";"Niveau 4"},0)-1)&gt;(MATCH(INDEX(Data_metier!$C:$C,MATCH(W$1,Data_metier!$B:$B,0)),{"Non Concerné";"Niveau 1";"Niveau 2";"Niveau 3";"Niveau 4"},0)-1),
1/6,0)+IF((MATCH(INDEX(Data_metier!$D:$D,MATCH($A11,Data_metier!$B:$B,0)),{"Non Concerné";"Niveau 1";"Niveau 2";"Niveau 3";"Niveau 4"},0)-1)&gt;(MATCH(INDEX(Data_metier!$D:$D,MATCH(W$1,Data_metier!$B:$B,0)),{"Non Concerné";"Niveau 1";"Niveau 2";"Niveau 3";"Niveau 4"},0)-1),
1/6,0)+IF((MATCH(INDEX(Data_metier!$E:$E,MATCH($A11,Data_metier!$B:$B,0)),{"Non Concerné";"Niveau 1";"Niveau 2";"Niveau 3";"Niveau 4"},0)-1)&gt;(MATCH(INDEX(Data_metier!$E:$E,MATCH(W$1,Data_metier!$B:$B,0)),{"Non Concerné";"Niveau 1";"Niveau 2";"Niveau 3";"Niveau 4"},0)-1),
1/6,0))</f>
        <v>2.4999999999999996</v>
      </c>
      <c r="X11">
        <f>IF(DE_respon_transv!X11=-1,-1,
DE_respon_transv!X11+IF((MATCH(INDEX(Data_metier!$C:$C,MATCH($A11,Data_metier!$B:$B,0)),{"Non Concerné";"Niveau 1";"Niveau 2";"Niveau 3";"Niveau 4"},0)-1)&gt;(MATCH(INDEX(Data_metier!$C:$C,MATCH(X$1,Data_metier!$B:$B,0)),{"Non Concerné";"Niveau 1";"Niveau 2";"Niveau 3";"Niveau 4"},0)-1),
1/6,0)+IF((MATCH(INDEX(Data_metier!$D:$D,MATCH($A11,Data_metier!$B:$B,0)),{"Non Concerné";"Niveau 1";"Niveau 2";"Niveau 3";"Niveau 4"},0)-1)&gt;(MATCH(INDEX(Data_metier!$D:$D,MATCH(X$1,Data_metier!$B:$B,0)),{"Non Concerné";"Niveau 1";"Niveau 2";"Niveau 3";"Niveau 4"},0)-1),
1/6,0)+IF((MATCH(INDEX(Data_metier!$E:$E,MATCH($A11,Data_metier!$B:$B,0)),{"Non Concerné";"Niveau 1";"Niveau 2";"Niveau 3";"Niveau 4"},0)-1)&gt;(MATCH(INDEX(Data_metier!$E:$E,MATCH(X$1,Data_metier!$B:$B,0)),{"Non Concerné";"Niveau 1";"Niveau 2";"Niveau 3";"Niveau 4"},0)-1),
1/6,0))</f>
        <v>1</v>
      </c>
      <c r="Y11">
        <f>IF(DE_respon_transv!Y11=-1,-1,
DE_respon_transv!Y11+IF((MATCH(INDEX(Data_metier!$C:$C,MATCH($A11,Data_metier!$B:$B,0)),{"Non Concerné";"Niveau 1";"Niveau 2";"Niveau 3";"Niveau 4"},0)-1)&gt;(MATCH(INDEX(Data_metier!$C:$C,MATCH(Y$1,Data_metier!$B:$B,0)),{"Non Concerné";"Niveau 1";"Niveau 2";"Niveau 3";"Niveau 4"},0)-1),
1/6,0)+IF((MATCH(INDEX(Data_metier!$D:$D,MATCH($A11,Data_metier!$B:$B,0)),{"Non Concerné";"Niveau 1";"Niveau 2";"Niveau 3";"Niveau 4"},0)-1)&gt;(MATCH(INDEX(Data_metier!$D:$D,MATCH(Y$1,Data_metier!$B:$B,0)),{"Non Concerné";"Niveau 1";"Niveau 2";"Niveau 3";"Niveau 4"},0)-1),
1/6,0)+IF((MATCH(INDEX(Data_metier!$E:$E,MATCH($A11,Data_metier!$B:$B,0)),{"Non Concerné";"Niveau 1";"Niveau 2";"Niveau 3";"Niveau 4"},0)-1)&gt;(MATCH(INDEX(Data_metier!$E:$E,MATCH(Y$1,Data_metier!$B:$B,0)),{"Non Concerné";"Niveau 1";"Niveau 2";"Niveau 3";"Niveau 4"},0)-1),
1/6,0))</f>
        <v>2.9999999999999996</v>
      </c>
      <c r="Z11">
        <f>IF(DE_respon_transv!Z11=-1,-1,
DE_respon_transv!Z11+IF((MATCH(INDEX(Data_metier!$C:$C,MATCH($A11,Data_metier!$B:$B,0)),{"Non Concerné";"Niveau 1";"Niveau 2";"Niveau 3";"Niveau 4"},0)-1)&gt;(MATCH(INDEX(Data_metier!$C:$C,MATCH(Z$1,Data_metier!$B:$B,0)),{"Non Concerné";"Niveau 1";"Niveau 2";"Niveau 3";"Niveau 4"},0)-1),
1/6,0)+IF((MATCH(INDEX(Data_metier!$D:$D,MATCH($A11,Data_metier!$B:$B,0)),{"Non Concerné";"Niveau 1";"Niveau 2";"Niveau 3";"Niveau 4"},0)-1)&gt;(MATCH(INDEX(Data_metier!$D:$D,MATCH(Z$1,Data_metier!$B:$B,0)),{"Non Concerné";"Niveau 1";"Niveau 2";"Niveau 3";"Niveau 4"},0)-1),
1/6,0)+IF((MATCH(INDEX(Data_metier!$E:$E,MATCH($A11,Data_metier!$B:$B,0)),{"Non Concerné";"Niveau 1";"Niveau 2";"Niveau 3";"Niveau 4"},0)-1)&gt;(MATCH(INDEX(Data_metier!$E:$E,MATCH(Z$1,Data_metier!$B:$B,0)),{"Non Concerné";"Niveau 1";"Niveau 2";"Niveau 3";"Niveau 4"},0)-1),
1/6,0))</f>
        <v>2.9999999999999996</v>
      </c>
      <c r="AA11">
        <f>IF(DE_respon_transv!AA11=-1,-1,
DE_respon_transv!AA11+IF((MATCH(INDEX(Data_metier!$C:$C,MATCH($A11,Data_metier!$B:$B,0)),{"Non Concerné";"Niveau 1";"Niveau 2";"Niveau 3";"Niveau 4"},0)-1)&gt;(MATCH(INDEX(Data_metier!$C:$C,MATCH(AA$1,Data_metier!$B:$B,0)),{"Non Concerné";"Niveau 1";"Niveau 2";"Niveau 3";"Niveau 4"},0)-1),
1/6,0)+IF((MATCH(INDEX(Data_metier!$D:$D,MATCH($A11,Data_metier!$B:$B,0)),{"Non Concerné";"Niveau 1";"Niveau 2";"Niveau 3";"Niveau 4"},0)-1)&gt;(MATCH(INDEX(Data_metier!$D:$D,MATCH(AA$1,Data_metier!$B:$B,0)),{"Non Concerné";"Niveau 1";"Niveau 2";"Niveau 3";"Niveau 4"},0)-1),
1/6,0)+IF((MATCH(INDEX(Data_metier!$E:$E,MATCH($A11,Data_metier!$B:$B,0)),{"Non Concerné";"Niveau 1";"Niveau 2";"Niveau 3";"Niveau 4"},0)-1)&gt;(MATCH(INDEX(Data_metier!$E:$E,MATCH(AA$1,Data_metier!$B:$B,0)),{"Non Concerné";"Niveau 1";"Niveau 2";"Niveau 3";"Niveau 4"},0)-1),
1/6,0))</f>
        <v>2.9999999999999996</v>
      </c>
      <c r="AB11">
        <f>IF(DE_respon_transv!AB11=-1,-1,
DE_respon_transv!AB11+IF((MATCH(INDEX(Data_metier!$C:$C,MATCH($A11,Data_metier!$B:$B,0)),{"Non Concerné";"Niveau 1";"Niveau 2";"Niveau 3";"Niveau 4"},0)-1)&gt;(MATCH(INDEX(Data_metier!$C:$C,MATCH(AB$1,Data_metier!$B:$B,0)),{"Non Concerné";"Niveau 1";"Niveau 2";"Niveau 3";"Niveau 4"},0)-1),
1/6,0)+IF((MATCH(INDEX(Data_metier!$D:$D,MATCH($A11,Data_metier!$B:$B,0)),{"Non Concerné";"Niveau 1";"Niveau 2";"Niveau 3";"Niveau 4"},0)-1)&gt;(MATCH(INDEX(Data_metier!$D:$D,MATCH(AB$1,Data_metier!$B:$B,0)),{"Non Concerné";"Niveau 1";"Niveau 2";"Niveau 3";"Niveau 4"},0)-1),
1/6,0)+IF((MATCH(INDEX(Data_metier!$E:$E,MATCH($A11,Data_metier!$B:$B,0)),{"Non Concerné";"Niveau 1";"Niveau 2";"Niveau 3";"Niveau 4"},0)-1)&gt;(MATCH(INDEX(Data_metier!$E:$E,MATCH(AB$1,Data_metier!$B:$B,0)),{"Non Concerné";"Niveau 1";"Niveau 2";"Niveau 3";"Niveau 4"},0)-1),
1/6,0))</f>
        <v>2.9999999999999996</v>
      </c>
      <c r="AC11">
        <f>IF(DE_respon_transv!AC11=-1,-1,
DE_respon_transv!AC11+IF((MATCH(INDEX(Data_metier!$C:$C,MATCH($A11,Data_metier!$B:$B,0)),{"Non Concerné";"Niveau 1";"Niveau 2";"Niveau 3";"Niveau 4"},0)-1)&gt;(MATCH(INDEX(Data_metier!$C:$C,MATCH(AC$1,Data_metier!$B:$B,0)),{"Non Concerné";"Niveau 1";"Niveau 2";"Niveau 3";"Niveau 4"},0)-1),
1/6,0)+IF((MATCH(INDEX(Data_metier!$D:$D,MATCH($A11,Data_metier!$B:$B,0)),{"Non Concerné";"Niveau 1";"Niveau 2";"Niveau 3";"Niveau 4"},0)-1)&gt;(MATCH(INDEX(Data_metier!$D:$D,MATCH(AC$1,Data_metier!$B:$B,0)),{"Non Concerné";"Niveau 1";"Niveau 2";"Niveau 3";"Niveau 4"},0)-1),
1/6,0)+IF((MATCH(INDEX(Data_metier!$E:$E,MATCH($A11,Data_metier!$B:$B,0)),{"Non Concerné";"Niveau 1";"Niveau 2";"Niveau 3";"Niveau 4"},0)-1)&gt;(MATCH(INDEX(Data_metier!$E:$E,MATCH(AC$1,Data_metier!$B:$B,0)),{"Non Concerné";"Niveau 1";"Niveau 2";"Niveau 3";"Niveau 4"},0)-1),
1/6,0))</f>
        <v>2.9999999999999996</v>
      </c>
      <c r="AD11">
        <f>IF(DE_respon_transv!AD11=-1,-1,
DE_respon_transv!AD11+IF((MATCH(INDEX(Data_metier!$C:$C,MATCH($A11,Data_metier!$B:$B,0)),{"Non Concerné";"Niveau 1";"Niveau 2";"Niveau 3";"Niveau 4"},0)-1)&gt;(MATCH(INDEX(Data_metier!$C:$C,MATCH(AD$1,Data_metier!$B:$B,0)),{"Non Concerné";"Niveau 1";"Niveau 2";"Niveau 3";"Niveau 4"},0)-1),
1/6,0)+IF((MATCH(INDEX(Data_metier!$D:$D,MATCH($A11,Data_metier!$B:$B,0)),{"Non Concerné";"Niveau 1";"Niveau 2";"Niveau 3";"Niveau 4"},0)-1)&gt;(MATCH(INDEX(Data_metier!$D:$D,MATCH(AD$1,Data_metier!$B:$B,0)),{"Non Concerné";"Niveau 1";"Niveau 2";"Niveau 3";"Niveau 4"},0)-1),
1/6,0)+IF((MATCH(INDEX(Data_metier!$E:$E,MATCH($A11,Data_metier!$B:$B,0)),{"Non Concerné";"Niveau 1";"Niveau 2";"Niveau 3";"Niveau 4"},0)-1)&gt;(MATCH(INDEX(Data_metier!$E:$E,MATCH(AD$1,Data_metier!$B:$B,0)),{"Non Concerné";"Niveau 1";"Niveau 2";"Niveau 3";"Niveau 4"},0)-1),
1/6,0))</f>
        <v>2.9999999999999996</v>
      </c>
    </row>
    <row r="12" spans="1:30">
      <c r="A12" t="str">
        <v>Chauffeur(se) livreur(se)</v>
      </c>
      <c r="B12">
        <f>IF(DE_respon_transv!B12=-1,-1,
DE_respon_transv!B12+IF((MATCH(INDEX(Data_metier!$C:$C,MATCH($A12,Data_metier!$B:$B,0)),{"Non Concerné";"Niveau 1";"Niveau 2";"Niveau 3";"Niveau 4"},0)-1)&gt;(MATCH(INDEX(Data_metier!$C:$C,MATCH(B$1,Data_metier!$B:$B,0)),{"Non Concerné";"Niveau 1";"Niveau 2";"Niveau 3";"Niveau 4"},0)-1),
1/6,0)+IF((MATCH(INDEX(Data_metier!$D:$D,MATCH($A12,Data_metier!$B:$B,0)),{"Non Concerné";"Niveau 1";"Niveau 2";"Niveau 3";"Niveau 4"},0)-1)&gt;(MATCH(INDEX(Data_metier!$D:$D,MATCH(B$1,Data_metier!$B:$B,0)),{"Non Concerné";"Niveau 1";"Niveau 2";"Niveau 3";"Niveau 4"},0)-1),
1/6,0)+IF((MATCH(INDEX(Data_metier!$E:$E,MATCH($A12,Data_metier!$B:$B,0)),{"Non Concerné";"Niveau 1";"Niveau 2";"Niveau 3";"Niveau 4"},0)-1)&gt;(MATCH(INDEX(Data_metier!$E:$E,MATCH(B$1,Data_metier!$B:$B,0)),{"Non Concerné";"Niveau 1";"Niveau 2";"Niveau 3";"Niveau 4"},0)-1),
1/6,0))</f>
        <v>-1</v>
      </c>
      <c r="C12">
        <f>IF(DE_respon_transv!C12=-1,-1,
DE_respon_transv!C12+IF((MATCH(INDEX(Data_metier!$C:$C,MATCH($A12,Data_metier!$B:$B,0)),{"Non Concerné";"Niveau 1";"Niveau 2";"Niveau 3";"Niveau 4"},0)-1)&gt;(MATCH(INDEX(Data_metier!$C:$C,MATCH(C$1,Data_metier!$B:$B,0)),{"Non Concerné";"Niveau 1";"Niveau 2";"Niveau 3";"Niveau 4"},0)-1),
1/6,0)+IF((MATCH(INDEX(Data_metier!$D:$D,MATCH($A12,Data_metier!$B:$B,0)),{"Non Concerné";"Niveau 1";"Niveau 2";"Niveau 3";"Niveau 4"},0)-1)&gt;(MATCH(INDEX(Data_metier!$D:$D,MATCH(C$1,Data_metier!$B:$B,0)),{"Non Concerné";"Niveau 1";"Niveau 2";"Niveau 3";"Niveau 4"},0)-1),
1/6,0)+IF((MATCH(INDEX(Data_metier!$E:$E,MATCH($A12,Data_metier!$B:$B,0)),{"Non Concerné";"Niveau 1";"Niveau 2";"Niveau 3";"Niveau 4"},0)-1)&gt;(MATCH(INDEX(Data_metier!$E:$E,MATCH(C$1,Data_metier!$B:$B,0)),{"Non Concerné";"Niveau 1";"Niveau 2";"Niveau 3";"Niveau 4"},0)-1),
1/6,0))</f>
        <v>-1</v>
      </c>
      <c r="D12">
        <f>IF(DE_respon_transv!D12=-1,-1,
DE_respon_transv!D12+IF((MATCH(INDEX(Data_metier!$C:$C,MATCH($A12,Data_metier!$B:$B,0)),{"Non Concerné";"Niveau 1";"Niveau 2";"Niveau 3";"Niveau 4"},0)-1)&gt;(MATCH(INDEX(Data_metier!$C:$C,MATCH(D$1,Data_metier!$B:$B,0)),{"Non Concerné";"Niveau 1";"Niveau 2";"Niveau 3";"Niveau 4"},0)-1),
1/6,0)+IF((MATCH(INDEX(Data_metier!$D:$D,MATCH($A12,Data_metier!$B:$B,0)),{"Non Concerné";"Niveau 1";"Niveau 2";"Niveau 3";"Niveau 4"},0)-1)&gt;(MATCH(INDEX(Data_metier!$D:$D,MATCH(D$1,Data_metier!$B:$B,0)),{"Non Concerné";"Niveau 1";"Niveau 2";"Niveau 3";"Niveau 4"},0)-1),
1/6,0)+IF((MATCH(INDEX(Data_metier!$E:$E,MATCH($A12,Data_metier!$B:$B,0)),{"Non Concerné";"Niveau 1";"Niveau 2";"Niveau 3";"Niveau 4"},0)-1)&gt;(MATCH(INDEX(Data_metier!$E:$E,MATCH(D$1,Data_metier!$B:$B,0)),{"Non Concerné";"Niveau 1";"Niveau 2";"Niveau 3";"Niveau 4"},0)-1),
1/6,0))</f>
        <v>0.5</v>
      </c>
      <c r="E12">
        <f>IF(DE_respon_transv!E12=-1,-1,
DE_respon_transv!E12+IF((MATCH(INDEX(Data_metier!$C:$C,MATCH($A12,Data_metier!$B:$B,0)),{"Non Concerné";"Niveau 1";"Niveau 2";"Niveau 3";"Niveau 4"},0)-1)&gt;(MATCH(INDEX(Data_metier!$C:$C,MATCH(E$1,Data_metier!$B:$B,0)),{"Non Concerné";"Niveau 1";"Niveau 2";"Niveau 3";"Niveau 4"},0)-1),
1/6,0)+IF((MATCH(INDEX(Data_metier!$D:$D,MATCH($A12,Data_metier!$B:$B,0)),{"Non Concerné";"Niveau 1";"Niveau 2";"Niveau 3";"Niveau 4"},0)-1)&gt;(MATCH(INDEX(Data_metier!$D:$D,MATCH(E$1,Data_metier!$B:$B,0)),{"Non Concerné";"Niveau 1";"Niveau 2";"Niveau 3";"Niveau 4"},0)-1),
1/6,0)+IF((MATCH(INDEX(Data_metier!$E:$E,MATCH($A12,Data_metier!$B:$B,0)),{"Non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12">
        <f>IF(DE_respon_transv!F12=-1,-1,
DE_respon_transv!F12+IF((MATCH(INDEX(Data_metier!$C:$C,MATCH($A12,Data_metier!$B:$B,0)),{"Non Concerné";"Niveau 1";"Niveau 2";"Niveau 3";"Niveau 4"},0)-1)&gt;(MATCH(INDEX(Data_metier!$C:$C,MATCH(F$1,Data_metier!$B:$B,0)),{"Non Concerné";"Niveau 1";"Niveau 2";"Niveau 3";"Niveau 4"},0)-1),
1/6,0)+IF((MATCH(INDEX(Data_metier!$D:$D,MATCH($A12,Data_metier!$B:$B,0)),{"Non Concerné";"Niveau 1";"Niveau 2";"Niveau 3";"Niveau 4"},0)-1)&gt;(MATCH(INDEX(Data_metier!$D:$D,MATCH(F$1,Data_metier!$B:$B,0)),{"Non Concerné";"Niveau 1";"Niveau 2";"Niveau 3";"Niveau 4"},0)-1),
1/6,0)+IF((MATCH(INDEX(Data_metier!$E:$E,MATCH($A12,Data_metier!$B:$B,0)),{"Non Concerné";"Niveau 1";"Niveau 2";"Niveau 3";"Niveau 4"},0)-1)&gt;(MATCH(INDEX(Data_metier!$E:$E,MATCH(F$1,Data_metier!$B:$B,0)),{"Non Concerné";"Niveau 1";"Niveau 2";"Niveau 3";"Niveau 4"},0)-1),
1/6,0))</f>
        <v>-1</v>
      </c>
      <c r="G12">
        <f>IF(DE_respon_transv!G12=-1,-1,
DE_respon_transv!G12+IF((MATCH(INDEX(Data_metier!$C:$C,MATCH($A12,Data_metier!$B:$B,0)),{"Non Concerné";"Niveau 1";"Niveau 2";"Niveau 3";"Niveau 4"},0)-1)&gt;(MATCH(INDEX(Data_metier!$C:$C,MATCH(G$1,Data_metier!$B:$B,0)),{"Non Concerné";"Niveau 1";"Niveau 2";"Niveau 3";"Niveau 4"},0)-1),
1/6,0)+IF((MATCH(INDEX(Data_metier!$D:$D,MATCH($A12,Data_metier!$B:$B,0)),{"Non Concerné";"Niveau 1";"Niveau 2";"Niveau 3";"Niveau 4"},0)-1)&gt;(MATCH(INDEX(Data_metier!$D:$D,MATCH(G$1,Data_metier!$B:$B,0)),{"Non Concerné";"Niveau 1";"Niveau 2";"Niveau 3";"Niveau 4"},0)-1),
1/6,0)+IF((MATCH(INDEX(Data_metier!$E:$E,MATCH($A12,Data_metier!$B:$B,0)),{"Non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12">
        <f>IF(DE_respon_transv!H12=-1,-1,
DE_respon_transv!H12+IF((MATCH(INDEX(Data_metier!$C:$C,MATCH($A12,Data_metier!$B:$B,0)),{"Non Concerné";"Niveau 1";"Niveau 2";"Niveau 3";"Niveau 4"},0)-1)&gt;(MATCH(INDEX(Data_metier!$C:$C,MATCH(H$1,Data_metier!$B:$B,0)),{"Non Concerné";"Niveau 1";"Niveau 2";"Niveau 3";"Niveau 4"},0)-1),
1/6,0)+IF((MATCH(INDEX(Data_metier!$D:$D,MATCH($A12,Data_metier!$B:$B,0)),{"Non Concerné";"Niveau 1";"Niveau 2";"Niveau 3";"Niveau 4"},0)-1)&gt;(MATCH(INDEX(Data_metier!$D:$D,MATCH(H$1,Data_metier!$B:$B,0)),{"Non Concerné";"Niveau 1";"Niveau 2";"Niveau 3";"Niveau 4"},0)-1),
1/6,0)+IF((MATCH(INDEX(Data_metier!$E:$E,MATCH($A12,Data_metier!$B:$B,0)),{"Non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12">
        <f>IF(DE_respon_transv!I12=-1,-1,
DE_respon_transv!I12+IF((MATCH(INDEX(Data_metier!$C:$C,MATCH($A12,Data_metier!$B:$B,0)),{"Non Concerné";"Niveau 1";"Niveau 2";"Niveau 3";"Niveau 4"},0)-1)&gt;(MATCH(INDEX(Data_metier!$C:$C,MATCH(I$1,Data_metier!$B:$B,0)),{"Non Concerné";"Niveau 1";"Niveau 2";"Niveau 3";"Niveau 4"},0)-1),
1/6,0)+IF((MATCH(INDEX(Data_metier!$D:$D,MATCH($A12,Data_metier!$B:$B,0)),{"Non Concerné";"Niveau 1";"Niveau 2";"Niveau 3";"Niveau 4"},0)-1)&gt;(MATCH(INDEX(Data_metier!$D:$D,MATCH(I$1,Data_metier!$B:$B,0)),{"Non Concerné";"Niveau 1";"Niveau 2";"Niveau 3";"Niveau 4"},0)-1),
1/6,0)+IF((MATCH(INDEX(Data_metier!$E:$E,MATCH($A12,Data_metier!$B:$B,0)),{"Non Concerné";"Niveau 1";"Niveau 2";"Niveau 3";"Niveau 4"},0)-1)&gt;(MATCH(INDEX(Data_metier!$E:$E,MATCH(I$1,Data_metier!$B:$B,0)),{"Non Concerné";"Niveau 1";"Niveau 2";"Niveau 3";"Niveau 4"},0)-1),
1/6,0))</f>
        <v>0.5</v>
      </c>
      <c r="J12">
        <f>IF(DE_respon_transv!J12=-1,-1,
DE_respon_transv!J12+IF((MATCH(INDEX(Data_metier!$C:$C,MATCH($A12,Data_metier!$B:$B,0)),{"Non Concerné";"Niveau 1";"Niveau 2";"Niveau 3";"Niveau 4"},0)-1)&gt;(MATCH(INDEX(Data_metier!$C:$C,MATCH(J$1,Data_metier!$B:$B,0)),{"Non Concerné";"Niveau 1";"Niveau 2";"Niveau 3";"Niveau 4"},0)-1),
1/6,0)+IF((MATCH(INDEX(Data_metier!$D:$D,MATCH($A12,Data_metier!$B:$B,0)),{"Non Concerné";"Niveau 1";"Niveau 2";"Niveau 3";"Niveau 4"},0)-1)&gt;(MATCH(INDEX(Data_metier!$D:$D,MATCH(J$1,Data_metier!$B:$B,0)),{"Non Concerné";"Niveau 1";"Niveau 2";"Niveau 3";"Niveau 4"},0)-1),
1/6,0)+IF((MATCH(INDEX(Data_metier!$E:$E,MATCH($A12,Data_metier!$B:$B,0)),{"Non Concerné";"Niveau 1";"Niveau 2";"Niveau 3";"Niveau 4"},0)-1)&gt;(MATCH(INDEX(Data_metier!$E:$E,MATCH(J$1,Data_metier!$B:$B,0)),{"Non Concerné";"Niveau 1";"Niveau 2";"Niveau 3";"Niveau 4"},0)-1),
1/6,0))</f>
        <v>-1</v>
      </c>
      <c r="K12">
        <f>IF(DE_respon_transv!K12=-1,-1,
DE_respon_transv!K12+IF((MATCH(INDEX(Data_metier!$C:$C,MATCH($A12,Data_metier!$B:$B,0)),{"Non Concerné";"Niveau 1";"Niveau 2";"Niveau 3";"Niveau 4"},0)-1)&gt;(MATCH(INDEX(Data_metier!$C:$C,MATCH(K$1,Data_metier!$B:$B,0)),{"Non Concerné";"Niveau 1";"Niveau 2";"Niveau 3";"Niveau 4"},0)-1),
1/6,0)+IF((MATCH(INDEX(Data_metier!$D:$D,MATCH($A12,Data_metier!$B:$B,0)),{"Non Concerné";"Niveau 1";"Niveau 2";"Niveau 3";"Niveau 4"},0)-1)&gt;(MATCH(INDEX(Data_metier!$D:$D,MATCH(K$1,Data_metier!$B:$B,0)),{"Non Concerné";"Niveau 1";"Niveau 2";"Niveau 3";"Niveau 4"},0)-1),
1/6,0)+IF((MATCH(INDEX(Data_metier!$E:$E,MATCH($A12,Data_metier!$B:$B,0)),{"Non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12">
        <f>IF(DE_respon_transv!L12=-1,-1,
DE_respon_transv!L12+IF((MATCH(INDEX(Data_metier!$C:$C,MATCH($A12,Data_metier!$B:$B,0)),{"Non Concerné";"Niveau 1";"Niveau 2";"Niveau 3";"Niveau 4"},0)-1)&gt;(MATCH(INDEX(Data_metier!$C:$C,MATCH(L$1,Data_metier!$B:$B,0)),{"Non Concerné";"Niveau 1";"Niveau 2";"Niveau 3";"Niveau 4"},0)-1),
1/6,0)+IF((MATCH(INDEX(Data_metier!$D:$D,MATCH($A12,Data_metier!$B:$B,0)),{"Non Concerné";"Niveau 1";"Niveau 2";"Niveau 3";"Niveau 4"},0)-1)&gt;(MATCH(INDEX(Data_metier!$D:$D,MATCH(L$1,Data_metier!$B:$B,0)),{"Non Concerné";"Niveau 1";"Niveau 2";"Niveau 3";"Niveau 4"},0)-1),
1/6,0)+IF((MATCH(INDEX(Data_metier!$E:$E,MATCH($A12,Data_metier!$B:$B,0)),{"Non Concerné";"Niveau 1";"Niveau 2";"Niveau 3";"Niveau 4"},0)-1)&gt;(MATCH(INDEX(Data_metier!$E:$E,MATCH(L$1,Data_metier!$B:$B,0)),{"Non Concerné";"Niveau 1";"Niveau 2";"Niveau 3";"Niveau 4"},0)-1),
1/6,0))</f>
        <v>0</v>
      </c>
      <c r="M12">
        <f>IF(DE_respon_transv!M12=-1,-1,
DE_respon_transv!M12+IF((MATCH(INDEX(Data_metier!$C:$C,MATCH($A12,Data_metier!$B:$B,0)),{"Non Concerné";"Niveau 1";"Niveau 2";"Niveau 3";"Niveau 4"},0)-1)&gt;(MATCH(INDEX(Data_metier!$C:$C,MATCH(M$1,Data_metier!$B:$B,0)),{"Non Concerné";"Niveau 1";"Niveau 2";"Niveau 3";"Niveau 4"},0)-1),
1/6,0)+IF((MATCH(INDEX(Data_metier!$D:$D,MATCH($A12,Data_metier!$B:$B,0)),{"Non Concerné";"Niveau 1";"Niveau 2";"Niveau 3";"Niveau 4"},0)-1)&gt;(MATCH(INDEX(Data_metier!$D:$D,MATCH(M$1,Data_metier!$B:$B,0)),{"Non Concerné";"Niveau 1";"Niveau 2";"Niveau 3";"Niveau 4"},0)-1),
1/6,0)+IF((MATCH(INDEX(Data_metier!$E:$E,MATCH($A12,Data_metier!$B:$B,0)),{"Non Concerné";"Niveau 1";"Niveau 2";"Niveau 3";"Niveau 4"},0)-1)&gt;(MATCH(INDEX(Data_metier!$E:$E,MATCH(M$1,Data_metier!$B:$B,0)),{"Non Concerné";"Niveau 1";"Niveau 2";"Niveau 3";"Niveau 4"},0)-1),
1/6,0))</f>
        <v>-1</v>
      </c>
      <c r="N12">
        <f>IF(DE_respon_transv!N12=-1,-1,
DE_respon_transv!N12+IF((MATCH(INDEX(Data_metier!$C:$C,MATCH($A12,Data_metier!$B:$B,0)),{"Non Concerné";"Niveau 1";"Niveau 2";"Niveau 3";"Niveau 4"},0)-1)&gt;(MATCH(INDEX(Data_metier!$C:$C,MATCH(N$1,Data_metier!$B:$B,0)),{"Non Concerné";"Niveau 1";"Niveau 2";"Niveau 3";"Niveau 4"},0)-1),
1/6,0)+IF((MATCH(INDEX(Data_metier!$D:$D,MATCH($A12,Data_metier!$B:$B,0)),{"Non Concerné";"Niveau 1";"Niveau 2";"Niveau 3";"Niveau 4"},0)-1)&gt;(MATCH(INDEX(Data_metier!$D:$D,MATCH(N$1,Data_metier!$B:$B,0)),{"Non Concerné";"Niveau 1";"Niveau 2";"Niveau 3";"Niveau 4"},0)-1),
1/6,0)+IF((MATCH(INDEX(Data_metier!$E:$E,MATCH($A12,Data_metier!$B:$B,0)),{"Non Concerné";"Niveau 1";"Niveau 2";"Niveau 3";"Niveau 4"},0)-1)&gt;(MATCH(INDEX(Data_metier!$E:$E,MATCH(N$1,Data_metier!$B:$B,0)),{"Non Concerné";"Niveau 1";"Niveau 2";"Niveau 3";"Niveau 4"},0)-1),
1/6,0))</f>
        <v>-1</v>
      </c>
      <c r="O12">
        <f>IF(DE_respon_transv!O12=-1,-1,
DE_respon_transv!O12+IF((MATCH(INDEX(Data_metier!$C:$C,MATCH($A12,Data_metier!$B:$B,0)),{"Non Concerné";"Niveau 1";"Niveau 2";"Niveau 3";"Niveau 4"},0)-1)&gt;(MATCH(INDEX(Data_metier!$C:$C,MATCH(O$1,Data_metier!$B:$B,0)),{"Non Concerné";"Niveau 1";"Niveau 2";"Niveau 3";"Niveau 4"},0)-1),
1/6,0)+IF((MATCH(INDEX(Data_metier!$D:$D,MATCH($A12,Data_metier!$B:$B,0)),{"Non Concerné";"Niveau 1";"Niveau 2";"Niveau 3";"Niveau 4"},0)-1)&gt;(MATCH(INDEX(Data_metier!$D:$D,MATCH(O$1,Data_metier!$B:$B,0)),{"Non Concerné";"Niveau 1";"Niveau 2";"Niveau 3";"Niveau 4"},0)-1),
1/6,0)+IF((MATCH(INDEX(Data_metier!$E:$E,MATCH($A12,Data_metier!$B:$B,0)),{"Non Concerné";"Niveau 1";"Niveau 2";"Niveau 3";"Niveau 4"},0)-1)&gt;(MATCH(INDEX(Data_metier!$E:$E,MATCH(O$1,Data_metier!$B:$B,0)),{"Non Concerné";"Niveau 1";"Niveau 2";"Niveau 3";"Niveau 4"},0)-1),
1/6,0))</f>
        <v>0</v>
      </c>
      <c r="P12">
        <f>IF(DE_respon_transv!P12=-1,-1,
DE_respon_transv!P12+IF((MATCH(INDEX(Data_metier!$C:$C,MATCH($A12,Data_metier!$B:$B,0)),{"Non Concerné";"Niveau 1";"Niveau 2";"Niveau 3";"Niveau 4"},0)-1)&gt;(MATCH(INDEX(Data_metier!$C:$C,MATCH(P$1,Data_metier!$B:$B,0)),{"Non Concerné";"Niveau 1";"Niveau 2";"Niveau 3";"Niveau 4"},0)-1),
1/6,0)+IF((MATCH(INDEX(Data_metier!$D:$D,MATCH($A12,Data_metier!$B:$B,0)),{"Non Concerné";"Niveau 1";"Niveau 2";"Niveau 3";"Niveau 4"},0)-1)&gt;(MATCH(INDEX(Data_metier!$D:$D,MATCH(P$1,Data_metier!$B:$B,0)),{"Non Concerné";"Niveau 1";"Niveau 2";"Niveau 3";"Niveau 4"},0)-1),
1/6,0)+IF((MATCH(INDEX(Data_metier!$E:$E,MATCH($A12,Data_metier!$B:$B,0)),{"Non Concerné";"Niveau 1";"Niveau 2";"Niveau 3";"Niveau 4"},0)-1)&gt;(MATCH(INDEX(Data_metier!$E:$E,MATCH(P$1,Data_metier!$B:$B,0)),{"Non Concerné";"Niveau 1";"Niveau 2";"Niveau 3";"Niveau 4"},0)-1),
1/6,0))</f>
        <v>0.5</v>
      </c>
      <c r="Q12">
        <f>IF(DE_respon_transv!Q12=-1,-1,
DE_respon_transv!Q12+IF((MATCH(INDEX(Data_metier!$C:$C,MATCH($A12,Data_metier!$B:$B,0)),{"Non Concerné";"Niveau 1";"Niveau 2";"Niveau 3";"Niveau 4"},0)-1)&gt;(MATCH(INDEX(Data_metier!$C:$C,MATCH(Q$1,Data_metier!$B:$B,0)),{"Non Concerné";"Niveau 1";"Niveau 2";"Niveau 3";"Niveau 4"},0)-1),
1/6,0)+IF((MATCH(INDEX(Data_metier!$D:$D,MATCH($A12,Data_metier!$B:$B,0)),{"Non Concerné";"Niveau 1";"Niveau 2";"Niveau 3";"Niveau 4"},0)-1)&gt;(MATCH(INDEX(Data_metier!$D:$D,MATCH(Q$1,Data_metier!$B:$B,0)),{"Non Concerné";"Niveau 1";"Niveau 2";"Niveau 3";"Niveau 4"},0)-1),
1/6,0)+IF((MATCH(INDEX(Data_metier!$E:$E,MATCH($A12,Data_metier!$B:$B,0)),{"Non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12">
        <f>IF(DE_respon_transv!R12=-1,-1,
DE_respon_transv!R12+IF((MATCH(INDEX(Data_metier!$C:$C,MATCH($A12,Data_metier!$B:$B,0)),{"Non Concerné";"Niveau 1";"Niveau 2";"Niveau 3";"Niveau 4"},0)-1)&gt;(MATCH(INDEX(Data_metier!$C:$C,MATCH(R$1,Data_metier!$B:$B,0)),{"Non Concerné";"Niveau 1";"Niveau 2";"Niveau 3";"Niveau 4"},0)-1),
1/6,0)+IF((MATCH(INDEX(Data_metier!$D:$D,MATCH($A12,Data_metier!$B:$B,0)),{"Non Concerné";"Niveau 1";"Niveau 2";"Niveau 3";"Niveau 4"},0)-1)&gt;(MATCH(INDEX(Data_metier!$D:$D,MATCH(R$1,Data_metier!$B:$B,0)),{"Non Concerné";"Niveau 1";"Niveau 2";"Niveau 3";"Niveau 4"},0)-1),
1/6,0)+IF((MATCH(INDEX(Data_metier!$E:$E,MATCH($A12,Data_metier!$B:$B,0)),{"Non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12">
        <f>IF(DE_respon_transv!S12=-1,-1,
DE_respon_transv!S12+IF((MATCH(INDEX(Data_metier!$C:$C,MATCH($A12,Data_metier!$B:$B,0)),{"Non Concerné";"Niveau 1";"Niveau 2";"Niveau 3";"Niveau 4"},0)-1)&gt;(MATCH(INDEX(Data_metier!$C:$C,MATCH(S$1,Data_metier!$B:$B,0)),{"Non Concerné";"Niveau 1";"Niveau 2";"Niveau 3";"Niveau 4"},0)-1),
1/6,0)+IF((MATCH(INDEX(Data_metier!$D:$D,MATCH($A12,Data_metier!$B:$B,0)),{"Non Concerné";"Niveau 1";"Niveau 2";"Niveau 3";"Niveau 4"},0)-1)&gt;(MATCH(INDEX(Data_metier!$D:$D,MATCH(S$1,Data_metier!$B:$B,0)),{"Non Concerné";"Niveau 1";"Niveau 2";"Niveau 3";"Niveau 4"},0)-1),
1/6,0)+IF((MATCH(INDEX(Data_metier!$E:$E,MATCH($A12,Data_metier!$B:$B,0)),{"Non Concerné";"Niveau 1";"Niveau 2";"Niveau 3";"Niveau 4"},0)-1)&gt;(MATCH(INDEX(Data_metier!$E:$E,MATCH(S$1,Data_metier!$B:$B,0)),{"Non Concerné";"Niveau 1";"Niveau 2";"Niveau 3";"Niveau 4"},0)-1),
1/6,0))</f>
        <v>0.5</v>
      </c>
      <c r="T12">
        <f>IF(DE_respon_transv!T12=-1,-1,
DE_respon_transv!T12+IF((MATCH(INDEX(Data_metier!$C:$C,MATCH($A12,Data_metier!$B:$B,0)),{"Non Concerné";"Niveau 1";"Niveau 2";"Niveau 3";"Niveau 4"},0)-1)&gt;(MATCH(INDEX(Data_metier!$C:$C,MATCH(T$1,Data_metier!$B:$B,0)),{"Non Concerné";"Niveau 1";"Niveau 2";"Niveau 3";"Niveau 4"},0)-1),
1/6,0)+IF((MATCH(INDEX(Data_metier!$D:$D,MATCH($A12,Data_metier!$B:$B,0)),{"Non Concerné";"Niveau 1";"Niveau 2";"Niveau 3";"Niveau 4"},0)-1)&gt;(MATCH(INDEX(Data_metier!$D:$D,MATCH(T$1,Data_metier!$B:$B,0)),{"Non Concerné";"Niveau 1";"Niveau 2";"Niveau 3";"Niveau 4"},0)-1),
1/6,0)+IF((MATCH(INDEX(Data_metier!$E:$E,MATCH($A12,Data_metier!$B:$B,0)),{"Non Concerné";"Niveau 1";"Niveau 2";"Niveau 3";"Niveau 4"},0)-1)&gt;(MATCH(INDEX(Data_metier!$E:$E,MATCH(T$1,Data_metier!$B:$B,0)),{"Non Concerné";"Niveau 1";"Niveau 2";"Niveau 3";"Niveau 4"},0)-1),
1/6,0))</f>
        <v>0.33333333333333331</v>
      </c>
      <c r="U12">
        <f>IF(DE_respon_transv!U12=-1,-1,
DE_respon_transv!U12+IF((MATCH(INDEX(Data_metier!$C:$C,MATCH($A12,Data_metier!$B:$B,0)),{"Non Concerné";"Niveau 1";"Niveau 2";"Niveau 3";"Niveau 4"},0)-1)&gt;(MATCH(INDEX(Data_metier!$C:$C,MATCH(U$1,Data_metier!$B:$B,0)),{"Non Concerné";"Niveau 1";"Niveau 2";"Niveau 3";"Niveau 4"},0)-1),
1/6,0)+IF((MATCH(INDEX(Data_metier!$D:$D,MATCH($A12,Data_metier!$B:$B,0)),{"Non Concerné";"Niveau 1";"Niveau 2";"Niveau 3";"Niveau 4"},0)-1)&gt;(MATCH(INDEX(Data_metier!$D:$D,MATCH(U$1,Data_metier!$B:$B,0)),{"Non Concerné";"Niveau 1";"Niveau 2";"Niveau 3";"Niveau 4"},0)-1),
1/6,0)+IF((MATCH(INDEX(Data_metier!$E:$E,MATCH($A12,Data_metier!$B:$B,0)),{"Non Concerné";"Niveau 1";"Niveau 2";"Niveau 3";"Niveau 4"},0)-1)&gt;(MATCH(INDEX(Data_metier!$E:$E,MATCH(U$1,Data_metier!$B:$B,0)),{"Non Concerné";"Niveau 1";"Niveau 2";"Niveau 3";"Niveau 4"},0)-1),
1/6,0))</f>
        <v>0.5</v>
      </c>
      <c r="V12">
        <f>IF(DE_respon_transv!V12=-1,-1,
DE_respon_transv!V12+IF((MATCH(INDEX(Data_metier!$C:$C,MATCH($A12,Data_metier!$B:$B,0)),{"Non Concerné";"Niveau 1";"Niveau 2";"Niveau 3";"Niveau 4"},0)-1)&gt;(MATCH(INDEX(Data_metier!$C:$C,MATCH(V$1,Data_metier!$B:$B,0)),{"Non Concerné";"Niveau 1";"Niveau 2";"Niveau 3";"Niveau 4"},0)-1),
1/6,0)+IF((MATCH(INDEX(Data_metier!$D:$D,MATCH($A12,Data_metier!$B:$B,0)),{"Non Concerné";"Niveau 1";"Niveau 2";"Niveau 3";"Niveau 4"},0)-1)&gt;(MATCH(INDEX(Data_metier!$D:$D,MATCH(V$1,Data_metier!$B:$B,0)),{"Non Concerné";"Niveau 1";"Niveau 2";"Niveau 3";"Niveau 4"},0)-1),
1/6,0)+IF((MATCH(INDEX(Data_metier!$E:$E,MATCH($A12,Data_metier!$B:$B,0)),{"Non Concerné";"Niveau 1";"Niveau 2";"Niveau 3";"Niveau 4"},0)-1)&gt;(MATCH(INDEX(Data_metier!$E:$E,MATCH(V$1,Data_metier!$B:$B,0)),{"Non Concerné";"Niveau 1";"Niveau 2";"Niveau 3";"Niveau 4"},0)-1),
1/6,0))</f>
        <v>-1</v>
      </c>
      <c r="W12">
        <f>IF(DE_respon_transv!W12=-1,-1,
DE_respon_transv!W12+IF((MATCH(INDEX(Data_metier!$C:$C,MATCH($A12,Data_metier!$B:$B,0)),{"Non Concerné";"Niveau 1";"Niveau 2";"Niveau 3";"Niveau 4"},0)-1)&gt;(MATCH(INDEX(Data_metier!$C:$C,MATCH(W$1,Data_metier!$B:$B,0)),{"Non Concerné";"Niveau 1";"Niveau 2";"Niveau 3";"Niveau 4"},0)-1),
1/6,0)+IF((MATCH(INDEX(Data_metier!$D:$D,MATCH($A12,Data_metier!$B:$B,0)),{"Non Concerné";"Niveau 1";"Niveau 2";"Niveau 3";"Niveau 4"},0)-1)&gt;(MATCH(INDEX(Data_metier!$D:$D,MATCH(W$1,Data_metier!$B:$B,0)),{"Non Concerné";"Niveau 1";"Niveau 2";"Niveau 3";"Niveau 4"},0)-1),
1/6,0)+IF((MATCH(INDEX(Data_metier!$E:$E,MATCH($A12,Data_metier!$B:$B,0)),{"Non Concerné";"Niveau 1";"Niveau 2";"Niveau 3";"Niveau 4"},0)-1)&gt;(MATCH(INDEX(Data_metier!$E:$E,MATCH(W$1,Data_metier!$B:$B,0)),{"Non Concerné";"Niveau 1";"Niveau 2";"Niveau 3";"Niveau 4"},0)-1),
1/6,0))</f>
        <v>-1</v>
      </c>
      <c r="X12">
        <f>IF(DE_respon_transv!X12=-1,-1,
DE_respon_transv!X12+IF((MATCH(INDEX(Data_metier!$C:$C,MATCH($A12,Data_metier!$B:$B,0)),{"Non Concerné";"Niveau 1";"Niveau 2";"Niveau 3";"Niveau 4"},0)-1)&gt;(MATCH(INDEX(Data_metier!$C:$C,MATCH(X$1,Data_metier!$B:$B,0)),{"Non Concerné";"Niveau 1";"Niveau 2";"Niveau 3";"Niveau 4"},0)-1),
1/6,0)+IF((MATCH(INDEX(Data_metier!$D:$D,MATCH($A12,Data_metier!$B:$B,0)),{"Non Concerné";"Niveau 1";"Niveau 2";"Niveau 3";"Niveau 4"},0)-1)&gt;(MATCH(INDEX(Data_metier!$D:$D,MATCH(X$1,Data_metier!$B:$B,0)),{"Non Concerné";"Niveau 1";"Niveau 2";"Niveau 3";"Niveau 4"},0)-1),
1/6,0)+IF((MATCH(INDEX(Data_metier!$E:$E,MATCH($A12,Data_metier!$B:$B,0)),{"Non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12">
        <f>IF(DE_respon_transv!Y12=-1,-1,
DE_respon_transv!Y12+IF((MATCH(INDEX(Data_metier!$C:$C,MATCH($A12,Data_metier!$B:$B,0)),{"Non Concerné";"Niveau 1";"Niveau 2";"Niveau 3";"Niveau 4"},0)-1)&gt;(MATCH(INDEX(Data_metier!$C:$C,MATCH(Y$1,Data_metier!$B:$B,0)),{"Non Concerné";"Niveau 1";"Niveau 2";"Niveau 3";"Niveau 4"},0)-1),
1/6,0)+IF((MATCH(INDEX(Data_metier!$D:$D,MATCH($A12,Data_metier!$B:$B,0)),{"Non Concerné";"Niveau 1";"Niveau 2";"Niveau 3";"Niveau 4"},0)-1)&gt;(MATCH(INDEX(Data_metier!$D:$D,MATCH(Y$1,Data_metier!$B:$B,0)),{"Non Concerné";"Niveau 1";"Niveau 2";"Niveau 3";"Niveau 4"},0)-1),
1/6,0)+IF((MATCH(INDEX(Data_metier!$E:$E,MATCH($A12,Data_metier!$B:$B,0)),{"Non Concerné";"Niveau 1";"Niveau 2";"Niveau 3";"Niveau 4"},0)-1)&gt;(MATCH(INDEX(Data_metier!$E:$E,MATCH(Y$1,Data_metier!$B:$B,0)),{"Non Concerné";"Niveau 1";"Niveau 2";"Niveau 3";"Niveau 4"},0)-1),
1/6,0))</f>
        <v>0.5</v>
      </c>
      <c r="Z12">
        <f>IF(DE_respon_transv!Z12=-1,-1,
DE_respon_transv!Z12+IF((MATCH(INDEX(Data_metier!$C:$C,MATCH($A12,Data_metier!$B:$B,0)),{"Non Concerné";"Niveau 1";"Niveau 2";"Niveau 3";"Niveau 4"},0)-1)&gt;(MATCH(INDEX(Data_metier!$C:$C,MATCH(Z$1,Data_metier!$B:$B,0)),{"Non Concerné";"Niveau 1";"Niveau 2";"Niveau 3";"Niveau 4"},0)-1),
1/6,0)+IF((MATCH(INDEX(Data_metier!$D:$D,MATCH($A12,Data_metier!$B:$B,0)),{"Non Concerné";"Niveau 1";"Niveau 2";"Niveau 3";"Niveau 4"},0)-1)&gt;(MATCH(INDEX(Data_metier!$D:$D,MATCH(Z$1,Data_metier!$B:$B,0)),{"Non Concerné";"Niveau 1";"Niveau 2";"Niveau 3";"Niveau 4"},0)-1),
1/6,0)+IF((MATCH(INDEX(Data_metier!$E:$E,MATCH($A12,Data_metier!$B:$B,0)),{"Non Concerné";"Niveau 1";"Niveau 2";"Niveau 3";"Niveau 4"},0)-1)&gt;(MATCH(INDEX(Data_metier!$E:$E,MATCH(Z$1,Data_metier!$B:$B,0)),{"Non Concerné";"Niveau 1";"Niveau 2";"Niveau 3";"Niveau 4"},0)-1),
1/6,0))</f>
        <v>0.5</v>
      </c>
      <c r="AA12">
        <f>IF(DE_respon_transv!AA12=-1,-1,
DE_respon_transv!AA12+IF((MATCH(INDEX(Data_metier!$C:$C,MATCH($A12,Data_metier!$B:$B,0)),{"Non Concerné";"Niveau 1";"Niveau 2";"Niveau 3";"Niveau 4"},0)-1)&gt;(MATCH(INDEX(Data_metier!$C:$C,MATCH(AA$1,Data_metier!$B:$B,0)),{"Non Concerné";"Niveau 1";"Niveau 2";"Niveau 3";"Niveau 4"},0)-1),
1/6,0)+IF((MATCH(INDEX(Data_metier!$D:$D,MATCH($A12,Data_metier!$B:$B,0)),{"Non Concerné";"Niveau 1";"Niveau 2";"Niveau 3";"Niveau 4"},0)-1)&gt;(MATCH(INDEX(Data_metier!$D:$D,MATCH(AA$1,Data_metier!$B:$B,0)),{"Non Concerné";"Niveau 1";"Niveau 2";"Niveau 3";"Niveau 4"},0)-1),
1/6,0)+IF((MATCH(INDEX(Data_metier!$E:$E,MATCH($A12,Data_metier!$B:$B,0)),{"Non Concerné";"Niveau 1";"Niveau 2";"Niveau 3";"Niveau 4"},0)-1)&gt;(MATCH(INDEX(Data_metier!$E:$E,MATCH(AA$1,Data_metier!$B:$B,0)),{"Non Concerné";"Niveau 1";"Niveau 2";"Niveau 3";"Niveau 4"},0)-1),
1/6,0))</f>
        <v>0.5</v>
      </c>
      <c r="AB12">
        <f>IF(DE_respon_transv!AB12=-1,-1,
DE_respon_transv!AB12+IF((MATCH(INDEX(Data_metier!$C:$C,MATCH($A12,Data_metier!$B:$B,0)),{"Non Concerné";"Niveau 1";"Niveau 2";"Niveau 3";"Niveau 4"},0)-1)&gt;(MATCH(INDEX(Data_metier!$C:$C,MATCH(AB$1,Data_metier!$B:$B,0)),{"Non Concerné";"Niveau 1";"Niveau 2";"Niveau 3";"Niveau 4"},0)-1),
1/6,0)+IF((MATCH(INDEX(Data_metier!$D:$D,MATCH($A12,Data_metier!$B:$B,0)),{"Non Concerné";"Niveau 1";"Niveau 2";"Niveau 3";"Niveau 4"},0)-1)&gt;(MATCH(INDEX(Data_metier!$D:$D,MATCH(AB$1,Data_metier!$B:$B,0)),{"Non Concerné";"Niveau 1";"Niveau 2";"Niveau 3";"Niveau 4"},0)-1),
1/6,0)+IF((MATCH(INDEX(Data_metier!$E:$E,MATCH($A12,Data_metier!$B:$B,0)),{"Non Concerné";"Niveau 1";"Niveau 2";"Niveau 3";"Niveau 4"},0)-1)&gt;(MATCH(INDEX(Data_metier!$E:$E,MATCH(AB$1,Data_metier!$B:$B,0)),{"Non Concerné";"Niveau 1";"Niveau 2";"Niveau 3";"Niveau 4"},0)-1),
1/6,0))</f>
        <v>-1</v>
      </c>
      <c r="AC12">
        <f>IF(DE_respon_transv!AC12=-1,-1,
DE_respon_transv!AC12+IF((MATCH(INDEX(Data_metier!$C:$C,MATCH($A12,Data_metier!$B:$B,0)),{"Non Concerné";"Niveau 1";"Niveau 2";"Niveau 3";"Niveau 4"},0)-1)&gt;(MATCH(INDEX(Data_metier!$C:$C,MATCH(AC$1,Data_metier!$B:$B,0)),{"Non Concerné";"Niveau 1";"Niveau 2";"Niveau 3";"Niveau 4"},0)-1),
1/6,0)+IF((MATCH(INDEX(Data_metier!$D:$D,MATCH($A12,Data_metier!$B:$B,0)),{"Non Concerné";"Niveau 1";"Niveau 2";"Niveau 3";"Niveau 4"},0)-1)&gt;(MATCH(INDEX(Data_metier!$D:$D,MATCH(AC$1,Data_metier!$B:$B,0)),{"Non Concerné";"Niveau 1";"Niveau 2";"Niveau 3";"Niveau 4"},0)-1),
1/6,0)+IF((MATCH(INDEX(Data_metier!$E:$E,MATCH($A12,Data_metier!$B:$B,0)),{"Non Concerné";"Niveau 1";"Niveau 2";"Niveau 3";"Niveau 4"},0)-1)&gt;(MATCH(INDEX(Data_metier!$E:$E,MATCH(AC$1,Data_metier!$B:$B,0)),{"Non Concerné";"Niveau 1";"Niveau 2";"Niveau 3";"Niveau 4"},0)-1),
1/6,0))</f>
        <v>-1</v>
      </c>
      <c r="AD12">
        <f>IF(DE_respon_transv!AD12=-1,-1,
DE_respon_transv!AD12+IF((MATCH(INDEX(Data_metier!$C:$C,MATCH($A12,Data_metier!$B:$B,0)),{"Non Concerné";"Niveau 1";"Niveau 2";"Niveau 3";"Niveau 4"},0)-1)&gt;(MATCH(INDEX(Data_metier!$C:$C,MATCH(AD$1,Data_metier!$B:$B,0)),{"Non Concerné";"Niveau 1";"Niveau 2";"Niveau 3";"Niveau 4"},0)-1),
1/6,0)+IF((MATCH(INDEX(Data_metier!$D:$D,MATCH($A12,Data_metier!$B:$B,0)),{"Non Concerné";"Niveau 1";"Niveau 2";"Niveau 3";"Niveau 4"},0)-1)&gt;(MATCH(INDEX(Data_metier!$D:$D,MATCH(AD$1,Data_metier!$B:$B,0)),{"Non Concerné";"Niveau 1";"Niveau 2";"Niveau 3";"Niveau 4"},0)-1),
1/6,0)+IF((MATCH(INDEX(Data_metier!$E:$E,MATCH($A12,Data_metier!$B:$B,0)),{"Non Concerné";"Niveau 1";"Niveau 2";"Niveau 3";"Niveau 4"},0)-1)&gt;(MATCH(INDEX(Data_metier!$E:$E,MATCH(AD$1,Data_metier!$B:$B,0)),{"Non Concerné";"Niveau 1";"Niveau 2";"Niveau 3";"Niveau 4"},0)-1),
1/6,0))</f>
        <v>-1</v>
      </c>
    </row>
    <row r="13" spans="1:30">
      <c r="A13" t="str">
        <v>Régleur(se)</v>
      </c>
      <c r="B13">
        <f>IF(DE_respon_transv!B13=-1,-1,
DE_respon_transv!B13+IF((MATCH(INDEX(Data_metier!$C:$C,MATCH($A13,Data_metier!$B:$B,0)),{"Non Concerné";"Niveau 1";"Niveau 2";"Niveau 3";"Niveau 4"},0)-1)&gt;(MATCH(INDEX(Data_metier!$C:$C,MATCH(B$1,Data_metier!$B:$B,0)),{"Non Concerné";"Niveau 1";"Niveau 2";"Niveau 3";"Niveau 4"},0)-1),
1/6,0)+IF((MATCH(INDEX(Data_metier!$D:$D,MATCH($A13,Data_metier!$B:$B,0)),{"Non Concerné";"Niveau 1";"Niveau 2";"Niveau 3";"Niveau 4"},0)-1)&gt;(MATCH(INDEX(Data_metier!$D:$D,MATCH(B$1,Data_metier!$B:$B,0)),{"Non Concerné";"Niveau 1";"Niveau 2";"Niveau 3";"Niveau 4"},0)-1),
1/6,0)+IF((MATCH(INDEX(Data_metier!$E:$E,MATCH($A13,Data_metier!$B:$B,0)),{"Non Concerné";"Niveau 1";"Niveau 2";"Niveau 3";"Niveau 4"},0)-1)&gt;(MATCH(INDEX(Data_metier!$E:$E,MATCH(B$1,Data_metier!$B:$B,0)),{"Non Concerné";"Niveau 1";"Niveau 2";"Niveau 3";"Niveau 4"},0)-1),
1/6,0))</f>
        <v>0.16666666666666666</v>
      </c>
      <c r="C13">
        <f>IF(DE_respon_transv!C13=-1,-1,
DE_respon_transv!C13+IF((MATCH(INDEX(Data_metier!$C:$C,MATCH($A13,Data_metier!$B:$B,0)),{"Non Concerné";"Niveau 1";"Niveau 2";"Niveau 3";"Niveau 4"},0)-1)&gt;(MATCH(INDEX(Data_metier!$C:$C,MATCH(C$1,Data_metier!$B:$B,0)),{"Non Concerné";"Niveau 1";"Niveau 2";"Niveau 3";"Niveau 4"},0)-1),
1/6,0)+IF((MATCH(INDEX(Data_metier!$D:$D,MATCH($A13,Data_metier!$B:$B,0)),{"Non Concerné";"Niveau 1";"Niveau 2";"Niveau 3";"Niveau 4"},0)-1)&gt;(MATCH(INDEX(Data_metier!$D:$D,MATCH(C$1,Data_metier!$B:$B,0)),{"Non Concerné";"Niveau 1";"Niveau 2";"Niveau 3";"Niveau 4"},0)-1),
1/6,0)+IF((MATCH(INDEX(Data_metier!$E:$E,MATCH($A13,Data_metier!$B:$B,0)),{"Non Concerné";"Niveau 1";"Niveau 2";"Niveau 3";"Niveau 4"},0)-1)&gt;(MATCH(INDEX(Data_metier!$E:$E,MATCH(C$1,Data_metier!$B:$B,0)),{"Non Concerné";"Niveau 1";"Niveau 2";"Niveau 3";"Niveau 4"},0)-1),
1/6,0))</f>
        <v>0</v>
      </c>
      <c r="D13">
        <f>IF(DE_respon_transv!D13=-1,-1,
DE_respon_transv!D13+IF((MATCH(INDEX(Data_metier!$C:$C,MATCH($A13,Data_metier!$B:$B,0)),{"Non Concerné";"Niveau 1";"Niveau 2";"Niveau 3";"Niveau 4"},0)-1)&gt;(MATCH(INDEX(Data_metier!$C:$C,MATCH(D$1,Data_metier!$B:$B,0)),{"Non Concerné";"Niveau 1";"Niveau 2";"Niveau 3";"Niveau 4"},0)-1),
1/6,0)+IF((MATCH(INDEX(Data_metier!$D:$D,MATCH($A13,Data_metier!$B:$B,0)),{"Non Concerné";"Niveau 1";"Niveau 2";"Niveau 3";"Niveau 4"},0)-1)&gt;(MATCH(INDEX(Data_metier!$D:$D,MATCH(D$1,Data_metier!$B:$B,0)),{"Non Concerné";"Niveau 1";"Niveau 2";"Niveau 3";"Niveau 4"},0)-1),
1/6,0)+IF((MATCH(INDEX(Data_metier!$E:$E,MATCH($A13,Data_metier!$B:$B,0)),{"Non Concerné";"Niveau 1";"Niveau 2";"Niveau 3";"Niveau 4"},0)-1)&gt;(MATCH(INDEX(Data_metier!$E:$E,MATCH(D$1,Data_metier!$B:$B,0)),{"Non Concerné";"Niveau 1";"Niveau 2";"Niveau 3";"Niveau 4"},0)-1),
1/6,0))</f>
        <v>1.1666666666666667</v>
      </c>
      <c r="E13">
        <f>IF(DE_respon_transv!E13=-1,-1,
DE_respon_transv!E13+IF((MATCH(INDEX(Data_metier!$C:$C,MATCH($A13,Data_metier!$B:$B,0)),{"Non Concerné";"Niveau 1";"Niveau 2";"Niveau 3";"Niveau 4"},0)-1)&gt;(MATCH(INDEX(Data_metier!$C:$C,MATCH(E$1,Data_metier!$B:$B,0)),{"Non Concerné";"Niveau 1";"Niveau 2";"Niveau 3";"Niveau 4"},0)-1),
1/6,0)+IF((MATCH(INDEX(Data_metier!$D:$D,MATCH($A13,Data_metier!$B:$B,0)),{"Non Concerné";"Niveau 1";"Niveau 2";"Niveau 3";"Niveau 4"},0)-1)&gt;(MATCH(INDEX(Data_metier!$D:$D,MATCH(E$1,Data_metier!$B:$B,0)),{"Non Concerné";"Niveau 1";"Niveau 2";"Niveau 3";"Niveau 4"},0)-1),
1/6,0)+IF((MATCH(INDEX(Data_metier!$E:$E,MATCH($A13,Data_metier!$B:$B,0)),{"Non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13">
        <f>IF(DE_respon_transv!F13=-1,-1,
DE_respon_transv!F13+IF((MATCH(INDEX(Data_metier!$C:$C,MATCH($A13,Data_metier!$B:$B,0)),{"Non Concerné";"Niveau 1";"Niveau 2";"Niveau 3";"Niveau 4"},0)-1)&gt;(MATCH(INDEX(Data_metier!$C:$C,MATCH(F$1,Data_metier!$B:$B,0)),{"Non Concerné";"Niveau 1";"Niveau 2";"Niveau 3";"Niveau 4"},0)-1),
1/6,0)+IF((MATCH(INDEX(Data_metier!$D:$D,MATCH($A13,Data_metier!$B:$B,0)),{"Non Concerné";"Niveau 1";"Niveau 2";"Niveau 3";"Niveau 4"},0)-1)&gt;(MATCH(INDEX(Data_metier!$D:$D,MATCH(F$1,Data_metier!$B:$B,0)),{"Non Concerné";"Niveau 1";"Niveau 2";"Niveau 3";"Niveau 4"},0)-1),
1/6,0)+IF((MATCH(INDEX(Data_metier!$E:$E,MATCH($A13,Data_metier!$B:$B,0)),{"Non Concerné";"Niveau 1";"Niveau 2";"Niveau 3";"Niveau 4"},0)-1)&gt;(MATCH(INDEX(Data_metier!$E:$E,MATCH(F$1,Data_metier!$B:$B,0)),{"Non Concerné";"Niveau 1";"Niveau 2";"Niveau 3";"Niveau 4"},0)-1),
1/6,0))</f>
        <v>-1</v>
      </c>
      <c r="G13">
        <f>IF(DE_respon_transv!G13=-1,-1,
DE_respon_transv!G13+IF((MATCH(INDEX(Data_metier!$C:$C,MATCH($A13,Data_metier!$B:$B,0)),{"Non Concerné";"Niveau 1";"Niveau 2";"Niveau 3";"Niveau 4"},0)-1)&gt;(MATCH(INDEX(Data_metier!$C:$C,MATCH(G$1,Data_metier!$B:$B,0)),{"Non Concerné";"Niveau 1";"Niveau 2";"Niveau 3";"Niveau 4"},0)-1),
1/6,0)+IF((MATCH(INDEX(Data_metier!$D:$D,MATCH($A13,Data_metier!$B:$B,0)),{"Non Concerné";"Niveau 1";"Niveau 2";"Niveau 3";"Niveau 4"},0)-1)&gt;(MATCH(INDEX(Data_metier!$D:$D,MATCH(G$1,Data_metier!$B:$B,0)),{"Non Concerné";"Niveau 1";"Niveau 2";"Niveau 3";"Niveau 4"},0)-1),
1/6,0)+IF((MATCH(INDEX(Data_metier!$E:$E,MATCH($A13,Data_metier!$B:$B,0)),{"Non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13">
        <f>IF(DE_respon_transv!H13=-1,-1,
DE_respon_transv!H13+IF((MATCH(INDEX(Data_metier!$C:$C,MATCH($A13,Data_metier!$B:$B,0)),{"Non Concerné";"Niveau 1";"Niveau 2";"Niveau 3";"Niveau 4"},0)-1)&gt;(MATCH(INDEX(Data_metier!$C:$C,MATCH(H$1,Data_metier!$B:$B,0)),{"Non Concerné";"Niveau 1";"Niveau 2";"Niveau 3";"Niveau 4"},0)-1),
1/6,0)+IF((MATCH(INDEX(Data_metier!$D:$D,MATCH($A13,Data_metier!$B:$B,0)),{"Non Concerné";"Niveau 1";"Niveau 2";"Niveau 3";"Niveau 4"},0)-1)&gt;(MATCH(INDEX(Data_metier!$D:$D,MATCH(H$1,Data_metier!$B:$B,0)),{"Non Concerné";"Niveau 1";"Niveau 2";"Niveau 3";"Niveau 4"},0)-1),
1/6,0)+IF((MATCH(INDEX(Data_metier!$E:$E,MATCH($A13,Data_metier!$B:$B,0)),{"Non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13">
        <f>IF(DE_respon_transv!I13=-1,-1,
DE_respon_transv!I13+IF((MATCH(INDEX(Data_metier!$C:$C,MATCH($A13,Data_metier!$B:$B,0)),{"Non Concerné";"Niveau 1";"Niveau 2";"Niveau 3";"Niveau 4"},0)-1)&gt;(MATCH(INDEX(Data_metier!$C:$C,MATCH(I$1,Data_metier!$B:$B,0)),{"Non Concerné";"Niveau 1";"Niveau 2";"Niveau 3";"Niveau 4"},0)-1),
1/6,0)+IF((MATCH(INDEX(Data_metier!$D:$D,MATCH($A13,Data_metier!$B:$B,0)),{"Non Concerné";"Niveau 1";"Niveau 2";"Niveau 3";"Niveau 4"},0)-1)&gt;(MATCH(INDEX(Data_metier!$D:$D,MATCH(I$1,Data_metier!$B:$B,0)),{"Non Concerné";"Niveau 1";"Niveau 2";"Niveau 3";"Niveau 4"},0)-1),
1/6,0)+IF((MATCH(INDEX(Data_metier!$E:$E,MATCH($A13,Data_metier!$B:$B,0)),{"Non Concerné";"Niveau 1";"Niveau 2";"Niveau 3";"Niveau 4"},0)-1)&gt;(MATCH(INDEX(Data_metier!$E:$E,MATCH(I$1,Data_metier!$B:$B,0)),{"Non Concerné";"Niveau 1";"Niveau 2";"Niveau 3";"Niveau 4"},0)-1),
1/6,0))</f>
        <v>1.1666666666666667</v>
      </c>
      <c r="J13">
        <f>IF(DE_respon_transv!J13=-1,-1,
DE_respon_transv!J13+IF((MATCH(INDEX(Data_metier!$C:$C,MATCH($A13,Data_metier!$B:$B,0)),{"Non Concerné";"Niveau 1";"Niveau 2";"Niveau 3";"Niveau 4"},0)-1)&gt;(MATCH(INDEX(Data_metier!$C:$C,MATCH(J$1,Data_metier!$B:$B,0)),{"Non Concerné";"Niveau 1";"Niveau 2";"Niveau 3";"Niveau 4"},0)-1),
1/6,0)+IF((MATCH(INDEX(Data_metier!$D:$D,MATCH($A13,Data_metier!$B:$B,0)),{"Non Concerné";"Niveau 1";"Niveau 2";"Niveau 3";"Niveau 4"},0)-1)&gt;(MATCH(INDEX(Data_metier!$D:$D,MATCH(J$1,Data_metier!$B:$B,0)),{"Non Concerné";"Niveau 1";"Niveau 2";"Niveau 3";"Niveau 4"},0)-1),
1/6,0)+IF((MATCH(INDEX(Data_metier!$E:$E,MATCH($A13,Data_metier!$B:$B,0)),{"Non Concerné";"Niveau 1";"Niveau 2";"Niveau 3";"Niveau 4"},0)-1)&gt;(MATCH(INDEX(Data_metier!$E:$E,MATCH(J$1,Data_metier!$B:$B,0)),{"Non Concerné";"Niveau 1";"Niveau 2";"Niveau 3";"Niveau 4"},0)-1),
1/6,0))</f>
        <v>-1</v>
      </c>
      <c r="K13">
        <f>IF(DE_respon_transv!K13=-1,-1,
DE_respon_transv!K13+IF((MATCH(INDEX(Data_metier!$C:$C,MATCH($A13,Data_metier!$B:$B,0)),{"Non Concerné";"Niveau 1";"Niveau 2";"Niveau 3";"Niveau 4"},0)-1)&gt;(MATCH(INDEX(Data_metier!$C:$C,MATCH(K$1,Data_metier!$B:$B,0)),{"Non Concerné";"Niveau 1";"Niveau 2";"Niveau 3";"Niveau 4"},0)-1),
1/6,0)+IF((MATCH(INDEX(Data_metier!$D:$D,MATCH($A13,Data_metier!$B:$B,0)),{"Non Concerné";"Niveau 1";"Niveau 2";"Niveau 3";"Niveau 4"},0)-1)&gt;(MATCH(INDEX(Data_metier!$D:$D,MATCH(K$1,Data_metier!$B:$B,0)),{"Non Concerné";"Niveau 1";"Niveau 2";"Niveau 3";"Niveau 4"},0)-1),
1/6,0)+IF((MATCH(INDEX(Data_metier!$E:$E,MATCH($A13,Data_metier!$B:$B,0)),{"Non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13">
        <f>IF(DE_respon_transv!L13=-1,-1,
DE_respon_transv!L13+IF((MATCH(INDEX(Data_metier!$C:$C,MATCH($A13,Data_metier!$B:$B,0)),{"Non Concerné";"Niveau 1";"Niveau 2";"Niveau 3";"Niveau 4"},0)-1)&gt;(MATCH(INDEX(Data_metier!$C:$C,MATCH(L$1,Data_metier!$B:$B,0)),{"Non Concerné";"Niveau 1";"Niveau 2";"Niveau 3";"Niveau 4"},0)-1),
1/6,0)+IF((MATCH(INDEX(Data_metier!$D:$D,MATCH($A13,Data_metier!$B:$B,0)),{"Non Concerné";"Niveau 1";"Niveau 2";"Niveau 3";"Niveau 4"},0)-1)&gt;(MATCH(INDEX(Data_metier!$D:$D,MATCH(L$1,Data_metier!$B:$B,0)),{"Non Concerné";"Niveau 1";"Niveau 2";"Niveau 3";"Niveau 4"},0)-1),
1/6,0)+IF((MATCH(INDEX(Data_metier!$E:$E,MATCH($A13,Data_metier!$B:$B,0)),{"Non Concerné";"Niveau 1";"Niveau 2";"Niveau 3";"Niveau 4"},0)-1)&gt;(MATCH(INDEX(Data_metier!$E:$E,MATCH(L$1,Data_metier!$B:$B,0)),{"Non Concerné";"Niveau 1";"Niveau 2";"Niveau 3";"Niveau 4"},0)-1),
1/6,0))</f>
        <v>1</v>
      </c>
      <c r="M13">
        <f>IF(DE_respon_transv!M13=-1,-1,
DE_respon_transv!M13+IF((MATCH(INDEX(Data_metier!$C:$C,MATCH($A13,Data_metier!$B:$B,0)),{"Non Concerné";"Niveau 1";"Niveau 2";"Niveau 3";"Niveau 4"},0)-1)&gt;(MATCH(INDEX(Data_metier!$C:$C,MATCH(M$1,Data_metier!$B:$B,0)),{"Non Concerné";"Niveau 1";"Niveau 2";"Niveau 3";"Niveau 4"},0)-1),
1/6,0)+IF((MATCH(INDEX(Data_metier!$D:$D,MATCH($A13,Data_metier!$B:$B,0)),{"Non Concerné";"Niveau 1";"Niveau 2";"Niveau 3";"Niveau 4"},0)-1)&gt;(MATCH(INDEX(Data_metier!$D:$D,MATCH(M$1,Data_metier!$B:$B,0)),{"Non Concerné";"Niveau 1";"Niveau 2";"Niveau 3";"Niveau 4"},0)-1),
1/6,0)+IF((MATCH(INDEX(Data_metier!$E:$E,MATCH($A13,Data_metier!$B:$B,0)),{"Non Concerné";"Niveau 1";"Niveau 2";"Niveau 3";"Niveau 4"},0)-1)&gt;(MATCH(INDEX(Data_metier!$E:$E,MATCH(M$1,Data_metier!$B:$B,0)),{"Non Concerné";"Niveau 1";"Niveau 2";"Niveau 3";"Niveau 4"},0)-1),
1/6,0))</f>
        <v>0</v>
      </c>
      <c r="N13">
        <f>IF(DE_respon_transv!N13=-1,-1,
DE_respon_transv!N13+IF((MATCH(INDEX(Data_metier!$C:$C,MATCH($A13,Data_metier!$B:$B,0)),{"Non Concerné";"Niveau 1";"Niveau 2";"Niveau 3";"Niveau 4"},0)-1)&gt;(MATCH(INDEX(Data_metier!$C:$C,MATCH(N$1,Data_metier!$B:$B,0)),{"Non Concerné";"Niveau 1";"Niveau 2";"Niveau 3";"Niveau 4"},0)-1),
1/6,0)+IF((MATCH(INDEX(Data_metier!$D:$D,MATCH($A13,Data_metier!$B:$B,0)),{"Non Concerné";"Niveau 1";"Niveau 2";"Niveau 3";"Niveau 4"},0)-1)&gt;(MATCH(INDEX(Data_metier!$D:$D,MATCH(N$1,Data_metier!$B:$B,0)),{"Non Concerné";"Niveau 1";"Niveau 2";"Niveau 3";"Niveau 4"},0)-1),
1/6,0)+IF((MATCH(INDEX(Data_metier!$E:$E,MATCH($A13,Data_metier!$B:$B,0)),{"Non Concerné";"Niveau 1";"Niveau 2";"Niveau 3";"Niveau 4"},0)-1)&gt;(MATCH(INDEX(Data_metier!$E:$E,MATCH(N$1,Data_metier!$B:$B,0)),{"Non Concerné";"Niveau 1";"Niveau 2";"Niveau 3";"Niveau 4"},0)-1),
1/6,0))</f>
        <v>-1</v>
      </c>
      <c r="O13">
        <f>IF(DE_respon_transv!O13=-1,-1,
DE_respon_transv!O13+IF((MATCH(INDEX(Data_metier!$C:$C,MATCH($A13,Data_metier!$B:$B,0)),{"Non Concerné";"Niveau 1";"Niveau 2";"Niveau 3";"Niveau 4"},0)-1)&gt;(MATCH(INDEX(Data_metier!$C:$C,MATCH(O$1,Data_metier!$B:$B,0)),{"Non Concerné";"Niveau 1";"Niveau 2";"Niveau 3";"Niveau 4"},0)-1),
1/6,0)+IF((MATCH(INDEX(Data_metier!$D:$D,MATCH($A13,Data_metier!$B:$B,0)),{"Non Concerné";"Niveau 1";"Niveau 2";"Niveau 3";"Niveau 4"},0)-1)&gt;(MATCH(INDEX(Data_metier!$D:$D,MATCH(O$1,Data_metier!$B:$B,0)),{"Non Concerné";"Niveau 1";"Niveau 2";"Niveau 3";"Niveau 4"},0)-1),
1/6,0)+IF((MATCH(INDEX(Data_metier!$E:$E,MATCH($A13,Data_metier!$B:$B,0)),{"Non Concerné";"Niveau 1";"Niveau 2";"Niveau 3";"Niveau 4"},0)-1)&gt;(MATCH(INDEX(Data_metier!$E:$E,MATCH(O$1,Data_metier!$B:$B,0)),{"Non Concerné";"Niveau 1";"Niveau 2";"Niveau 3";"Niveau 4"},0)-1),
1/6,0))</f>
        <v>1</v>
      </c>
      <c r="P13">
        <f>IF(DE_respon_transv!P13=-1,-1,
DE_respon_transv!P13+IF((MATCH(INDEX(Data_metier!$C:$C,MATCH($A13,Data_metier!$B:$B,0)),{"Non Concerné";"Niveau 1";"Niveau 2";"Niveau 3";"Niveau 4"},0)-1)&gt;(MATCH(INDEX(Data_metier!$C:$C,MATCH(P$1,Data_metier!$B:$B,0)),{"Non Concerné";"Niveau 1";"Niveau 2";"Niveau 3";"Niveau 4"},0)-1),
1/6,0)+IF((MATCH(INDEX(Data_metier!$D:$D,MATCH($A13,Data_metier!$B:$B,0)),{"Non Concerné";"Niveau 1";"Niveau 2";"Niveau 3";"Niveau 4"},0)-1)&gt;(MATCH(INDEX(Data_metier!$D:$D,MATCH(P$1,Data_metier!$B:$B,0)),{"Non Concerné";"Niveau 1";"Niveau 2";"Niveau 3";"Niveau 4"},0)-1),
1/6,0)+IF((MATCH(INDEX(Data_metier!$E:$E,MATCH($A13,Data_metier!$B:$B,0)),{"Non Concerné";"Niveau 1";"Niveau 2";"Niveau 3";"Niveau 4"},0)-1)&gt;(MATCH(INDEX(Data_metier!$E:$E,MATCH(P$1,Data_metier!$B:$B,0)),{"Non Concerné";"Niveau 1";"Niveau 2";"Niveau 3";"Niveau 4"},0)-1),
1/6,0))</f>
        <v>1.1666666666666667</v>
      </c>
      <c r="Q13">
        <f>IF(DE_respon_transv!Q13=-1,-1,
DE_respon_transv!Q13+IF((MATCH(INDEX(Data_metier!$C:$C,MATCH($A13,Data_metier!$B:$B,0)),{"Non Concerné";"Niveau 1";"Niveau 2";"Niveau 3";"Niveau 4"},0)-1)&gt;(MATCH(INDEX(Data_metier!$C:$C,MATCH(Q$1,Data_metier!$B:$B,0)),{"Non Concerné";"Niveau 1";"Niveau 2";"Niveau 3";"Niveau 4"},0)-1),
1/6,0)+IF((MATCH(INDEX(Data_metier!$D:$D,MATCH($A13,Data_metier!$B:$B,0)),{"Non Concerné";"Niveau 1";"Niveau 2";"Niveau 3";"Niveau 4"},0)-1)&gt;(MATCH(INDEX(Data_metier!$D:$D,MATCH(Q$1,Data_metier!$B:$B,0)),{"Non Concerné";"Niveau 1";"Niveau 2";"Niveau 3";"Niveau 4"},0)-1),
1/6,0)+IF((MATCH(INDEX(Data_metier!$E:$E,MATCH($A13,Data_metier!$B:$B,0)),{"Non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13">
        <f>IF(DE_respon_transv!R13=-1,-1,
DE_respon_transv!R13+IF((MATCH(INDEX(Data_metier!$C:$C,MATCH($A13,Data_metier!$B:$B,0)),{"Non Concerné";"Niveau 1";"Niveau 2";"Niveau 3";"Niveau 4"},0)-1)&gt;(MATCH(INDEX(Data_metier!$C:$C,MATCH(R$1,Data_metier!$B:$B,0)),{"Non Concerné";"Niveau 1";"Niveau 2";"Niveau 3";"Niveau 4"},0)-1),
1/6,0)+IF((MATCH(INDEX(Data_metier!$D:$D,MATCH($A13,Data_metier!$B:$B,0)),{"Non Concerné";"Niveau 1";"Niveau 2";"Niveau 3";"Niveau 4"},0)-1)&gt;(MATCH(INDEX(Data_metier!$D:$D,MATCH(R$1,Data_metier!$B:$B,0)),{"Non Concerné";"Niveau 1";"Niveau 2";"Niveau 3";"Niveau 4"},0)-1),
1/6,0)+IF((MATCH(INDEX(Data_metier!$E:$E,MATCH($A13,Data_metier!$B:$B,0)),{"Non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13">
        <f>IF(DE_respon_transv!S13=-1,-1,
DE_respon_transv!S13+IF((MATCH(INDEX(Data_metier!$C:$C,MATCH($A13,Data_metier!$B:$B,0)),{"Non Concerné";"Niveau 1";"Niveau 2";"Niveau 3";"Niveau 4"},0)-1)&gt;(MATCH(INDEX(Data_metier!$C:$C,MATCH(S$1,Data_metier!$B:$B,0)),{"Non Concerné";"Niveau 1";"Niveau 2";"Niveau 3";"Niveau 4"},0)-1),
1/6,0)+IF((MATCH(INDEX(Data_metier!$D:$D,MATCH($A13,Data_metier!$B:$B,0)),{"Non Concerné";"Niveau 1";"Niveau 2";"Niveau 3";"Niveau 4"},0)-1)&gt;(MATCH(INDEX(Data_metier!$D:$D,MATCH(S$1,Data_metier!$B:$B,0)),{"Non Concerné";"Niveau 1";"Niveau 2";"Niveau 3";"Niveau 4"},0)-1),
1/6,0)+IF((MATCH(INDEX(Data_metier!$E:$E,MATCH($A13,Data_metier!$B:$B,0)),{"Non Concerné";"Niveau 1";"Niveau 2";"Niveau 3";"Niveau 4"},0)-1)&gt;(MATCH(INDEX(Data_metier!$E:$E,MATCH(S$1,Data_metier!$B:$B,0)),{"Non Concerné";"Niveau 1";"Niveau 2";"Niveau 3";"Niveau 4"},0)-1),
1/6,0))</f>
        <v>1.1666666666666667</v>
      </c>
      <c r="T13">
        <f>IF(DE_respon_transv!T13=-1,-1,
DE_respon_transv!T13+IF((MATCH(INDEX(Data_metier!$C:$C,MATCH($A13,Data_metier!$B:$B,0)),{"Non Concerné";"Niveau 1";"Niveau 2";"Niveau 3";"Niveau 4"},0)-1)&gt;(MATCH(INDEX(Data_metier!$C:$C,MATCH(T$1,Data_metier!$B:$B,0)),{"Non Concerné";"Niveau 1";"Niveau 2";"Niveau 3";"Niveau 4"},0)-1),
1/6,0)+IF((MATCH(INDEX(Data_metier!$D:$D,MATCH($A13,Data_metier!$B:$B,0)),{"Non Concerné";"Niveau 1";"Niveau 2";"Niveau 3";"Niveau 4"},0)-1)&gt;(MATCH(INDEX(Data_metier!$D:$D,MATCH(T$1,Data_metier!$B:$B,0)),{"Non Concerné";"Niveau 1";"Niveau 2";"Niveau 3";"Niveau 4"},0)-1),
1/6,0)+IF((MATCH(INDEX(Data_metier!$E:$E,MATCH($A13,Data_metier!$B:$B,0)),{"Non Concerné";"Niveau 1";"Niveau 2";"Niveau 3";"Niveau 4"},0)-1)&gt;(MATCH(INDEX(Data_metier!$E:$E,MATCH(T$1,Data_metier!$B:$B,0)),{"Non Concerné";"Niveau 1";"Niveau 2";"Niveau 3";"Niveau 4"},0)-1),
1/6,0))</f>
        <v>1.1666666666666667</v>
      </c>
      <c r="U13">
        <f>IF(DE_respon_transv!U13=-1,-1,
DE_respon_transv!U13+IF((MATCH(INDEX(Data_metier!$C:$C,MATCH($A13,Data_metier!$B:$B,0)),{"Non Concerné";"Niveau 1";"Niveau 2";"Niveau 3";"Niveau 4"},0)-1)&gt;(MATCH(INDEX(Data_metier!$C:$C,MATCH(U$1,Data_metier!$B:$B,0)),{"Non Concerné";"Niveau 1";"Niveau 2";"Niveau 3";"Niveau 4"},0)-1),
1/6,0)+IF((MATCH(INDEX(Data_metier!$D:$D,MATCH($A13,Data_metier!$B:$B,0)),{"Non Concerné";"Niveau 1";"Niveau 2";"Niveau 3";"Niveau 4"},0)-1)&gt;(MATCH(INDEX(Data_metier!$D:$D,MATCH(U$1,Data_metier!$B:$B,0)),{"Non Concerné";"Niveau 1";"Niveau 2";"Niveau 3";"Niveau 4"},0)-1),
1/6,0)+IF((MATCH(INDEX(Data_metier!$E:$E,MATCH($A13,Data_metier!$B:$B,0)),{"Non Concerné";"Niveau 1";"Niveau 2";"Niveau 3";"Niveau 4"},0)-1)&gt;(MATCH(INDEX(Data_metier!$E:$E,MATCH(U$1,Data_metier!$B:$B,0)),{"Non Concerné";"Niveau 1";"Niveau 2";"Niveau 3";"Niveau 4"},0)-1),
1/6,0))</f>
        <v>1.1666666666666667</v>
      </c>
      <c r="V13">
        <f>IF(DE_respon_transv!V13=-1,-1,
DE_respon_transv!V13+IF((MATCH(INDEX(Data_metier!$C:$C,MATCH($A13,Data_metier!$B:$B,0)),{"Non Concerné";"Niveau 1";"Niveau 2";"Niveau 3";"Niveau 4"},0)-1)&gt;(MATCH(INDEX(Data_metier!$C:$C,MATCH(V$1,Data_metier!$B:$B,0)),{"Non Concerné";"Niveau 1";"Niveau 2";"Niveau 3";"Niveau 4"},0)-1),
1/6,0)+IF((MATCH(INDEX(Data_metier!$D:$D,MATCH($A13,Data_metier!$B:$B,0)),{"Non Concerné";"Niveau 1";"Niveau 2";"Niveau 3";"Niveau 4"},0)-1)&gt;(MATCH(INDEX(Data_metier!$D:$D,MATCH(V$1,Data_metier!$B:$B,0)),{"Non Concerné";"Niveau 1";"Niveau 2";"Niveau 3";"Niveau 4"},0)-1),
1/6,0)+IF((MATCH(INDEX(Data_metier!$E:$E,MATCH($A13,Data_metier!$B:$B,0)),{"Non Concerné";"Niveau 1";"Niveau 2";"Niveau 3";"Niveau 4"},0)-1)&gt;(MATCH(INDEX(Data_metier!$E:$E,MATCH(V$1,Data_metier!$B:$B,0)),{"Non Concerné";"Niveau 1";"Niveau 2";"Niveau 3";"Niveau 4"},0)-1),
1/6,0))</f>
        <v>0</v>
      </c>
      <c r="W13">
        <f>IF(DE_respon_transv!W13=-1,-1,
DE_respon_transv!W13+IF((MATCH(INDEX(Data_metier!$C:$C,MATCH($A13,Data_metier!$B:$B,0)),{"Non Concerné";"Niveau 1";"Niveau 2";"Niveau 3";"Niveau 4"},0)-1)&gt;(MATCH(INDEX(Data_metier!$C:$C,MATCH(W$1,Data_metier!$B:$B,0)),{"Non Concerné";"Niveau 1";"Niveau 2";"Niveau 3";"Niveau 4"},0)-1),
1/6,0)+IF((MATCH(INDEX(Data_metier!$D:$D,MATCH($A13,Data_metier!$B:$B,0)),{"Non Concerné";"Niveau 1";"Niveau 2";"Niveau 3";"Niveau 4"},0)-1)&gt;(MATCH(INDEX(Data_metier!$D:$D,MATCH(W$1,Data_metier!$B:$B,0)),{"Non Concerné";"Niveau 1";"Niveau 2";"Niveau 3";"Niveau 4"},0)-1),
1/6,0)+IF((MATCH(INDEX(Data_metier!$E:$E,MATCH($A13,Data_metier!$B:$B,0)),{"Non Concerné";"Niveau 1";"Niveau 2";"Niveau 3";"Niveau 4"},0)-1)&gt;(MATCH(INDEX(Data_metier!$E:$E,MATCH(W$1,Data_metier!$B:$B,0)),{"Non Concerné";"Niveau 1";"Niveau 2";"Niveau 3";"Niveau 4"},0)-1),
1/6,0))</f>
        <v>0</v>
      </c>
      <c r="X13">
        <f>IF(DE_respon_transv!X13=-1,-1,
DE_respon_transv!X13+IF((MATCH(INDEX(Data_metier!$C:$C,MATCH($A13,Data_metier!$B:$B,0)),{"Non Concerné";"Niveau 1";"Niveau 2";"Niveau 3";"Niveau 4"},0)-1)&gt;(MATCH(INDEX(Data_metier!$C:$C,MATCH(X$1,Data_metier!$B:$B,0)),{"Non Concerné";"Niveau 1";"Niveau 2";"Niveau 3";"Niveau 4"},0)-1),
1/6,0)+IF((MATCH(INDEX(Data_metier!$D:$D,MATCH($A13,Data_metier!$B:$B,0)),{"Non Concerné";"Niveau 1";"Niveau 2";"Niveau 3";"Niveau 4"},0)-1)&gt;(MATCH(INDEX(Data_metier!$D:$D,MATCH(X$1,Data_metier!$B:$B,0)),{"Non Concerné";"Niveau 1";"Niveau 2";"Niveau 3";"Niveau 4"},0)-1),
1/6,0)+IF((MATCH(INDEX(Data_metier!$E:$E,MATCH($A13,Data_metier!$B:$B,0)),{"Non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13">
        <f>IF(DE_respon_transv!Y13=-1,-1,
DE_respon_transv!Y13+IF((MATCH(INDEX(Data_metier!$C:$C,MATCH($A13,Data_metier!$B:$B,0)),{"Non Concerné";"Niveau 1";"Niveau 2";"Niveau 3";"Niveau 4"},0)-1)&gt;(MATCH(INDEX(Data_metier!$C:$C,MATCH(Y$1,Data_metier!$B:$B,0)),{"Non Concerné";"Niveau 1";"Niveau 2";"Niveau 3";"Niveau 4"},0)-1),
1/6,0)+IF((MATCH(INDEX(Data_metier!$D:$D,MATCH($A13,Data_metier!$B:$B,0)),{"Non Concerné";"Niveau 1";"Niveau 2";"Niveau 3";"Niveau 4"},0)-1)&gt;(MATCH(INDEX(Data_metier!$D:$D,MATCH(Y$1,Data_metier!$B:$B,0)),{"Non Concerné";"Niveau 1";"Niveau 2";"Niveau 3";"Niveau 4"},0)-1),
1/6,0)+IF((MATCH(INDEX(Data_metier!$E:$E,MATCH($A13,Data_metier!$B:$B,0)),{"Non Concerné";"Niveau 1";"Niveau 2";"Niveau 3";"Niveau 4"},0)-1)&gt;(MATCH(INDEX(Data_metier!$E:$E,MATCH(Y$1,Data_metier!$B:$B,0)),{"Non Concerné";"Niveau 1";"Niveau 2";"Niveau 3";"Niveau 4"},0)-1),
1/6,0))</f>
        <v>1.1666666666666667</v>
      </c>
      <c r="Z13">
        <f>IF(DE_respon_transv!Z13=-1,-1,
DE_respon_transv!Z13+IF((MATCH(INDEX(Data_metier!$C:$C,MATCH($A13,Data_metier!$B:$B,0)),{"Non Concerné";"Niveau 1";"Niveau 2";"Niveau 3";"Niveau 4"},0)-1)&gt;(MATCH(INDEX(Data_metier!$C:$C,MATCH(Z$1,Data_metier!$B:$B,0)),{"Non Concerné";"Niveau 1";"Niveau 2";"Niveau 3";"Niveau 4"},0)-1),
1/6,0)+IF((MATCH(INDEX(Data_metier!$D:$D,MATCH($A13,Data_metier!$B:$B,0)),{"Non Concerné";"Niveau 1";"Niveau 2";"Niveau 3";"Niveau 4"},0)-1)&gt;(MATCH(INDEX(Data_metier!$D:$D,MATCH(Z$1,Data_metier!$B:$B,0)),{"Non Concerné";"Niveau 1";"Niveau 2";"Niveau 3";"Niveau 4"},0)-1),
1/6,0)+IF((MATCH(INDEX(Data_metier!$E:$E,MATCH($A13,Data_metier!$B:$B,0)),{"Non Concerné";"Niveau 1";"Niveau 2";"Niveau 3";"Niveau 4"},0)-1)&gt;(MATCH(INDEX(Data_metier!$E:$E,MATCH(Z$1,Data_metier!$B:$B,0)),{"Non Concerné";"Niveau 1";"Niveau 2";"Niveau 3";"Niveau 4"},0)-1),
1/6,0))</f>
        <v>1.1666666666666667</v>
      </c>
      <c r="AA13">
        <f>IF(DE_respon_transv!AA13=-1,-1,
DE_respon_transv!AA13+IF((MATCH(INDEX(Data_metier!$C:$C,MATCH($A13,Data_metier!$B:$B,0)),{"Non Concerné";"Niveau 1";"Niveau 2";"Niveau 3";"Niveau 4"},0)-1)&gt;(MATCH(INDEX(Data_metier!$C:$C,MATCH(AA$1,Data_metier!$B:$B,0)),{"Non Concerné";"Niveau 1";"Niveau 2";"Niveau 3";"Niveau 4"},0)-1),
1/6,0)+IF((MATCH(INDEX(Data_metier!$D:$D,MATCH($A13,Data_metier!$B:$B,0)),{"Non Concerné";"Niveau 1";"Niveau 2";"Niveau 3";"Niveau 4"},0)-1)&gt;(MATCH(INDEX(Data_metier!$D:$D,MATCH(AA$1,Data_metier!$B:$B,0)),{"Non Concerné";"Niveau 1";"Niveau 2";"Niveau 3";"Niveau 4"},0)-1),
1/6,0)+IF((MATCH(INDEX(Data_metier!$E:$E,MATCH($A13,Data_metier!$B:$B,0)),{"Non Concerné";"Niveau 1";"Niveau 2";"Niveau 3";"Niveau 4"},0)-1)&gt;(MATCH(INDEX(Data_metier!$E:$E,MATCH(AA$1,Data_metier!$B:$B,0)),{"Non Concerné";"Niveau 1";"Niveau 2";"Niveau 3";"Niveau 4"},0)-1),
1/6,0))</f>
        <v>1.1666666666666667</v>
      </c>
      <c r="AB13">
        <f>IF(DE_respon_transv!AB13=-1,-1,
DE_respon_transv!AB13+IF((MATCH(INDEX(Data_metier!$C:$C,MATCH($A13,Data_metier!$B:$B,0)),{"Non Concerné";"Niveau 1";"Niveau 2";"Niveau 3";"Niveau 4"},0)-1)&gt;(MATCH(INDEX(Data_metier!$C:$C,MATCH(AB$1,Data_metier!$B:$B,0)),{"Non Concerné";"Niveau 1";"Niveau 2";"Niveau 3";"Niveau 4"},0)-1),
1/6,0)+IF((MATCH(INDEX(Data_metier!$D:$D,MATCH($A13,Data_metier!$B:$B,0)),{"Non Concerné";"Niveau 1";"Niveau 2";"Niveau 3";"Niveau 4"},0)-1)&gt;(MATCH(INDEX(Data_metier!$D:$D,MATCH(AB$1,Data_metier!$B:$B,0)),{"Non Concerné";"Niveau 1";"Niveau 2";"Niveau 3";"Niveau 4"},0)-1),
1/6,0)+IF((MATCH(INDEX(Data_metier!$E:$E,MATCH($A13,Data_metier!$B:$B,0)),{"Non Concerné";"Niveau 1";"Niveau 2";"Niveau 3";"Niveau 4"},0)-1)&gt;(MATCH(INDEX(Data_metier!$E:$E,MATCH(AB$1,Data_metier!$B:$B,0)),{"Non Concerné";"Niveau 1";"Niveau 2";"Niveau 3";"Niveau 4"},0)-1),
1/6,0))</f>
        <v>0</v>
      </c>
      <c r="AC13">
        <f>IF(DE_respon_transv!AC13=-1,-1,
DE_respon_transv!AC13+IF((MATCH(INDEX(Data_metier!$C:$C,MATCH($A13,Data_metier!$B:$B,0)),{"Non Concerné";"Niveau 1";"Niveau 2";"Niveau 3";"Niveau 4"},0)-1)&gt;(MATCH(INDEX(Data_metier!$C:$C,MATCH(AC$1,Data_metier!$B:$B,0)),{"Non Concerné";"Niveau 1";"Niveau 2";"Niveau 3";"Niveau 4"},0)-1),
1/6,0)+IF((MATCH(INDEX(Data_metier!$D:$D,MATCH($A13,Data_metier!$B:$B,0)),{"Non Concerné";"Niveau 1";"Niveau 2";"Niveau 3";"Niveau 4"},0)-1)&gt;(MATCH(INDEX(Data_metier!$D:$D,MATCH(AC$1,Data_metier!$B:$B,0)),{"Non Concerné";"Niveau 1";"Niveau 2";"Niveau 3";"Niveau 4"},0)-1),
1/6,0)+IF((MATCH(INDEX(Data_metier!$E:$E,MATCH($A13,Data_metier!$B:$B,0)),{"Non Concerné";"Niveau 1";"Niveau 2";"Niveau 3";"Niveau 4"},0)-1)&gt;(MATCH(INDEX(Data_metier!$E:$E,MATCH(AC$1,Data_metier!$B:$B,0)),{"Non Concerné";"Niveau 1";"Niveau 2";"Niveau 3";"Niveau 4"},0)-1),
1/6,0))</f>
        <v>0</v>
      </c>
      <c r="AD13">
        <f>IF(DE_respon_transv!AD13=-1,-1,
DE_respon_transv!AD13+IF((MATCH(INDEX(Data_metier!$C:$C,MATCH($A13,Data_metier!$B:$B,0)),{"Non Concerné";"Niveau 1";"Niveau 2";"Niveau 3";"Niveau 4"},0)-1)&gt;(MATCH(INDEX(Data_metier!$C:$C,MATCH(AD$1,Data_metier!$B:$B,0)),{"Non Concerné";"Niveau 1";"Niveau 2";"Niveau 3";"Niveau 4"},0)-1),
1/6,0)+IF((MATCH(INDEX(Data_metier!$D:$D,MATCH($A13,Data_metier!$B:$B,0)),{"Non Concerné";"Niveau 1";"Niveau 2";"Niveau 3";"Niveau 4"},0)-1)&gt;(MATCH(INDEX(Data_metier!$D:$D,MATCH(AD$1,Data_metier!$B:$B,0)),{"Non Concerné";"Niveau 1";"Niveau 2";"Niveau 3";"Niveau 4"},0)-1),
1/6,0)+IF((MATCH(INDEX(Data_metier!$E:$E,MATCH($A13,Data_metier!$B:$B,0)),{"Non Concerné";"Niveau 1";"Niveau 2";"Niveau 3";"Niveau 4"},0)-1)&gt;(MATCH(INDEX(Data_metier!$E:$E,MATCH(AD$1,Data_metier!$B:$B,0)),{"Non Concerné";"Niveau 1";"Niveau 2";"Niveau 3";"Niveau 4"},0)-1),
1/6,0))</f>
        <v>-1</v>
      </c>
    </row>
    <row r="14" spans="1:30">
      <c r="A14" t="str">
        <v>Spécialiste procédés et installations de production alimentaire</v>
      </c>
      <c r="B14">
        <f>IF(DE_respon_transv!B14=-1,-1,
DE_respon_transv!B14+IF((MATCH(INDEX(Data_metier!$C:$C,MATCH($A14,Data_metier!$B:$B,0)),{"Non Concerné";"Niveau 1";"Niveau 2";"Niveau 3";"Niveau 4"},0)-1)&gt;(MATCH(INDEX(Data_metier!$C:$C,MATCH(B$1,Data_metier!$B:$B,0)),{"Non Concerné";"Niveau 1";"Niveau 2";"Niveau 3";"Niveau 4"},0)-1),
1/6,0)+IF((MATCH(INDEX(Data_metier!$D:$D,MATCH($A14,Data_metier!$B:$B,0)),{"Non Concerné";"Niveau 1";"Niveau 2";"Niveau 3";"Niveau 4"},0)-1)&gt;(MATCH(INDEX(Data_metier!$D:$D,MATCH(B$1,Data_metier!$B:$B,0)),{"Non Concerné";"Niveau 1";"Niveau 2";"Niveau 3";"Niveau 4"},0)-1),
1/6,0)+IF((MATCH(INDEX(Data_metier!$E:$E,MATCH($A14,Data_metier!$B:$B,0)),{"Non Concerné";"Niveau 1";"Niveau 2";"Niveau 3";"Niveau 4"},0)-1)&gt;(MATCH(INDEX(Data_metier!$E:$E,MATCH(B$1,Data_metier!$B:$B,0)),{"Non Concerné";"Niveau 1";"Niveau 2";"Niveau 3";"Niveau 4"},0)-1),
1/6,0))</f>
        <v>2</v>
      </c>
      <c r="C14">
        <f>IF(DE_respon_transv!C14=-1,-1,
DE_respon_transv!C14+IF((MATCH(INDEX(Data_metier!$C:$C,MATCH($A14,Data_metier!$B:$B,0)),{"Non Concerné";"Niveau 1";"Niveau 2";"Niveau 3";"Niveau 4"},0)-1)&gt;(MATCH(INDEX(Data_metier!$C:$C,MATCH(C$1,Data_metier!$B:$B,0)),{"Non Concerné";"Niveau 1";"Niveau 2";"Niveau 3";"Niveau 4"},0)-1),
1/6,0)+IF((MATCH(INDEX(Data_metier!$D:$D,MATCH($A14,Data_metier!$B:$B,0)),{"Non Concerné";"Niveau 1";"Niveau 2";"Niveau 3";"Niveau 4"},0)-1)&gt;(MATCH(INDEX(Data_metier!$D:$D,MATCH(C$1,Data_metier!$B:$B,0)),{"Non Concerné";"Niveau 1";"Niveau 2";"Niveau 3";"Niveau 4"},0)-1),
1/6,0)+IF((MATCH(INDEX(Data_metier!$E:$E,MATCH($A14,Data_metier!$B:$B,0)),{"Non Concerné";"Niveau 1";"Niveau 2";"Niveau 3";"Niveau 4"},0)-1)&gt;(MATCH(INDEX(Data_metier!$E:$E,MATCH(C$1,Data_metier!$B:$B,0)),{"Non Concerné";"Niveau 1";"Niveau 2";"Niveau 3";"Niveau 4"},0)-1),
1/6,0))</f>
        <v>2</v>
      </c>
      <c r="D14">
        <f>IF(DE_respon_transv!D14=-1,-1,
DE_respon_transv!D14+IF((MATCH(INDEX(Data_metier!$C:$C,MATCH($A14,Data_metier!$B:$B,0)),{"Non Concerné";"Niveau 1";"Niveau 2";"Niveau 3";"Niveau 4"},0)-1)&gt;(MATCH(INDEX(Data_metier!$C:$C,MATCH(D$1,Data_metier!$B:$B,0)),{"Non Concerné";"Niveau 1";"Niveau 2";"Niveau 3";"Niveau 4"},0)-1),
1/6,0)+IF((MATCH(INDEX(Data_metier!$D:$D,MATCH($A14,Data_metier!$B:$B,0)),{"Non Concerné";"Niveau 1";"Niveau 2";"Niveau 3";"Niveau 4"},0)-1)&gt;(MATCH(INDEX(Data_metier!$D:$D,MATCH(D$1,Data_metier!$B:$B,0)),{"Non Concerné";"Niveau 1";"Niveau 2";"Niveau 3";"Niveau 4"},0)-1),
1/6,0)+IF((MATCH(INDEX(Data_metier!$E:$E,MATCH($A14,Data_metier!$B:$B,0)),{"Non Concerné";"Niveau 1";"Niveau 2";"Niveau 3";"Niveau 4"},0)-1)&gt;(MATCH(INDEX(Data_metier!$E:$E,MATCH(D$1,Data_metier!$B:$B,0)),{"Non Concerné";"Niveau 1";"Niveau 2";"Niveau 3";"Niveau 4"},0)-1),
1/6,0))</f>
        <v>2.9999999999999996</v>
      </c>
      <c r="E14">
        <f>IF(DE_respon_transv!E14=-1,-1,
DE_respon_transv!E14+IF((MATCH(INDEX(Data_metier!$C:$C,MATCH($A14,Data_metier!$B:$B,0)),{"Non Concerné";"Niveau 1";"Niveau 2";"Niveau 3";"Niveau 4"},0)-1)&gt;(MATCH(INDEX(Data_metier!$C:$C,MATCH(E$1,Data_metier!$B:$B,0)),{"Non Concerné";"Niveau 1";"Niveau 2";"Niveau 3";"Niveau 4"},0)-1),
1/6,0)+IF((MATCH(INDEX(Data_metier!$D:$D,MATCH($A14,Data_metier!$B:$B,0)),{"Non Concerné";"Niveau 1";"Niveau 2";"Niveau 3";"Niveau 4"},0)-1)&gt;(MATCH(INDEX(Data_metier!$D:$D,MATCH(E$1,Data_metier!$B:$B,0)),{"Non Concerné";"Niveau 1";"Niveau 2";"Niveau 3";"Niveau 4"},0)-1),
1/6,0)+IF((MATCH(INDEX(Data_metier!$E:$E,MATCH($A14,Data_metier!$B:$B,0)),{"Non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14">
        <f>IF(DE_respon_transv!F14=-1,-1,
DE_respon_transv!F14+IF((MATCH(INDEX(Data_metier!$C:$C,MATCH($A14,Data_metier!$B:$B,0)),{"Non Concerné";"Niveau 1";"Niveau 2";"Niveau 3";"Niveau 4"},0)-1)&gt;(MATCH(INDEX(Data_metier!$C:$C,MATCH(F$1,Data_metier!$B:$B,0)),{"Non Concerné";"Niveau 1";"Niveau 2";"Niveau 3";"Niveau 4"},0)-1),
1/6,0)+IF((MATCH(INDEX(Data_metier!$D:$D,MATCH($A14,Data_metier!$B:$B,0)),{"Non Concerné";"Niveau 1";"Niveau 2";"Niveau 3";"Niveau 4"},0)-1)&gt;(MATCH(INDEX(Data_metier!$D:$D,MATCH(F$1,Data_metier!$B:$B,0)),{"Non Concerné";"Niveau 1";"Niveau 2";"Niveau 3";"Niveau 4"},0)-1),
1/6,0)+IF((MATCH(INDEX(Data_metier!$E:$E,MATCH($A14,Data_metier!$B:$B,0)),{"Non Concerné";"Niveau 1";"Niveau 2";"Niveau 3";"Niveau 4"},0)-1)&gt;(MATCH(INDEX(Data_metier!$E:$E,MATCH(F$1,Data_metier!$B:$B,0)),{"Non Concerné";"Niveau 1";"Niveau 2";"Niveau 3";"Niveau 4"},0)-1),
1/6,0))</f>
        <v>-0.33333333333333337</v>
      </c>
      <c r="G14">
        <f>IF(DE_respon_transv!G14=-1,-1,
DE_respon_transv!G14+IF((MATCH(INDEX(Data_metier!$C:$C,MATCH($A14,Data_metier!$B:$B,0)),{"Non Concerné";"Niveau 1";"Niveau 2";"Niveau 3";"Niveau 4"},0)-1)&gt;(MATCH(INDEX(Data_metier!$C:$C,MATCH(G$1,Data_metier!$B:$B,0)),{"Non Concerné";"Niveau 1";"Niveau 2";"Niveau 3";"Niveau 4"},0)-1),
1/6,0)+IF((MATCH(INDEX(Data_metier!$D:$D,MATCH($A14,Data_metier!$B:$B,0)),{"Non Concerné";"Niveau 1";"Niveau 2";"Niveau 3";"Niveau 4"},0)-1)&gt;(MATCH(INDEX(Data_metier!$D:$D,MATCH(G$1,Data_metier!$B:$B,0)),{"Non Concerné";"Niveau 1";"Niveau 2";"Niveau 3";"Niveau 4"},0)-1),
1/6,0)+IF((MATCH(INDEX(Data_metier!$E:$E,MATCH($A14,Data_metier!$B:$B,0)),{"Non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14">
        <f>IF(DE_respon_transv!H14=-1,-1,
DE_respon_transv!H14+IF((MATCH(INDEX(Data_metier!$C:$C,MATCH($A14,Data_metier!$B:$B,0)),{"Non Concerné";"Niveau 1";"Niveau 2";"Niveau 3";"Niveau 4"},0)-1)&gt;(MATCH(INDEX(Data_metier!$C:$C,MATCH(H$1,Data_metier!$B:$B,0)),{"Non Concerné";"Niveau 1";"Niveau 2";"Niveau 3";"Niveau 4"},0)-1),
1/6,0)+IF((MATCH(INDEX(Data_metier!$D:$D,MATCH($A14,Data_metier!$B:$B,0)),{"Non Concerné";"Niveau 1";"Niveau 2";"Niveau 3";"Niveau 4"},0)-1)&gt;(MATCH(INDEX(Data_metier!$D:$D,MATCH(H$1,Data_metier!$B:$B,0)),{"Non Concerné";"Niveau 1";"Niveau 2";"Niveau 3";"Niveau 4"},0)-1),
1/6,0)+IF((MATCH(INDEX(Data_metier!$E:$E,MATCH($A14,Data_metier!$B:$B,0)),{"Non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14">
        <f>IF(DE_respon_transv!I14=-1,-1,
DE_respon_transv!I14+IF((MATCH(INDEX(Data_metier!$C:$C,MATCH($A14,Data_metier!$B:$B,0)),{"Non Concerné";"Niveau 1";"Niveau 2";"Niveau 3";"Niveau 4"},0)-1)&gt;(MATCH(INDEX(Data_metier!$C:$C,MATCH(I$1,Data_metier!$B:$B,0)),{"Non Concerné";"Niveau 1";"Niveau 2";"Niveau 3";"Niveau 4"},0)-1),
1/6,0)+IF((MATCH(INDEX(Data_metier!$D:$D,MATCH($A14,Data_metier!$B:$B,0)),{"Non Concerné";"Niveau 1";"Niveau 2";"Niveau 3";"Niveau 4"},0)-1)&gt;(MATCH(INDEX(Data_metier!$D:$D,MATCH(I$1,Data_metier!$B:$B,0)),{"Non Concerné";"Niveau 1";"Niveau 2";"Niveau 3";"Niveau 4"},0)-1),
1/6,0)+IF((MATCH(INDEX(Data_metier!$E:$E,MATCH($A14,Data_metier!$B:$B,0)),{"Non Concerné";"Niveau 1";"Niveau 2";"Niveau 3";"Niveau 4"},0)-1)&gt;(MATCH(INDEX(Data_metier!$E:$E,MATCH(I$1,Data_metier!$B:$B,0)),{"Non Concerné";"Niveau 1";"Niveau 2";"Niveau 3";"Niveau 4"},0)-1),
1/6,0))</f>
        <v>2.9999999999999996</v>
      </c>
      <c r="J14">
        <f>IF(DE_respon_transv!J14=-1,-1,
DE_respon_transv!J14+IF((MATCH(INDEX(Data_metier!$C:$C,MATCH($A14,Data_metier!$B:$B,0)),{"Non Concerné";"Niveau 1";"Niveau 2";"Niveau 3";"Niveau 4"},0)-1)&gt;(MATCH(INDEX(Data_metier!$C:$C,MATCH(J$1,Data_metier!$B:$B,0)),{"Non Concerné";"Niveau 1";"Niveau 2";"Niveau 3";"Niveau 4"},0)-1),
1/6,0)+IF((MATCH(INDEX(Data_metier!$D:$D,MATCH($A14,Data_metier!$B:$B,0)),{"Non Concerné";"Niveau 1";"Niveau 2";"Niveau 3";"Niveau 4"},0)-1)&gt;(MATCH(INDEX(Data_metier!$D:$D,MATCH(J$1,Data_metier!$B:$B,0)),{"Non Concerné";"Niveau 1";"Niveau 2";"Niveau 3";"Niveau 4"},0)-1),
1/6,0)+IF((MATCH(INDEX(Data_metier!$E:$E,MATCH($A14,Data_metier!$B:$B,0)),{"Non Concerné";"Niveau 1";"Niveau 2";"Niveau 3";"Niveau 4"},0)-1)&gt;(MATCH(INDEX(Data_metier!$E:$E,MATCH(J$1,Data_metier!$B:$B,0)),{"Non Concerné";"Niveau 1";"Niveau 2";"Niveau 3";"Niveau 4"},0)-1),
1/6,0))</f>
        <v>-0.33333333333333337</v>
      </c>
      <c r="K14">
        <f>IF(DE_respon_transv!K14=-1,-1,
DE_respon_transv!K14+IF((MATCH(INDEX(Data_metier!$C:$C,MATCH($A14,Data_metier!$B:$B,0)),{"Non Concerné";"Niveau 1";"Niveau 2";"Niveau 3";"Niveau 4"},0)-1)&gt;(MATCH(INDEX(Data_metier!$C:$C,MATCH(K$1,Data_metier!$B:$B,0)),{"Non Concerné";"Niveau 1";"Niveau 2";"Niveau 3";"Niveau 4"},0)-1),
1/6,0)+IF((MATCH(INDEX(Data_metier!$D:$D,MATCH($A14,Data_metier!$B:$B,0)),{"Non Concerné";"Niveau 1";"Niveau 2";"Niveau 3";"Niveau 4"},0)-1)&gt;(MATCH(INDEX(Data_metier!$D:$D,MATCH(K$1,Data_metier!$B:$B,0)),{"Non Concerné";"Niveau 1";"Niveau 2";"Niveau 3";"Niveau 4"},0)-1),
1/6,0)+IF((MATCH(INDEX(Data_metier!$E:$E,MATCH($A14,Data_metier!$B:$B,0)),{"Non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14">
        <f>IF(DE_respon_transv!L14=-1,-1,
DE_respon_transv!L14+IF((MATCH(INDEX(Data_metier!$C:$C,MATCH($A14,Data_metier!$B:$B,0)),{"Non Concerné";"Niveau 1";"Niveau 2";"Niveau 3";"Niveau 4"},0)-1)&gt;(MATCH(INDEX(Data_metier!$C:$C,MATCH(L$1,Data_metier!$B:$B,0)),{"Non Concerné";"Niveau 1";"Niveau 2";"Niveau 3";"Niveau 4"},0)-1),
1/6,0)+IF((MATCH(INDEX(Data_metier!$D:$D,MATCH($A14,Data_metier!$B:$B,0)),{"Non Concerné";"Niveau 1";"Niveau 2";"Niveau 3";"Niveau 4"},0)-1)&gt;(MATCH(INDEX(Data_metier!$D:$D,MATCH(L$1,Data_metier!$B:$B,0)),{"Non Concerné";"Niveau 1";"Niveau 2";"Niveau 3";"Niveau 4"},0)-1),
1/6,0)+IF((MATCH(INDEX(Data_metier!$E:$E,MATCH($A14,Data_metier!$B:$B,0)),{"Non Concerné";"Niveau 1";"Niveau 2";"Niveau 3";"Niveau 4"},0)-1)&gt;(MATCH(INDEX(Data_metier!$E:$E,MATCH(L$1,Data_metier!$B:$B,0)),{"Non Concerné";"Niveau 1";"Niveau 2";"Niveau 3";"Niveau 4"},0)-1),
1/6,0))</f>
        <v>2.833333333333333</v>
      </c>
      <c r="M14">
        <f>IF(DE_respon_transv!M14=-1,-1,
DE_respon_transv!M14+IF((MATCH(INDEX(Data_metier!$C:$C,MATCH($A14,Data_metier!$B:$B,0)),{"Non Concerné";"Niveau 1";"Niveau 2";"Niveau 3";"Niveau 4"},0)-1)&gt;(MATCH(INDEX(Data_metier!$C:$C,MATCH(M$1,Data_metier!$B:$B,0)),{"Non Concerné";"Niveau 1";"Niveau 2";"Niveau 3";"Niveau 4"},0)-1),
1/6,0)+IF((MATCH(INDEX(Data_metier!$D:$D,MATCH($A14,Data_metier!$B:$B,0)),{"Non Concerné";"Niveau 1";"Niveau 2";"Niveau 3";"Niveau 4"},0)-1)&gt;(MATCH(INDEX(Data_metier!$D:$D,MATCH(M$1,Data_metier!$B:$B,0)),{"Non Concerné";"Niveau 1";"Niveau 2";"Niveau 3";"Niveau 4"},0)-1),
1/6,0)+IF((MATCH(INDEX(Data_metier!$E:$E,MATCH($A14,Data_metier!$B:$B,0)),{"Non Concerné";"Niveau 1";"Niveau 2";"Niveau 3";"Niveau 4"},0)-1)&gt;(MATCH(INDEX(Data_metier!$E:$E,MATCH(M$1,Data_metier!$B:$B,0)),{"Non Concerné";"Niveau 1";"Niveau 2";"Niveau 3";"Niveau 4"},0)-1),
1/6,0))</f>
        <v>2</v>
      </c>
      <c r="N14">
        <f>IF(DE_respon_transv!N14=-1,-1,
DE_respon_transv!N14+IF((MATCH(INDEX(Data_metier!$C:$C,MATCH($A14,Data_metier!$B:$B,0)),{"Non Concerné";"Niveau 1";"Niveau 2";"Niveau 3";"Niveau 4"},0)-1)&gt;(MATCH(INDEX(Data_metier!$C:$C,MATCH(N$1,Data_metier!$B:$B,0)),{"Non Concerné";"Niveau 1";"Niveau 2";"Niveau 3";"Niveau 4"},0)-1),
1/6,0)+IF((MATCH(INDEX(Data_metier!$D:$D,MATCH($A14,Data_metier!$B:$B,0)),{"Non Concerné";"Niveau 1";"Niveau 2";"Niveau 3";"Niveau 4"},0)-1)&gt;(MATCH(INDEX(Data_metier!$D:$D,MATCH(N$1,Data_metier!$B:$B,0)),{"Non Concerné";"Niveau 1";"Niveau 2";"Niveau 3";"Niveau 4"},0)-1),
1/6,0)+IF((MATCH(INDEX(Data_metier!$E:$E,MATCH($A14,Data_metier!$B:$B,0)),{"Non Concerné";"Niveau 1";"Niveau 2";"Niveau 3";"Niveau 4"},0)-1)&gt;(MATCH(INDEX(Data_metier!$E:$E,MATCH(N$1,Data_metier!$B:$B,0)),{"Non Concerné";"Niveau 1";"Niveau 2";"Niveau 3";"Niveau 4"},0)-1),
1/6,0))</f>
        <v>0</v>
      </c>
      <c r="O14">
        <f>IF(DE_respon_transv!O14=-1,-1,
DE_respon_transv!O14+IF((MATCH(INDEX(Data_metier!$C:$C,MATCH($A14,Data_metier!$B:$B,0)),{"Non Concerné";"Niveau 1";"Niveau 2";"Niveau 3";"Niveau 4"},0)-1)&gt;(MATCH(INDEX(Data_metier!$C:$C,MATCH(O$1,Data_metier!$B:$B,0)),{"Non Concerné";"Niveau 1";"Niveau 2";"Niveau 3";"Niveau 4"},0)-1),
1/6,0)+IF((MATCH(INDEX(Data_metier!$D:$D,MATCH($A14,Data_metier!$B:$B,0)),{"Non Concerné";"Niveau 1";"Niveau 2";"Niveau 3";"Niveau 4"},0)-1)&gt;(MATCH(INDEX(Data_metier!$D:$D,MATCH(O$1,Data_metier!$B:$B,0)),{"Non Concerné";"Niveau 1";"Niveau 2";"Niveau 3";"Niveau 4"},0)-1),
1/6,0)+IF((MATCH(INDEX(Data_metier!$E:$E,MATCH($A14,Data_metier!$B:$B,0)),{"Non Concerné";"Niveau 1";"Niveau 2";"Niveau 3";"Niveau 4"},0)-1)&gt;(MATCH(INDEX(Data_metier!$E:$E,MATCH(O$1,Data_metier!$B:$B,0)),{"Non Concerné";"Niveau 1";"Niveau 2";"Niveau 3";"Niveau 4"},0)-1),
1/6,0))</f>
        <v>2.833333333333333</v>
      </c>
      <c r="P14">
        <f>IF(DE_respon_transv!P14=-1,-1,
DE_respon_transv!P14+IF((MATCH(INDEX(Data_metier!$C:$C,MATCH($A14,Data_metier!$B:$B,0)),{"Non Concerné";"Niveau 1";"Niveau 2";"Niveau 3";"Niveau 4"},0)-1)&gt;(MATCH(INDEX(Data_metier!$C:$C,MATCH(P$1,Data_metier!$B:$B,0)),{"Non Concerné";"Niveau 1";"Niveau 2";"Niveau 3";"Niveau 4"},0)-1),
1/6,0)+IF((MATCH(INDEX(Data_metier!$D:$D,MATCH($A14,Data_metier!$B:$B,0)),{"Non Concerné";"Niveau 1";"Niveau 2";"Niveau 3";"Niveau 4"},0)-1)&gt;(MATCH(INDEX(Data_metier!$D:$D,MATCH(P$1,Data_metier!$B:$B,0)),{"Non Concerné";"Niveau 1";"Niveau 2";"Niveau 3";"Niveau 4"},0)-1),
1/6,0)+IF((MATCH(INDEX(Data_metier!$E:$E,MATCH($A14,Data_metier!$B:$B,0)),{"Non Concerné";"Niveau 1";"Niveau 2";"Niveau 3";"Niveau 4"},0)-1)&gt;(MATCH(INDEX(Data_metier!$E:$E,MATCH(P$1,Data_metier!$B:$B,0)),{"Non Concerné";"Niveau 1";"Niveau 2";"Niveau 3";"Niveau 4"},0)-1),
1/6,0))</f>
        <v>2.9999999999999996</v>
      </c>
      <c r="Q14">
        <f>IF(DE_respon_transv!Q14=-1,-1,
DE_respon_transv!Q14+IF((MATCH(INDEX(Data_metier!$C:$C,MATCH($A14,Data_metier!$B:$B,0)),{"Non Concerné";"Niveau 1";"Niveau 2";"Niveau 3";"Niveau 4"},0)-1)&gt;(MATCH(INDEX(Data_metier!$C:$C,MATCH(Q$1,Data_metier!$B:$B,0)),{"Non Concerné";"Niveau 1";"Niveau 2";"Niveau 3";"Niveau 4"},0)-1),
1/6,0)+IF((MATCH(INDEX(Data_metier!$D:$D,MATCH($A14,Data_metier!$B:$B,0)),{"Non Concerné";"Niveau 1";"Niveau 2";"Niveau 3";"Niveau 4"},0)-1)&gt;(MATCH(INDEX(Data_metier!$D:$D,MATCH(Q$1,Data_metier!$B:$B,0)),{"Non Concerné";"Niveau 1";"Niveau 2";"Niveau 3";"Niveau 4"},0)-1),
1/6,0)+IF((MATCH(INDEX(Data_metier!$E:$E,MATCH($A14,Data_metier!$B:$B,0)),{"Non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14">
        <f>IF(DE_respon_transv!R14=-1,-1,
DE_respon_transv!R14+IF((MATCH(INDEX(Data_metier!$C:$C,MATCH($A14,Data_metier!$B:$B,0)),{"Non Concerné";"Niveau 1";"Niveau 2";"Niveau 3";"Niveau 4"},0)-1)&gt;(MATCH(INDEX(Data_metier!$C:$C,MATCH(R$1,Data_metier!$B:$B,0)),{"Non Concerné";"Niveau 1";"Niveau 2";"Niveau 3";"Niveau 4"},0)-1),
1/6,0)+IF((MATCH(INDEX(Data_metier!$D:$D,MATCH($A14,Data_metier!$B:$B,0)),{"Non Concerné";"Niveau 1";"Niveau 2";"Niveau 3";"Niveau 4"},0)-1)&gt;(MATCH(INDEX(Data_metier!$D:$D,MATCH(R$1,Data_metier!$B:$B,0)),{"Non Concerné";"Niveau 1";"Niveau 2";"Niveau 3";"Niveau 4"},0)-1),
1/6,0)+IF((MATCH(INDEX(Data_metier!$E:$E,MATCH($A14,Data_metier!$B:$B,0)),{"Non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14">
        <f>IF(DE_respon_transv!S14=-1,-1,
DE_respon_transv!S14+IF((MATCH(INDEX(Data_metier!$C:$C,MATCH($A14,Data_metier!$B:$B,0)),{"Non Concerné";"Niveau 1";"Niveau 2";"Niveau 3";"Niveau 4"},0)-1)&gt;(MATCH(INDEX(Data_metier!$C:$C,MATCH(S$1,Data_metier!$B:$B,0)),{"Non Concerné";"Niveau 1";"Niveau 2";"Niveau 3";"Niveau 4"},0)-1),
1/6,0)+IF((MATCH(INDEX(Data_metier!$D:$D,MATCH($A14,Data_metier!$B:$B,0)),{"Non Concerné";"Niveau 1";"Niveau 2";"Niveau 3";"Niveau 4"},0)-1)&gt;(MATCH(INDEX(Data_metier!$D:$D,MATCH(S$1,Data_metier!$B:$B,0)),{"Non Concerné";"Niveau 1";"Niveau 2";"Niveau 3";"Niveau 4"},0)-1),
1/6,0)+IF((MATCH(INDEX(Data_metier!$E:$E,MATCH($A14,Data_metier!$B:$B,0)),{"Non Concerné";"Niveau 1";"Niveau 2";"Niveau 3";"Niveau 4"},0)-1)&gt;(MATCH(INDEX(Data_metier!$E:$E,MATCH(S$1,Data_metier!$B:$B,0)),{"Non Concerné";"Niveau 1";"Niveau 2";"Niveau 3";"Niveau 4"},0)-1),
1/6,0))</f>
        <v>2.9999999999999996</v>
      </c>
      <c r="T14">
        <f>IF(DE_respon_transv!T14=-1,-1,
DE_respon_transv!T14+IF((MATCH(INDEX(Data_metier!$C:$C,MATCH($A14,Data_metier!$B:$B,0)),{"Non Concerné";"Niveau 1";"Niveau 2";"Niveau 3";"Niveau 4"},0)-1)&gt;(MATCH(INDEX(Data_metier!$C:$C,MATCH(T$1,Data_metier!$B:$B,0)),{"Non Concerné";"Niveau 1";"Niveau 2";"Niveau 3";"Niveau 4"},0)-1),
1/6,0)+IF((MATCH(INDEX(Data_metier!$D:$D,MATCH($A14,Data_metier!$B:$B,0)),{"Non Concerné";"Niveau 1";"Niveau 2";"Niveau 3";"Niveau 4"},0)-1)&gt;(MATCH(INDEX(Data_metier!$D:$D,MATCH(T$1,Data_metier!$B:$B,0)),{"Non Concerné";"Niveau 1";"Niveau 2";"Niveau 3";"Niveau 4"},0)-1),
1/6,0)+IF((MATCH(INDEX(Data_metier!$E:$E,MATCH($A14,Data_metier!$B:$B,0)),{"Non Concerné";"Niveau 1";"Niveau 2";"Niveau 3";"Niveau 4"},0)-1)&gt;(MATCH(INDEX(Data_metier!$E:$E,MATCH(T$1,Data_metier!$B:$B,0)),{"Non Concerné";"Niveau 1";"Niveau 2";"Niveau 3";"Niveau 4"},0)-1),
1/6,0))</f>
        <v>2.9999999999999996</v>
      </c>
      <c r="U14">
        <f>IF(DE_respon_transv!U14=-1,-1,
DE_respon_transv!U14+IF((MATCH(INDEX(Data_metier!$C:$C,MATCH($A14,Data_metier!$B:$B,0)),{"Non Concerné";"Niveau 1";"Niveau 2";"Niveau 3";"Niveau 4"},0)-1)&gt;(MATCH(INDEX(Data_metier!$C:$C,MATCH(U$1,Data_metier!$B:$B,0)),{"Non Concerné";"Niveau 1";"Niveau 2";"Niveau 3";"Niveau 4"},0)-1),
1/6,0)+IF((MATCH(INDEX(Data_metier!$D:$D,MATCH($A14,Data_metier!$B:$B,0)),{"Non Concerné";"Niveau 1";"Niveau 2";"Niveau 3";"Niveau 4"},0)-1)&gt;(MATCH(INDEX(Data_metier!$D:$D,MATCH(U$1,Data_metier!$B:$B,0)),{"Non Concerné";"Niveau 1";"Niveau 2";"Niveau 3";"Niveau 4"},0)-1),
1/6,0)+IF((MATCH(INDEX(Data_metier!$E:$E,MATCH($A14,Data_metier!$B:$B,0)),{"Non Concerné";"Niveau 1";"Niveau 2";"Niveau 3";"Niveau 4"},0)-1)&gt;(MATCH(INDEX(Data_metier!$E:$E,MATCH(U$1,Data_metier!$B:$B,0)),{"Non Concerné";"Niveau 1";"Niveau 2";"Niveau 3";"Niveau 4"},0)-1),
1/6,0))</f>
        <v>2.9999999999999996</v>
      </c>
      <c r="V14">
        <f>IF(DE_respon_transv!V14=-1,-1,
DE_respon_transv!V14+IF((MATCH(INDEX(Data_metier!$C:$C,MATCH($A14,Data_metier!$B:$B,0)),{"Non Concerné";"Niveau 1";"Niveau 2";"Niveau 3";"Niveau 4"},0)-1)&gt;(MATCH(INDEX(Data_metier!$C:$C,MATCH(V$1,Data_metier!$B:$B,0)),{"Non Concerné";"Niveau 1";"Niveau 2";"Niveau 3";"Niveau 4"},0)-1),
1/6,0)+IF((MATCH(INDEX(Data_metier!$D:$D,MATCH($A14,Data_metier!$B:$B,0)),{"Non Concerné";"Niveau 1";"Niveau 2";"Niveau 3";"Niveau 4"},0)-1)&gt;(MATCH(INDEX(Data_metier!$D:$D,MATCH(V$1,Data_metier!$B:$B,0)),{"Non Concerné";"Niveau 1";"Niveau 2";"Niveau 3";"Niveau 4"},0)-1),
1/6,0)+IF((MATCH(INDEX(Data_metier!$E:$E,MATCH($A14,Data_metier!$B:$B,0)),{"Non Concerné";"Niveau 1";"Niveau 2";"Niveau 3";"Niveau 4"},0)-1)&gt;(MATCH(INDEX(Data_metier!$E:$E,MATCH(V$1,Data_metier!$B:$B,0)),{"Non Concerné";"Niveau 1";"Niveau 2";"Niveau 3";"Niveau 4"},0)-1),
1/6,0))</f>
        <v>1.8333333333333335</v>
      </c>
      <c r="W14">
        <f>IF(DE_respon_transv!W14=-1,-1,
DE_respon_transv!W14+IF((MATCH(INDEX(Data_metier!$C:$C,MATCH($A14,Data_metier!$B:$B,0)),{"Non Concerné";"Niveau 1";"Niveau 2";"Niveau 3";"Niveau 4"},0)-1)&gt;(MATCH(INDEX(Data_metier!$C:$C,MATCH(W$1,Data_metier!$B:$B,0)),{"Non Concerné";"Niveau 1";"Niveau 2";"Niveau 3";"Niveau 4"},0)-1),
1/6,0)+IF((MATCH(INDEX(Data_metier!$D:$D,MATCH($A14,Data_metier!$B:$B,0)),{"Non Concerné";"Niveau 1";"Niveau 2";"Niveau 3";"Niveau 4"},0)-1)&gt;(MATCH(INDEX(Data_metier!$D:$D,MATCH(W$1,Data_metier!$B:$B,0)),{"Non Concerné";"Niveau 1";"Niveau 2";"Niveau 3";"Niveau 4"},0)-1),
1/6,0)+IF((MATCH(INDEX(Data_metier!$E:$E,MATCH($A14,Data_metier!$B:$B,0)),{"Non Concerné";"Niveau 1";"Niveau 2";"Niveau 3";"Niveau 4"},0)-1)&gt;(MATCH(INDEX(Data_metier!$E:$E,MATCH(W$1,Data_metier!$B:$B,0)),{"Non Concerné";"Niveau 1";"Niveau 2";"Niveau 3";"Niveau 4"},0)-1),
1/6,0))</f>
        <v>1.3333333333333335</v>
      </c>
      <c r="X14">
        <f>IF(DE_respon_transv!X14=-1,-1,
DE_respon_transv!X14+IF((MATCH(INDEX(Data_metier!$C:$C,MATCH($A14,Data_metier!$B:$B,0)),{"Non Concerné";"Niveau 1";"Niveau 2";"Niveau 3";"Niveau 4"},0)-1)&gt;(MATCH(INDEX(Data_metier!$C:$C,MATCH(X$1,Data_metier!$B:$B,0)),{"Non Concerné";"Niveau 1";"Niveau 2";"Niveau 3";"Niveau 4"},0)-1),
1/6,0)+IF((MATCH(INDEX(Data_metier!$D:$D,MATCH($A14,Data_metier!$B:$B,0)),{"Non Concerné";"Niveau 1";"Niveau 2";"Niveau 3";"Niveau 4"},0)-1)&gt;(MATCH(INDEX(Data_metier!$D:$D,MATCH(X$1,Data_metier!$B:$B,0)),{"Non Concerné";"Niveau 1";"Niveau 2";"Niveau 3";"Niveau 4"},0)-1),
1/6,0)+IF((MATCH(INDEX(Data_metier!$E:$E,MATCH($A14,Data_metier!$B:$B,0)),{"Non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14">
        <f>IF(DE_respon_transv!Y14=-1,-1,
DE_respon_transv!Y14+IF((MATCH(INDEX(Data_metier!$C:$C,MATCH($A14,Data_metier!$B:$B,0)),{"Non Concerné";"Niveau 1";"Niveau 2";"Niveau 3";"Niveau 4"},0)-1)&gt;(MATCH(INDEX(Data_metier!$C:$C,MATCH(Y$1,Data_metier!$B:$B,0)),{"Non Concerné";"Niveau 1";"Niveau 2";"Niveau 3";"Niveau 4"},0)-1),
1/6,0)+IF((MATCH(INDEX(Data_metier!$D:$D,MATCH($A14,Data_metier!$B:$B,0)),{"Non Concerné";"Niveau 1";"Niveau 2";"Niveau 3";"Niveau 4"},0)-1)&gt;(MATCH(INDEX(Data_metier!$D:$D,MATCH(Y$1,Data_metier!$B:$B,0)),{"Non Concerné";"Niveau 1";"Niveau 2";"Niveau 3";"Niveau 4"},0)-1),
1/6,0)+IF((MATCH(INDEX(Data_metier!$E:$E,MATCH($A14,Data_metier!$B:$B,0)),{"Non Concerné";"Niveau 1";"Niveau 2";"Niveau 3";"Niveau 4"},0)-1)&gt;(MATCH(INDEX(Data_metier!$E:$E,MATCH(Y$1,Data_metier!$B:$B,0)),{"Non Concerné";"Niveau 1";"Niveau 2";"Niveau 3";"Niveau 4"},0)-1),
1/6,0))</f>
        <v>2.9999999999999996</v>
      </c>
      <c r="Z14">
        <f>IF(DE_respon_transv!Z14=-1,-1,
DE_respon_transv!Z14+IF((MATCH(INDEX(Data_metier!$C:$C,MATCH($A14,Data_metier!$B:$B,0)),{"Non Concerné";"Niveau 1";"Niveau 2";"Niveau 3";"Niveau 4"},0)-1)&gt;(MATCH(INDEX(Data_metier!$C:$C,MATCH(Z$1,Data_metier!$B:$B,0)),{"Non Concerné";"Niveau 1";"Niveau 2";"Niveau 3";"Niveau 4"},0)-1),
1/6,0)+IF((MATCH(INDEX(Data_metier!$D:$D,MATCH($A14,Data_metier!$B:$B,0)),{"Non Concerné";"Niveau 1";"Niveau 2";"Niveau 3";"Niveau 4"},0)-1)&gt;(MATCH(INDEX(Data_metier!$D:$D,MATCH(Z$1,Data_metier!$B:$B,0)),{"Non Concerné";"Niveau 1";"Niveau 2";"Niveau 3";"Niveau 4"},0)-1),
1/6,0)+IF((MATCH(INDEX(Data_metier!$E:$E,MATCH($A14,Data_metier!$B:$B,0)),{"Non Concerné";"Niveau 1";"Niveau 2";"Niveau 3";"Niveau 4"},0)-1)&gt;(MATCH(INDEX(Data_metier!$E:$E,MATCH(Z$1,Data_metier!$B:$B,0)),{"Non Concerné";"Niveau 1";"Niveau 2";"Niveau 3";"Niveau 4"},0)-1),
1/6,0))</f>
        <v>2.9999999999999996</v>
      </c>
      <c r="AA14">
        <f>IF(DE_respon_transv!AA14=-1,-1,
DE_respon_transv!AA14+IF((MATCH(INDEX(Data_metier!$C:$C,MATCH($A14,Data_metier!$B:$B,0)),{"Non Concerné";"Niveau 1";"Niveau 2";"Niveau 3";"Niveau 4"},0)-1)&gt;(MATCH(INDEX(Data_metier!$C:$C,MATCH(AA$1,Data_metier!$B:$B,0)),{"Non Concerné";"Niveau 1";"Niveau 2";"Niveau 3";"Niveau 4"},0)-1),
1/6,0)+IF((MATCH(INDEX(Data_metier!$D:$D,MATCH($A14,Data_metier!$B:$B,0)),{"Non Concerné";"Niveau 1";"Niveau 2";"Niveau 3";"Niveau 4"},0)-1)&gt;(MATCH(INDEX(Data_metier!$D:$D,MATCH(AA$1,Data_metier!$B:$B,0)),{"Non Concerné";"Niveau 1";"Niveau 2";"Niveau 3";"Niveau 4"},0)-1),
1/6,0)+IF((MATCH(INDEX(Data_metier!$E:$E,MATCH($A14,Data_metier!$B:$B,0)),{"Non Concerné";"Niveau 1";"Niveau 2";"Niveau 3";"Niveau 4"},0)-1)&gt;(MATCH(INDEX(Data_metier!$E:$E,MATCH(AA$1,Data_metier!$B:$B,0)),{"Non Concerné";"Niveau 1";"Niveau 2";"Niveau 3";"Niveau 4"},0)-1),
1/6,0))</f>
        <v>2.9999999999999996</v>
      </c>
      <c r="AB14">
        <f>IF(DE_respon_transv!AB14=-1,-1,
DE_respon_transv!AB14+IF((MATCH(INDEX(Data_metier!$C:$C,MATCH($A14,Data_metier!$B:$B,0)),{"Non Concerné";"Niveau 1";"Niveau 2";"Niveau 3";"Niveau 4"},0)-1)&gt;(MATCH(INDEX(Data_metier!$C:$C,MATCH(AB$1,Data_metier!$B:$B,0)),{"Non Concerné";"Niveau 1";"Niveau 2";"Niveau 3";"Niveau 4"},0)-1),
1/6,0)+IF((MATCH(INDEX(Data_metier!$D:$D,MATCH($A14,Data_metier!$B:$B,0)),{"Non Concerné";"Niveau 1";"Niveau 2";"Niveau 3";"Niveau 4"},0)-1)&gt;(MATCH(INDEX(Data_metier!$D:$D,MATCH(AB$1,Data_metier!$B:$B,0)),{"Non Concerné";"Niveau 1";"Niveau 2";"Niveau 3";"Niveau 4"},0)-1),
1/6,0)+IF((MATCH(INDEX(Data_metier!$E:$E,MATCH($A14,Data_metier!$B:$B,0)),{"Non Concerné";"Niveau 1";"Niveau 2";"Niveau 3";"Niveau 4"},0)-1)&gt;(MATCH(INDEX(Data_metier!$E:$E,MATCH(AB$1,Data_metier!$B:$B,0)),{"Non Concerné";"Niveau 1";"Niveau 2";"Niveau 3";"Niveau 4"},0)-1),
1/6,0))</f>
        <v>2</v>
      </c>
      <c r="AC14">
        <f>IF(DE_respon_transv!AC14=-1,-1,
DE_respon_transv!AC14+IF((MATCH(INDEX(Data_metier!$C:$C,MATCH($A14,Data_metier!$B:$B,0)),{"Non Concerné";"Niveau 1";"Niveau 2";"Niveau 3";"Niveau 4"},0)-1)&gt;(MATCH(INDEX(Data_metier!$C:$C,MATCH(AC$1,Data_metier!$B:$B,0)),{"Non Concerné";"Niveau 1";"Niveau 2";"Niveau 3";"Niveau 4"},0)-1),
1/6,0)+IF((MATCH(INDEX(Data_metier!$D:$D,MATCH($A14,Data_metier!$B:$B,0)),{"Non Concerné";"Niveau 1";"Niveau 2";"Niveau 3";"Niveau 4"},0)-1)&gt;(MATCH(INDEX(Data_metier!$D:$D,MATCH(AC$1,Data_metier!$B:$B,0)),{"Non Concerné";"Niveau 1";"Niveau 2";"Niveau 3";"Niveau 4"},0)-1),
1/6,0)+IF((MATCH(INDEX(Data_metier!$E:$E,MATCH($A14,Data_metier!$B:$B,0)),{"Non Concerné";"Niveau 1";"Niveau 2";"Niveau 3";"Niveau 4"},0)-1)&gt;(MATCH(INDEX(Data_metier!$E:$E,MATCH(AC$1,Data_metier!$B:$B,0)),{"Non Concerné";"Niveau 1";"Niveau 2";"Niveau 3";"Niveau 4"},0)-1),
1/6,0))</f>
        <v>2</v>
      </c>
      <c r="AD14">
        <f>IF(DE_respon_transv!AD14=-1,-1,
DE_respon_transv!AD14+IF((MATCH(INDEX(Data_metier!$C:$C,MATCH($A14,Data_metier!$B:$B,0)),{"Non Concerné";"Niveau 1";"Niveau 2";"Niveau 3";"Niveau 4"},0)-1)&gt;(MATCH(INDEX(Data_metier!$C:$C,MATCH(AD$1,Data_metier!$B:$B,0)),{"Non Concerné";"Niveau 1";"Niveau 2";"Niveau 3";"Niveau 4"},0)-1),
1/6,0)+IF((MATCH(INDEX(Data_metier!$D:$D,MATCH($A14,Data_metier!$B:$B,0)),{"Non Concerné";"Niveau 1";"Niveau 2";"Niveau 3";"Niveau 4"},0)-1)&gt;(MATCH(INDEX(Data_metier!$D:$D,MATCH(AD$1,Data_metier!$B:$B,0)),{"Non Concerné";"Niveau 1";"Niveau 2";"Niveau 3";"Niveau 4"},0)-1),
1/6,0)+IF((MATCH(INDEX(Data_metier!$E:$E,MATCH($A14,Data_metier!$B:$B,0)),{"Non Concerné";"Niveau 1";"Niveau 2";"Niveau 3";"Niveau 4"},0)-1)&gt;(MATCH(INDEX(Data_metier!$E:$E,MATCH(AD$1,Data_metier!$B:$B,0)),{"Non Concerné";"Niveau 1";"Niveau 2";"Niveau 3";"Niveau 4"},0)-1),
1/6,0))</f>
        <v>2</v>
      </c>
    </row>
    <row r="15" spans="1:30">
      <c r="A15" t="str">
        <v>Conducteur(trice) de livraison et de collecte</v>
      </c>
      <c r="B15">
        <f>IF(DE_respon_transv!B15=-1,-1,
DE_respon_transv!B15+IF((MATCH(INDEX(Data_metier!$C:$C,MATCH($A15,Data_metier!$B:$B,0)),{"Non Concerné";"Niveau 1";"Niveau 2";"Niveau 3";"Niveau 4"},0)-1)&gt;(MATCH(INDEX(Data_metier!$C:$C,MATCH(B$1,Data_metier!$B:$B,0)),{"Non Concerné";"Niveau 1";"Niveau 2";"Niveau 3";"Niveau 4"},0)-1),
1/6,0)+IF((MATCH(INDEX(Data_metier!$D:$D,MATCH($A15,Data_metier!$B:$B,0)),{"Non Concerné";"Niveau 1";"Niveau 2";"Niveau 3";"Niveau 4"},0)-1)&gt;(MATCH(INDEX(Data_metier!$D:$D,MATCH(B$1,Data_metier!$B:$B,0)),{"Non Concerné";"Niveau 1";"Niveau 2";"Niveau 3";"Niveau 4"},0)-1),
1/6,0)+IF((MATCH(INDEX(Data_metier!$E:$E,MATCH($A15,Data_metier!$B:$B,0)),{"Non Concerné";"Niveau 1";"Niveau 2";"Niveau 3";"Niveau 4"},0)-1)&gt;(MATCH(INDEX(Data_metier!$E:$E,MATCH(B$1,Data_metier!$B:$B,0)),{"Non Concerné";"Niveau 1";"Niveau 2";"Niveau 3";"Niveau 4"},0)-1),
1/6,0))</f>
        <v>-1</v>
      </c>
      <c r="C15">
        <f>IF(DE_respon_transv!C15=-1,-1,
DE_respon_transv!C15+IF((MATCH(INDEX(Data_metier!$C:$C,MATCH($A15,Data_metier!$B:$B,0)),{"Non Concerné";"Niveau 1";"Niveau 2";"Niveau 3";"Niveau 4"},0)-1)&gt;(MATCH(INDEX(Data_metier!$C:$C,MATCH(C$1,Data_metier!$B:$B,0)),{"Non Concerné";"Niveau 1";"Niveau 2";"Niveau 3";"Niveau 4"},0)-1),
1/6,0)+IF((MATCH(INDEX(Data_metier!$D:$D,MATCH($A15,Data_metier!$B:$B,0)),{"Non Concerné";"Niveau 1";"Niveau 2";"Niveau 3";"Niveau 4"},0)-1)&gt;(MATCH(INDEX(Data_metier!$D:$D,MATCH(C$1,Data_metier!$B:$B,0)),{"Non Concerné";"Niveau 1";"Niveau 2";"Niveau 3";"Niveau 4"},0)-1),
1/6,0)+IF((MATCH(INDEX(Data_metier!$E:$E,MATCH($A15,Data_metier!$B:$B,0)),{"Non Concerné";"Niveau 1";"Niveau 2";"Niveau 3";"Niveau 4"},0)-1)&gt;(MATCH(INDEX(Data_metier!$E:$E,MATCH(C$1,Data_metier!$B:$B,0)),{"Non Concerné";"Niveau 1";"Niveau 2";"Niveau 3";"Niveau 4"},0)-1),
1/6,0))</f>
        <v>-1</v>
      </c>
      <c r="D15">
        <f>IF(DE_respon_transv!D15=-1,-1,
DE_respon_transv!D15+IF((MATCH(INDEX(Data_metier!$C:$C,MATCH($A15,Data_metier!$B:$B,0)),{"Non Concerné";"Niveau 1";"Niveau 2";"Niveau 3";"Niveau 4"},0)-1)&gt;(MATCH(INDEX(Data_metier!$C:$C,MATCH(D$1,Data_metier!$B:$B,0)),{"Non Concerné";"Niveau 1";"Niveau 2";"Niveau 3";"Niveau 4"},0)-1),
1/6,0)+IF((MATCH(INDEX(Data_metier!$D:$D,MATCH($A15,Data_metier!$B:$B,0)),{"Non Concerné";"Niveau 1";"Niveau 2";"Niveau 3";"Niveau 4"},0)-1)&gt;(MATCH(INDEX(Data_metier!$D:$D,MATCH(D$1,Data_metier!$B:$B,0)),{"Non Concerné";"Niveau 1";"Niveau 2";"Niveau 3";"Niveau 4"},0)-1),
1/6,0)+IF((MATCH(INDEX(Data_metier!$E:$E,MATCH($A15,Data_metier!$B:$B,0)),{"Non Concerné";"Niveau 1";"Niveau 2";"Niveau 3";"Niveau 4"},0)-1)&gt;(MATCH(INDEX(Data_metier!$E:$E,MATCH(D$1,Data_metier!$B:$B,0)),{"Non Concerné";"Niveau 1";"Niveau 2";"Niveau 3";"Niveau 4"},0)-1),
1/6,0))</f>
        <v>0.5</v>
      </c>
      <c r="E15">
        <f>IF(DE_respon_transv!E15=-1,-1,
DE_respon_transv!E15+IF((MATCH(INDEX(Data_metier!$C:$C,MATCH($A15,Data_metier!$B:$B,0)),{"Non Concerné";"Niveau 1";"Niveau 2";"Niveau 3";"Niveau 4"},0)-1)&gt;(MATCH(INDEX(Data_metier!$C:$C,MATCH(E$1,Data_metier!$B:$B,0)),{"Non Concerné";"Niveau 1";"Niveau 2";"Niveau 3";"Niveau 4"},0)-1),
1/6,0)+IF((MATCH(INDEX(Data_metier!$D:$D,MATCH($A15,Data_metier!$B:$B,0)),{"Non Concerné";"Niveau 1";"Niveau 2";"Niveau 3";"Niveau 4"},0)-1)&gt;(MATCH(INDEX(Data_metier!$D:$D,MATCH(E$1,Data_metier!$B:$B,0)),{"Non Concerné";"Niveau 1";"Niveau 2";"Niveau 3";"Niveau 4"},0)-1),
1/6,0)+IF((MATCH(INDEX(Data_metier!$E:$E,MATCH($A15,Data_metier!$B:$B,0)),{"Non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15">
        <f>IF(DE_respon_transv!F15=-1,-1,
DE_respon_transv!F15+IF((MATCH(INDEX(Data_metier!$C:$C,MATCH($A15,Data_metier!$B:$B,0)),{"Non Concerné";"Niveau 1";"Niveau 2";"Niveau 3";"Niveau 4"},0)-1)&gt;(MATCH(INDEX(Data_metier!$C:$C,MATCH(F$1,Data_metier!$B:$B,0)),{"Non Concerné";"Niveau 1";"Niveau 2";"Niveau 3";"Niveau 4"},0)-1),
1/6,0)+IF((MATCH(INDEX(Data_metier!$D:$D,MATCH($A15,Data_metier!$B:$B,0)),{"Non Concerné";"Niveau 1";"Niveau 2";"Niveau 3";"Niveau 4"},0)-1)&gt;(MATCH(INDEX(Data_metier!$D:$D,MATCH(F$1,Data_metier!$B:$B,0)),{"Non Concerné";"Niveau 1";"Niveau 2";"Niveau 3";"Niveau 4"},0)-1),
1/6,0)+IF((MATCH(INDEX(Data_metier!$E:$E,MATCH($A15,Data_metier!$B:$B,0)),{"Non Concerné";"Niveau 1";"Niveau 2";"Niveau 3";"Niveau 4"},0)-1)&gt;(MATCH(INDEX(Data_metier!$E:$E,MATCH(F$1,Data_metier!$B:$B,0)),{"Non Concerné";"Niveau 1";"Niveau 2";"Niveau 3";"Niveau 4"},0)-1),
1/6,0))</f>
        <v>-1</v>
      </c>
      <c r="G15">
        <f>IF(DE_respon_transv!G15=-1,-1,
DE_respon_transv!G15+IF((MATCH(INDEX(Data_metier!$C:$C,MATCH($A15,Data_metier!$B:$B,0)),{"Non Concerné";"Niveau 1";"Niveau 2";"Niveau 3";"Niveau 4"},0)-1)&gt;(MATCH(INDEX(Data_metier!$C:$C,MATCH(G$1,Data_metier!$B:$B,0)),{"Non Concerné";"Niveau 1";"Niveau 2";"Niveau 3";"Niveau 4"},0)-1),
1/6,0)+IF((MATCH(INDEX(Data_metier!$D:$D,MATCH($A15,Data_metier!$B:$B,0)),{"Non Concerné";"Niveau 1";"Niveau 2";"Niveau 3";"Niveau 4"},0)-1)&gt;(MATCH(INDEX(Data_metier!$D:$D,MATCH(G$1,Data_metier!$B:$B,0)),{"Non Concerné";"Niveau 1";"Niveau 2";"Niveau 3";"Niveau 4"},0)-1),
1/6,0)+IF((MATCH(INDEX(Data_metier!$E:$E,MATCH($A15,Data_metier!$B:$B,0)),{"Non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15">
        <f>IF(DE_respon_transv!H15=-1,-1,
DE_respon_transv!H15+IF((MATCH(INDEX(Data_metier!$C:$C,MATCH($A15,Data_metier!$B:$B,0)),{"Non Concerné";"Niveau 1";"Niveau 2";"Niveau 3";"Niveau 4"},0)-1)&gt;(MATCH(INDEX(Data_metier!$C:$C,MATCH(H$1,Data_metier!$B:$B,0)),{"Non Concerné";"Niveau 1";"Niveau 2";"Niveau 3";"Niveau 4"},0)-1),
1/6,0)+IF((MATCH(INDEX(Data_metier!$D:$D,MATCH($A15,Data_metier!$B:$B,0)),{"Non Concerné";"Niveau 1";"Niveau 2";"Niveau 3";"Niveau 4"},0)-1)&gt;(MATCH(INDEX(Data_metier!$D:$D,MATCH(H$1,Data_metier!$B:$B,0)),{"Non Concerné";"Niveau 1";"Niveau 2";"Niveau 3";"Niveau 4"},0)-1),
1/6,0)+IF((MATCH(INDEX(Data_metier!$E:$E,MATCH($A15,Data_metier!$B:$B,0)),{"Non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15">
        <f>IF(DE_respon_transv!I15=-1,-1,
DE_respon_transv!I15+IF((MATCH(INDEX(Data_metier!$C:$C,MATCH($A15,Data_metier!$B:$B,0)),{"Non Concerné";"Niveau 1";"Niveau 2";"Niveau 3";"Niveau 4"},0)-1)&gt;(MATCH(INDEX(Data_metier!$C:$C,MATCH(I$1,Data_metier!$B:$B,0)),{"Non Concerné";"Niveau 1";"Niveau 2";"Niveau 3";"Niveau 4"},0)-1),
1/6,0)+IF((MATCH(INDEX(Data_metier!$D:$D,MATCH($A15,Data_metier!$B:$B,0)),{"Non Concerné";"Niveau 1";"Niveau 2";"Niveau 3";"Niveau 4"},0)-1)&gt;(MATCH(INDEX(Data_metier!$D:$D,MATCH(I$1,Data_metier!$B:$B,0)),{"Non Concerné";"Niveau 1";"Niveau 2";"Niveau 3";"Niveau 4"},0)-1),
1/6,0)+IF((MATCH(INDEX(Data_metier!$E:$E,MATCH($A15,Data_metier!$B:$B,0)),{"Non Concerné";"Niveau 1";"Niveau 2";"Niveau 3";"Niveau 4"},0)-1)&gt;(MATCH(INDEX(Data_metier!$E:$E,MATCH(I$1,Data_metier!$B:$B,0)),{"Non Concerné";"Niveau 1";"Niveau 2";"Niveau 3";"Niveau 4"},0)-1),
1/6,0))</f>
        <v>0.5</v>
      </c>
      <c r="J15">
        <f>IF(DE_respon_transv!J15=-1,-1,
DE_respon_transv!J15+IF((MATCH(INDEX(Data_metier!$C:$C,MATCH($A15,Data_metier!$B:$B,0)),{"Non Concerné";"Niveau 1";"Niveau 2";"Niveau 3";"Niveau 4"},0)-1)&gt;(MATCH(INDEX(Data_metier!$C:$C,MATCH(J$1,Data_metier!$B:$B,0)),{"Non Concerné";"Niveau 1";"Niveau 2";"Niveau 3";"Niveau 4"},0)-1),
1/6,0)+IF((MATCH(INDEX(Data_metier!$D:$D,MATCH($A15,Data_metier!$B:$B,0)),{"Non Concerné";"Niveau 1";"Niveau 2";"Niveau 3";"Niveau 4"},0)-1)&gt;(MATCH(INDEX(Data_metier!$D:$D,MATCH(J$1,Data_metier!$B:$B,0)),{"Non Concerné";"Niveau 1";"Niveau 2";"Niveau 3";"Niveau 4"},0)-1),
1/6,0)+IF((MATCH(INDEX(Data_metier!$E:$E,MATCH($A15,Data_metier!$B:$B,0)),{"Non Concerné";"Niveau 1";"Niveau 2";"Niveau 3";"Niveau 4"},0)-1)&gt;(MATCH(INDEX(Data_metier!$E:$E,MATCH(J$1,Data_metier!$B:$B,0)),{"Non Concerné";"Niveau 1";"Niveau 2";"Niveau 3";"Niveau 4"},0)-1),
1/6,0))</f>
        <v>-1</v>
      </c>
      <c r="K15">
        <f>IF(DE_respon_transv!K15=-1,-1,
DE_respon_transv!K15+IF((MATCH(INDEX(Data_metier!$C:$C,MATCH($A15,Data_metier!$B:$B,0)),{"Non Concerné";"Niveau 1";"Niveau 2";"Niveau 3";"Niveau 4"},0)-1)&gt;(MATCH(INDEX(Data_metier!$C:$C,MATCH(K$1,Data_metier!$B:$B,0)),{"Non Concerné";"Niveau 1";"Niveau 2";"Niveau 3";"Niveau 4"},0)-1),
1/6,0)+IF((MATCH(INDEX(Data_metier!$D:$D,MATCH($A15,Data_metier!$B:$B,0)),{"Non Concerné";"Niveau 1";"Niveau 2";"Niveau 3";"Niveau 4"},0)-1)&gt;(MATCH(INDEX(Data_metier!$D:$D,MATCH(K$1,Data_metier!$B:$B,0)),{"Non Concerné";"Niveau 1";"Niveau 2";"Niveau 3";"Niveau 4"},0)-1),
1/6,0)+IF((MATCH(INDEX(Data_metier!$E:$E,MATCH($A15,Data_metier!$B:$B,0)),{"Non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15">
        <f>IF(DE_respon_transv!L15=-1,-1,
DE_respon_transv!L15+IF((MATCH(INDEX(Data_metier!$C:$C,MATCH($A15,Data_metier!$B:$B,0)),{"Non Concerné";"Niveau 1";"Niveau 2";"Niveau 3";"Niveau 4"},0)-1)&gt;(MATCH(INDEX(Data_metier!$C:$C,MATCH(L$1,Data_metier!$B:$B,0)),{"Non Concerné";"Niveau 1";"Niveau 2";"Niveau 3";"Niveau 4"},0)-1),
1/6,0)+IF((MATCH(INDEX(Data_metier!$D:$D,MATCH($A15,Data_metier!$B:$B,0)),{"Non Concerné";"Niveau 1";"Niveau 2";"Niveau 3";"Niveau 4"},0)-1)&gt;(MATCH(INDEX(Data_metier!$D:$D,MATCH(L$1,Data_metier!$B:$B,0)),{"Non Concerné";"Niveau 1";"Niveau 2";"Niveau 3";"Niveau 4"},0)-1),
1/6,0)+IF((MATCH(INDEX(Data_metier!$E:$E,MATCH($A15,Data_metier!$B:$B,0)),{"Non Concerné";"Niveau 1";"Niveau 2";"Niveau 3";"Niveau 4"},0)-1)&gt;(MATCH(INDEX(Data_metier!$E:$E,MATCH(L$1,Data_metier!$B:$B,0)),{"Non Concerné";"Niveau 1";"Niveau 2";"Niveau 3";"Niveau 4"},0)-1),
1/6,0))</f>
        <v>0</v>
      </c>
      <c r="M15">
        <f>IF(DE_respon_transv!M15=-1,-1,
DE_respon_transv!M15+IF((MATCH(INDEX(Data_metier!$C:$C,MATCH($A15,Data_metier!$B:$B,0)),{"Non Concerné";"Niveau 1";"Niveau 2";"Niveau 3";"Niveau 4"},0)-1)&gt;(MATCH(INDEX(Data_metier!$C:$C,MATCH(M$1,Data_metier!$B:$B,0)),{"Non Concerné";"Niveau 1";"Niveau 2";"Niveau 3";"Niveau 4"},0)-1),
1/6,0)+IF((MATCH(INDEX(Data_metier!$D:$D,MATCH($A15,Data_metier!$B:$B,0)),{"Non Concerné";"Niveau 1";"Niveau 2";"Niveau 3";"Niveau 4"},0)-1)&gt;(MATCH(INDEX(Data_metier!$D:$D,MATCH(M$1,Data_metier!$B:$B,0)),{"Non Concerné";"Niveau 1";"Niveau 2";"Niveau 3";"Niveau 4"},0)-1),
1/6,0)+IF((MATCH(INDEX(Data_metier!$E:$E,MATCH($A15,Data_metier!$B:$B,0)),{"Non Concerné";"Niveau 1";"Niveau 2";"Niveau 3";"Niveau 4"},0)-1)&gt;(MATCH(INDEX(Data_metier!$E:$E,MATCH(M$1,Data_metier!$B:$B,0)),{"Non Concerné";"Niveau 1";"Niveau 2";"Niveau 3";"Niveau 4"},0)-1),
1/6,0))</f>
        <v>-1</v>
      </c>
      <c r="N15">
        <f>IF(DE_respon_transv!N15=-1,-1,
DE_respon_transv!N15+IF((MATCH(INDEX(Data_metier!$C:$C,MATCH($A15,Data_metier!$B:$B,0)),{"Non Concerné";"Niveau 1";"Niveau 2";"Niveau 3";"Niveau 4"},0)-1)&gt;(MATCH(INDEX(Data_metier!$C:$C,MATCH(N$1,Data_metier!$B:$B,0)),{"Non Concerné";"Niveau 1";"Niveau 2";"Niveau 3";"Niveau 4"},0)-1),
1/6,0)+IF((MATCH(INDEX(Data_metier!$D:$D,MATCH($A15,Data_metier!$B:$B,0)),{"Non Concerné";"Niveau 1";"Niveau 2";"Niveau 3";"Niveau 4"},0)-1)&gt;(MATCH(INDEX(Data_metier!$D:$D,MATCH(N$1,Data_metier!$B:$B,0)),{"Non Concerné";"Niveau 1";"Niveau 2";"Niveau 3";"Niveau 4"},0)-1),
1/6,0)+IF((MATCH(INDEX(Data_metier!$E:$E,MATCH($A15,Data_metier!$B:$B,0)),{"Non Concerné";"Niveau 1";"Niveau 2";"Niveau 3";"Niveau 4"},0)-1)&gt;(MATCH(INDEX(Data_metier!$E:$E,MATCH(N$1,Data_metier!$B:$B,0)),{"Non Concerné";"Niveau 1";"Niveau 2";"Niveau 3";"Niveau 4"},0)-1),
1/6,0))</f>
        <v>-1</v>
      </c>
      <c r="O15">
        <f>IF(DE_respon_transv!O15=-1,-1,
DE_respon_transv!O15+IF((MATCH(INDEX(Data_metier!$C:$C,MATCH($A15,Data_metier!$B:$B,0)),{"Non Concerné";"Niveau 1";"Niveau 2";"Niveau 3";"Niveau 4"},0)-1)&gt;(MATCH(INDEX(Data_metier!$C:$C,MATCH(O$1,Data_metier!$B:$B,0)),{"Non Concerné";"Niveau 1";"Niveau 2";"Niveau 3";"Niveau 4"},0)-1),
1/6,0)+IF((MATCH(INDEX(Data_metier!$D:$D,MATCH($A15,Data_metier!$B:$B,0)),{"Non Concerné";"Niveau 1";"Niveau 2";"Niveau 3";"Niveau 4"},0)-1)&gt;(MATCH(INDEX(Data_metier!$D:$D,MATCH(O$1,Data_metier!$B:$B,0)),{"Non Concerné";"Niveau 1";"Niveau 2";"Niveau 3";"Niveau 4"},0)-1),
1/6,0)+IF((MATCH(INDEX(Data_metier!$E:$E,MATCH($A15,Data_metier!$B:$B,0)),{"Non Concerné";"Niveau 1";"Niveau 2";"Niveau 3";"Niveau 4"},0)-1)&gt;(MATCH(INDEX(Data_metier!$E:$E,MATCH(O$1,Data_metier!$B:$B,0)),{"Non Concerné";"Niveau 1";"Niveau 2";"Niveau 3";"Niveau 4"},0)-1),
1/6,0))</f>
        <v>0</v>
      </c>
      <c r="P15">
        <f>IF(DE_respon_transv!P15=-1,-1,
DE_respon_transv!P15+IF((MATCH(INDEX(Data_metier!$C:$C,MATCH($A15,Data_metier!$B:$B,0)),{"Non Concerné";"Niveau 1";"Niveau 2";"Niveau 3";"Niveau 4"},0)-1)&gt;(MATCH(INDEX(Data_metier!$C:$C,MATCH(P$1,Data_metier!$B:$B,0)),{"Non Concerné";"Niveau 1";"Niveau 2";"Niveau 3";"Niveau 4"},0)-1),
1/6,0)+IF((MATCH(INDEX(Data_metier!$D:$D,MATCH($A15,Data_metier!$B:$B,0)),{"Non Concerné";"Niveau 1";"Niveau 2";"Niveau 3";"Niveau 4"},0)-1)&gt;(MATCH(INDEX(Data_metier!$D:$D,MATCH(P$1,Data_metier!$B:$B,0)),{"Non Concerné";"Niveau 1";"Niveau 2";"Niveau 3";"Niveau 4"},0)-1),
1/6,0)+IF((MATCH(INDEX(Data_metier!$E:$E,MATCH($A15,Data_metier!$B:$B,0)),{"Non Concerné";"Niveau 1";"Niveau 2";"Niveau 3";"Niveau 4"},0)-1)&gt;(MATCH(INDEX(Data_metier!$E:$E,MATCH(P$1,Data_metier!$B:$B,0)),{"Non Concerné";"Niveau 1";"Niveau 2";"Niveau 3";"Niveau 4"},0)-1),
1/6,0))</f>
        <v>0.5</v>
      </c>
      <c r="Q15">
        <f>IF(DE_respon_transv!Q15=-1,-1,
DE_respon_transv!Q15+IF((MATCH(INDEX(Data_metier!$C:$C,MATCH($A15,Data_metier!$B:$B,0)),{"Non Concerné";"Niveau 1";"Niveau 2";"Niveau 3";"Niveau 4"},0)-1)&gt;(MATCH(INDEX(Data_metier!$C:$C,MATCH(Q$1,Data_metier!$B:$B,0)),{"Non Concerné";"Niveau 1";"Niveau 2";"Niveau 3";"Niveau 4"},0)-1),
1/6,0)+IF((MATCH(INDEX(Data_metier!$D:$D,MATCH($A15,Data_metier!$B:$B,0)),{"Non Concerné";"Niveau 1";"Niveau 2";"Niveau 3";"Niveau 4"},0)-1)&gt;(MATCH(INDEX(Data_metier!$D:$D,MATCH(Q$1,Data_metier!$B:$B,0)),{"Non Concerné";"Niveau 1";"Niveau 2";"Niveau 3";"Niveau 4"},0)-1),
1/6,0)+IF((MATCH(INDEX(Data_metier!$E:$E,MATCH($A15,Data_metier!$B:$B,0)),{"Non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15">
        <f>IF(DE_respon_transv!R15=-1,-1,
DE_respon_transv!R15+IF((MATCH(INDEX(Data_metier!$C:$C,MATCH($A15,Data_metier!$B:$B,0)),{"Non Concerné";"Niveau 1";"Niveau 2";"Niveau 3";"Niveau 4"},0)-1)&gt;(MATCH(INDEX(Data_metier!$C:$C,MATCH(R$1,Data_metier!$B:$B,0)),{"Non Concerné";"Niveau 1";"Niveau 2";"Niveau 3";"Niveau 4"},0)-1),
1/6,0)+IF((MATCH(INDEX(Data_metier!$D:$D,MATCH($A15,Data_metier!$B:$B,0)),{"Non Concerné";"Niveau 1";"Niveau 2";"Niveau 3";"Niveau 4"},0)-1)&gt;(MATCH(INDEX(Data_metier!$D:$D,MATCH(R$1,Data_metier!$B:$B,0)),{"Non Concerné";"Niveau 1";"Niveau 2";"Niveau 3";"Niveau 4"},0)-1),
1/6,0)+IF((MATCH(INDEX(Data_metier!$E:$E,MATCH($A15,Data_metier!$B:$B,0)),{"Non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15">
        <f>IF(DE_respon_transv!S15=-1,-1,
DE_respon_transv!S15+IF((MATCH(INDEX(Data_metier!$C:$C,MATCH($A15,Data_metier!$B:$B,0)),{"Non Concerné";"Niveau 1";"Niveau 2";"Niveau 3";"Niveau 4"},0)-1)&gt;(MATCH(INDEX(Data_metier!$C:$C,MATCH(S$1,Data_metier!$B:$B,0)),{"Non Concerné";"Niveau 1";"Niveau 2";"Niveau 3";"Niveau 4"},0)-1),
1/6,0)+IF((MATCH(INDEX(Data_metier!$D:$D,MATCH($A15,Data_metier!$B:$B,0)),{"Non Concerné";"Niveau 1";"Niveau 2";"Niveau 3";"Niveau 4"},0)-1)&gt;(MATCH(INDEX(Data_metier!$D:$D,MATCH(S$1,Data_metier!$B:$B,0)),{"Non Concerné";"Niveau 1";"Niveau 2";"Niveau 3";"Niveau 4"},0)-1),
1/6,0)+IF((MATCH(INDEX(Data_metier!$E:$E,MATCH($A15,Data_metier!$B:$B,0)),{"Non Concerné";"Niveau 1";"Niveau 2";"Niveau 3";"Niveau 4"},0)-1)&gt;(MATCH(INDEX(Data_metier!$E:$E,MATCH(S$1,Data_metier!$B:$B,0)),{"Non Concerné";"Niveau 1";"Niveau 2";"Niveau 3";"Niveau 4"},0)-1),
1/6,0))</f>
        <v>0.5</v>
      </c>
      <c r="T15">
        <f>IF(DE_respon_transv!T15=-1,-1,
DE_respon_transv!T15+IF((MATCH(INDEX(Data_metier!$C:$C,MATCH($A15,Data_metier!$B:$B,0)),{"Non Concerné";"Niveau 1";"Niveau 2";"Niveau 3";"Niveau 4"},0)-1)&gt;(MATCH(INDEX(Data_metier!$C:$C,MATCH(T$1,Data_metier!$B:$B,0)),{"Non Concerné";"Niveau 1";"Niveau 2";"Niveau 3";"Niveau 4"},0)-1),
1/6,0)+IF((MATCH(INDEX(Data_metier!$D:$D,MATCH($A15,Data_metier!$B:$B,0)),{"Non Concerné";"Niveau 1";"Niveau 2";"Niveau 3";"Niveau 4"},0)-1)&gt;(MATCH(INDEX(Data_metier!$D:$D,MATCH(T$1,Data_metier!$B:$B,0)),{"Non Concerné";"Niveau 1";"Niveau 2";"Niveau 3";"Niveau 4"},0)-1),
1/6,0)+IF((MATCH(INDEX(Data_metier!$E:$E,MATCH($A15,Data_metier!$B:$B,0)),{"Non Concerné";"Niveau 1";"Niveau 2";"Niveau 3";"Niveau 4"},0)-1)&gt;(MATCH(INDEX(Data_metier!$E:$E,MATCH(T$1,Data_metier!$B:$B,0)),{"Non Concerné";"Niveau 1";"Niveau 2";"Niveau 3";"Niveau 4"},0)-1),
1/6,0))</f>
        <v>0.33333333333333331</v>
      </c>
      <c r="U15">
        <f>IF(DE_respon_transv!U15=-1,-1,
DE_respon_transv!U15+IF((MATCH(INDEX(Data_metier!$C:$C,MATCH($A15,Data_metier!$B:$B,0)),{"Non Concerné";"Niveau 1";"Niveau 2";"Niveau 3";"Niveau 4"},0)-1)&gt;(MATCH(INDEX(Data_metier!$C:$C,MATCH(U$1,Data_metier!$B:$B,0)),{"Non Concerné";"Niveau 1";"Niveau 2";"Niveau 3";"Niveau 4"},0)-1),
1/6,0)+IF((MATCH(INDEX(Data_metier!$D:$D,MATCH($A15,Data_metier!$B:$B,0)),{"Non Concerné";"Niveau 1";"Niveau 2";"Niveau 3";"Niveau 4"},0)-1)&gt;(MATCH(INDEX(Data_metier!$D:$D,MATCH(U$1,Data_metier!$B:$B,0)),{"Non Concerné";"Niveau 1";"Niveau 2";"Niveau 3";"Niveau 4"},0)-1),
1/6,0)+IF((MATCH(INDEX(Data_metier!$E:$E,MATCH($A15,Data_metier!$B:$B,0)),{"Non Concerné";"Niveau 1";"Niveau 2";"Niveau 3";"Niveau 4"},0)-1)&gt;(MATCH(INDEX(Data_metier!$E:$E,MATCH(U$1,Data_metier!$B:$B,0)),{"Non Concerné";"Niveau 1";"Niveau 2";"Niveau 3";"Niveau 4"},0)-1),
1/6,0))</f>
        <v>0.5</v>
      </c>
      <c r="V15">
        <f>IF(DE_respon_transv!V15=-1,-1,
DE_respon_transv!V15+IF((MATCH(INDEX(Data_metier!$C:$C,MATCH($A15,Data_metier!$B:$B,0)),{"Non Concerné";"Niveau 1";"Niveau 2";"Niveau 3";"Niveau 4"},0)-1)&gt;(MATCH(INDEX(Data_metier!$C:$C,MATCH(V$1,Data_metier!$B:$B,0)),{"Non Concerné";"Niveau 1";"Niveau 2";"Niveau 3";"Niveau 4"},0)-1),
1/6,0)+IF((MATCH(INDEX(Data_metier!$D:$D,MATCH($A15,Data_metier!$B:$B,0)),{"Non Concerné";"Niveau 1";"Niveau 2";"Niveau 3";"Niveau 4"},0)-1)&gt;(MATCH(INDEX(Data_metier!$D:$D,MATCH(V$1,Data_metier!$B:$B,0)),{"Non Concerné";"Niveau 1";"Niveau 2";"Niveau 3";"Niveau 4"},0)-1),
1/6,0)+IF((MATCH(INDEX(Data_metier!$E:$E,MATCH($A15,Data_metier!$B:$B,0)),{"Non Concerné";"Niveau 1";"Niveau 2";"Niveau 3";"Niveau 4"},0)-1)&gt;(MATCH(INDEX(Data_metier!$E:$E,MATCH(V$1,Data_metier!$B:$B,0)),{"Non Concerné";"Niveau 1";"Niveau 2";"Niveau 3";"Niveau 4"},0)-1),
1/6,0))</f>
        <v>-1</v>
      </c>
      <c r="W15">
        <f>IF(DE_respon_transv!W15=-1,-1,
DE_respon_transv!W15+IF((MATCH(INDEX(Data_metier!$C:$C,MATCH($A15,Data_metier!$B:$B,0)),{"Non Concerné";"Niveau 1";"Niveau 2";"Niveau 3";"Niveau 4"},0)-1)&gt;(MATCH(INDEX(Data_metier!$C:$C,MATCH(W$1,Data_metier!$B:$B,0)),{"Non Concerné";"Niveau 1";"Niveau 2";"Niveau 3";"Niveau 4"},0)-1),
1/6,0)+IF((MATCH(INDEX(Data_metier!$D:$D,MATCH($A15,Data_metier!$B:$B,0)),{"Non Concerné";"Niveau 1";"Niveau 2";"Niveau 3";"Niveau 4"},0)-1)&gt;(MATCH(INDEX(Data_metier!$D:$D,MATCH(W$1,Data_metier!$B:$B,0)),{"Non Concerné";"Niveau 1";"Niveau 2";"Niveau 3";"Niveau 4"},0)-1),
1/6,0)+IF((MATCH(INDEX(Data_metier!$E:$E,MATCH($A15,Data_metier!$B:$B,0)),{"Non Concerné";"Niveau 1";"Niveau 2";"Niveau 3";"Niveau 4"},0)-1)&gt;(MATCH(INDEX(Data_metier!$E:$E,MATCH(W$1,Data_metier!$B:$B,0)),{"Non Concerné";"Niveau 1";"Niveau 2";"Niveau 3";"Niveau 4"},0)-1),
1/6,0))</f>
        <v>-1</v>
      </c>
      <c r="X15">
        <f>IF(DE_respon_transv!X15=-1,-1,
DE_respon_transv!X15+IF((MATCH(INDEX(Data_metier!$C:$C,MATCH($A15,Data_metier!$B:$B,0)),{"Non Concerné";"Niveau 1";"Niveau 2";"Niveau 3";"Niveau 4"},0)-1)&gt;(MATCH(INDEX(Data_metier!$C:$C,MATCH(X$1,Data_metier!$B:$B,0)),{"Non Concerné";"Niveau 1";"Niveau 2";"Niveau 3";"Niveau 4"},0)-1),
1/6,0)+IF((MATCH(INDEX(Data_metier!$D:$D,MATCH($A15,Data_metier!$B:$B,0)),{"Non Concerné";"Niveau 1";"Niveau 2";"Niveau 3";"Niveau 4"},0)-1)&gt;(MATCH(INDEX(Data_metier!$D:$D,MATCH(X$1,Data_metier!$B:$B,0)),{"Non Concerné";"Niveau 1";"Niveau 2";"Niveau 3";"Niveau 4"},0)-1),
1/6,0)+IF((MATCH(INDEX(Data_metier!$E:$E,MATCH($A15,Data_metier!$B:$B,0)),{"Non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15">
        <f>IF(DE_respon_transv!Y15=-1,-1,
DE_respon_transv!Y15+IF((MATCH(INDEX(Data_metier!$C:$C,MATCH($A15,Data_metier!$B:$B,0)),{"Non Concerné";"Niveau 1";"Niveau 2";"Niveau 3";"Niveau 4"},0)-1)&gt;(MATCH(INDEX(Data_metier!$C:$C,MATCH(Y$1,Data_metier!$B:$B,0)),{"Non Concerné";"Niveau 1";"Niveau 2";"Niveau 3";"Niveau 4"},0)-1),
1/6,0)+IF((MATCH(INDEX(Data_metier!$D:$D,MATCH($A15,Data_metier!$B:$B,0)),{"Non Concerné";"Niveau 1";"Niveau 2";"Niveau 3";"Niveau 4"},0)-1)&gt;(MATCH(INDEX(Data_metier!$D:$D,MATCH(Y$1,Data_metier!$B:$B,0)),{"Non Concerné";"Niveau 1";"Niveau 2";"Niveau 3";"Niveau 4"},0)-1),
1/6,0)+IF((MATCH(INDEX(Data_metier!$E:$E,MATCH($A15,Data_metier!$B:$B,0)),{"Non Concerné";"Niveau 1";"Niveau 2";"Niveau 3";"Niveau 4"},0)-1)&gt;(MATCH(INDEX(Data_metier!$E:$E,MATCH(Y$1,Data_metier!$B:$B,0)),{"Non Concerné";"Niveau 1";"Niveau 2";"Niveau 3";"Niveau 4"},0)-1),
1/6,0))</f>
        <v>0.5</v>
      </c>
      <c r="Z15">
        <f>IF(DE_respon_transv!Z15=-1,-1,
DE_respon_transv!Z15+IF((MATCH(INDEX(Data_metier!$C:$C,MATCH($A15,Data_metier!$B:$B,0)),{"Non Concerné";"Niveau 1";"Niveau 2";"Niveau 3";"Niveau 4"},0)-1)&gt;(MATCH(INDEX(Data_metier!$C:$C,MATCH(Z$1,Data_metier!$B:$B,0)),{"Non Concerné";"Niveau 1";"Niveau 2";"Niveau 3";"Niveau 4"},0)-1),
1/6,0)+IF((MATCH(INDEX(Data_metier!$D:$D,MATCH($A15,Data_metier!$B:$B,0)),{"Non Concerné";"Niveau 1";"Niveau 2";"Niveau 3";"Niveau 4"},0)-1)&gt;(MATCH(INDEX(Data_metier!$D:$D,MATCH(Z$1,Data_metier!$B:$B,0)),{"Non Concerné";"Niveau 1";"Niveau 2";"Niveau 3";"Niveau 4"},0)-1),
1/6,0)+IF((MATCH(INDEX(Data_metier!$E:$E,MATCH($A15,Data_metier!$B:$B,0)),{"Non Concerné";"Niveau 1";"Niveau 2";"Niveau 3";"Niveau 4"},0)-1)&gt;(MATCH(INDEX(Data_metier!$E:$E,MATCH(Z$1,Data_metier!$B:$B,0)),{"Non Concerné";"Niveau 1";"Niveau 2";"Niveau 3";"Niveau 4"},0)-1),
1/6,0))</f>
        <v>0.5</v>
      </c>
      <c r="AA15">
        <f>IF(DE_respon_transv!AA15=-1,-1,
DE_respon_transv!AA15+IF((MATCH(INDEX(Data_metier!$C:$C,MATCH($A15,Data_metier!$B:$B,0)),{"Non Concerné";"Niveau 1";"Niveau 2";"Niveau 3";"Niveau 4"},0)-1)&gt;(MATCH(INDEX(Data_metier!$C:$C,MATCH(AA$1,Data_metier!$B:$B,0)),{"Non Concerné";"Niveau 1";"Niveau 2";"Niveau 3";"Niveau 4"},0)-1),
1/6,0)+IF((MATCH(INDEX(Data_metier!$D:$D,MATCH($A15,Data_metier!$B:$B,0)),{"Non Concerné";"Niveau 1";"Niveau 2";"Niveau 3";"Niveau 4"},0)-1)&gt;(MATCH(INDEX(Data_metier!$D:$D,MATCH(AA$1,Data_metier!$B:$B,0)),{"Non Concerné";"Niveau 1";"Niveau 2";"Niveau 3";"Niveau 4"},0)-1),
1/6,0)+IF((MATCH(INDEX(Data_metier!$E:$E,MATCH($A15,Data_metier!$B:$B,0)),{"Non Concerné";"Niveau 1";"Niveau 2";"Niveau 3";"Niveau 4"},0)-1)&gt;(MATCH(INDEX(Data_metier!$E:$E,MATCH(AA$1,Data_metier!$B:$B,0)),{"Non Concerné";"Niveau 1";"Niveau 2";"Niveau 3";"Niveau 4"},0)-1),
1/6,0))</f>
        <v>0.5</v>
      </c>
      <c r="AB15">
        <f>IF(DE_respon_transv!AB15=-1,-1,
DE_respon_transv!AB15+IF((MATCH(INDEX(Data_metier!$C:$C,MATCH($A15,Data_metier!$B:$B,0)),{"Non Concerné";"Niveau 1";"Niveau 2";"Niveau 3";"Niveau 4"},0)-1)&gt;(MATCH(INDEX(Data_metier!$C:$C,MATCH(AB$1,Data_metier!$B:$B,0)),{"Non Concerné";"Niveau 1";"Niveau 2";"Niveau 3";"Niveau 4"},0)-1),
1/6,0)+IF((MATCH(INDEX(Data_metier!$D:$D,MATCH($A15,Data_metier!$B:$B,0)),{"Non Concerné";"Niveau 1";"Niveau 2";"Niveau 3";"Niveau 4"},0)-1)&gt;(MATCH(INDEX(Data_metier!$D:$D,MATCH(AB$1,Data_metier!$B:$B,0)),{"Non Concerné";"Niveau 1";"Niveau 2";"Niveau 3";"Niveau 4"},0)-1),
1/6,0)+IF((MATCH(INDEX(Data_metier!$E:$E,MATCH($A15,Data_metier!$B:$B,0)),{"Non Concerné";"Niveau 1";"Niveau 2";"Niveau 3";"Niveau 4"},0)-1)&gt;(MATCH(INDEX(Data_metier!$E:$E,MATCH(AB$1,Data_metier!$B:$B,0)),{"Non Concerné";"Niveau 1";"Niveau 2";"Niveau 3";"Niveau 4"},0)-1),
1/6,0))</f>
        <v>-1</v>
      </c>
      <c r="AC15">
        <f>IF(DE_respon_transv!AC15=-1,-1,
DE_respon_transv!AC15+IF((MATCH(INDEX(Data_metier!$C:$C,MATCH($A15,Data_metier!$B:$B,0)),{"Non Concerné";"Niveau 1";"Niveau 2";"Niveau 3";"Niveau 4"},0)-1)&gt;(MATCH(INDEX(Data_metier!$C:$C,MATCH(AC$1,Data_metier!$B:$B,0)),{"Non Concerné";"Niveau 1";"Niveau 2";"Niveau 3";"Niveau 4"},0)-1),
1/6,0)+IF((MATCH(INDEX(Data_metier!$D:$D,MATCH($A15,Data_metier!$B:$B,0)),{"Non Concerné";"Niveau 1";"Niveau 2";"Niveau 3";"Niveau 4"},0)-1)&gt;(MATCH(INDEX(Data_metier!$D:$D,MATCH(AC$1,Data_metier!$B:$B,0)),{"Non Concerné";"Niveau 1";"Niveau 2";"Niveau 3";"Niveau 4"},0)-1),
1/6,0)+IF((MATCH(INDEX(Data_metier!$E:$E,MATCH($A15,Data_metier!$B:$B,0)),{"Non Concerné";"Niveau 1";"Niveau 2";"Niveau 3";"Niveau 4"},0)-1)&gt;(MATCH(INDEX(Data_metier!$E:$E,MATCH(AC$1,Data_metier!$B:$B,0)),{"Non Concerné";"Niveau 1";"Niveau 2";"Niveau 3";"Niveau 4"},0)-1),
1/6,0))</f>
        <v>-1</v>
      </c>
      <c r="AD15">
        <f>IF(DE_respon_transv!AD15=-1,-1,
DE_respon_transv!AD15+IF((MATCH(INDEX(Data_metier!$C:$C,MATCH($A15,Data_metier!$B:$B,0)),{"Non Concerné";"Niveau 1";"Niveau 2";"Niveau 3";"Niveau 4"},0)-1)&gt;(MATCH(INDEX(Data_metier!$C:$C,MATCH(AD$1,Data_metier!$B:$B,0)),{"Non Concerné";"Niveau 1";"Niveau 2";"Niveau 3";"Niveau 4"},0)-1),
1/6,0)+IF((MATCH(INDEX(Data_metier!$D:$D,MATCH($A15,Data_metier!$B:$B,0)),{"Non Concerné";"Niveau 1";"Niveau 2";"Niveau 3";"Niveau 4"},0)-1)&gt;(MATCH(INDEX(Data_metier!$D:$D,MATCH(AD$1,Data_metier!$B:$B,0)),{"Non Concerné";"Niveau 1";"Niveau 2";"Niveau 3";"Niveau 4"},0)-1),
1/6,0)+IF((MATCH(INDEX(Data_metier!$E:$E,MATCH($A15,Data_metier!$B:$B,0)),{"Non Concerné";"Niveau 1";"Niveau 2";"Niveau 3";"Niveau 4"},0)-1)&gt;(MATCH(INDEX(Data_metier!$E:$E,MATCH(AD$1,Data_metier!$B:$B,0)),{"Non Concerné";"Niveau 1";"Niveau 2";"Niveau 3";"Niveau 4"},0)-1),
1/6,0))</f>
        <v>-1</v>
      </c>
    </row>
    <row r="16" spans="1:30">
      <c r="A16" t="str">
        <v>Opérateur(trice) hygiène / sanitation</v>
      </c>
      <c r="B16">
        <f>IF(DE_respon_transv!B16=-1,-1,
DE_respon_transv!B16+IF((MATCH(INDEX(Data_metier!$C:$C,MATCH($A16,Data_metier!$B:$B,0)),{"Non Concerné";"Niveau 1";"Niveau 2";"Niveau 3";"Niveau 4"},0)-1)&gt;(MATCH(INDEX(Data_metier!$C:$C,MATCH(B$1,Data_metier!$B:$B,0)),{"Non Concerné";"Niveau 1";"Niveau 2";"Niveau 3";"Niveau 4"},0)-1),
1/6,0)+IF((MATCH(INDEX(Data_metier!$D:$D,MATCH($A16,Data_metier!$B:$B,0)),{"Non Concerné";"Niveau 1";"Niveau 2";"Niveau 3";"Niveau 4"},0)-1)&gt;(MATCH(INDEX(Data_metier!$D:$D,MATCH(B$1,Data_metier!$B:$B,0)),{"Non Concerné";"Niveau 1";"Niveau 2";"Niveau 3";"Niveau 4"},0)-1),
1/6,0)+IF((MATCH(INDEX(Data_metier!$E:$E,MATCH($A16,Data_metier!$B:$B,0)),{"Non Concerné";"Niveau 1";"Niveau 2";"Niveau 3";"Niveau 4"},0)-1)&gt;(MATCH(INDEX(Data_metier!$E:$E,MATCH(B$1,Data_metier!$B:$B,0)),{"Non Concerné";"Niveau 1";"Niveau 2";"Niveau 3";"Niveau 4"},0)-1),
1/6,0))</f>
        <v>-1</v>
      </c>
      <c r="C16">
        <f>IF(DE_respon_transv!C16=-1,-1,
DE_respon_transv!C16+IF((MATCH(INDEX(Data_metier!$C:$C,MATCH($A16,Data_metier!$B:$B,0)),{"Non Concerné";"Niveau 1";"Niveau 2";"Niveau 3";"Niveau 4"},0)-1)&gt;(MATCH(INDEX(Data_metier!$C:$C,MATCH(C$1,Data_metier!$B:$B,0)),{"Non Concerné";"Niveau 1";"Niveau 2";"Niveau 3";"Niveau 4"},0)-1),
1/6,0)+IF((MATCH(INDEX(Data_metier!$D:$D,MATCH($A16,Data_metier!$B:$B,0)),{"Non Concerné";"Niveau 1";"Niveau 2";"Niveau 3";"Niveau 4"},0)-1)&gt;(MATCH(INDEX(Data_metier!$D:$D,MATCH(C$1,Data_metier!$B:$B,0)),{"Non Concerné";"Niveau 1";"Niveau 2";"Niveau 3";"Niveau 4"},0)-1),
1/6,0)+IF((MATCH(INDEX(Data_metier!$E:$E,MATCH($A16,Data_metier!$B:$B,0)),{"Non Concerné";"Niveau 1";"Niveau 2";"Niveau 3";"Niveau 4"},0)-1)&gt;(MATCH(INDEX(Data_metier!$E:$E,MATCH(C$1,Data_metier!$B:$B,0)),{"Non Concerné";"Niveau 1";"Niveau 2";"Niveau 3";"Niveau 4"},0)-1),
1/6,0))</f>
        <v>-1</v>
      </c>
      <c r="D16">
        <f>IF(DE_respon_transv!D16=-1,-1,
DE_respon_transv!D16+IF((MATCH(INDEX(Data_metier!$C:$C,MATCH($A16,Data_metier!$B:$B,0)),{"Non Concerné";"Niveau 1";"Niveau 2";"Niveau 3";"Niveau 4"},0)-1)&gt;(MATCH(INDEX(Data_metier!$C:$C,MATCH(D$1,Data_metier!$B:$B,0)),{"Non Concerné";"Niveau 1";"Niveau 2";"Niveau 3";"Niveau 4"},0)-1),
1/6,0)+IF((MATCH(INDEX(Data_metier!$D:$D,MATCH($A16,Data_metier!$B:$B,0)),{"Non Concerné";"Niveau 1";"Niveau 2";"Niveau 3";"Niveau 4"},0)-1)&gt;(MATCH(INDEX(Data_metier!$D:$D,MATCH(D$1,Data_metier!$B:$B,0)),{"Non Concerné";"Niveau 1";"Niveau 2";"Niveau 3";"Niveau 4"},0)-1),
1/6,0)+IF((MATCH(INDEX(Data_metier!$E:$E,MATCH($A16,Data_metier!$B:$B,0)),{"Non Concerné";"Niveau 1";"Niveau 2";"Niveau 3";"Niveau 4"},0)-1)&gt;(MATCH(INDEX(Data_metier!$E:$E,MATCH(D$1,Data_metier!$B:$B,0)),{"Non Concerné";"Niveau 1";"Niveau 2";"Niveau 3";"Niveau 4"},0)-1),
1/6,0))</f>
        <v>0</v>
      </c>
      <c r="E16">
        <f>IF(DE_respon_transv!E16=-1,-1,
DE_respon_transv!E16+IF((MATCH(INDEX(Data_metier!$C:$C,MATCH($A16,Data_metier!$B:$B,0)),{"Non Concerné";"Niveau 1";"Niveau 2";"Niveau 3";"Niveau 4"},0)-1)&gt;(MATCH(INDEX(Data_metier!$C:$C,MATCH(E$1,Data_metier!$B:$B,0)),{"Non Concerné";"Niveau 1";"Niveau 2";"Niveau 3";"Niveau 4"},0)-1),
1/6,0)+IF((MATCH(INDEX(Data_metier!$D:$D,MATCH($A16,Data_metier!$B:$B,0)),{"Non Concerné";"Niveau 1";"Niveau 2";"Niveau 3";"Niveau 4"},0)-1)&gt;(MATCH(INDEX(Data_metier!$D:$D,MATCH(E$1,Data_metier!$B:$B,0)),{"Non Concerné";"Niveau 1";"Niveau 2";"Niveau 3";"Niveau 4"},0)-1),
1/6,0)+IF((MATCH(INDEX(Data_metier!$E:$E,MATCH($A16,Data_metier!$B:$B,0)),{"Non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16">
        <f>IF(DE_respon_transv!F16=-1,-1,
DE_respon_transv!F16+IF((MATCH(INDEX(Data_metier!$C:$C,MATCH($A16,Data_metier!$B:$B,0)),{"Non Concerné";"Niveau 1";"Niveau 2";"Niveau 3";"Niveau 4"},0)-1)&gt;(MATCH(INDEX(Data_metier!$C:$C,MATCH(F$1,Data_metier!$B:$B,0)),{"Non Concerné";"Niveau 1";"Niveau 2";"Niveau 3";"Niveau 4"},0)-1),
1/6,0)+IF((MATCH(INDEX(Data_metier!$D:$D,MATCH($A16,Data_metier!$B:$B,0)),{"Non Concerné";"Niveau 1";"Niveau 2";"Niveau 3";"Niveau 4"},0)-1)&gt;(MATCH(INDEX(Data_metier!$D:$D,MATCH(F$1,Data_metier!$B:$B,0)),{"Non Concerné";"Niveau 1";"Niveau 2";"Niveau 3";"Niveau 4"},0)-1),
1/6,0)+IF((MATCH(INDEX(Data_metier!$E:$E,MATCH($A16,Data_metier!$B:$B,0)),{"Non Concerné";"Niveau 1";"Niveau 2";"Niveau 3";"Niveau 4"},0)-1)&gt;(MATCH(INDEX(Data_metier!$E:$E,MATCH(F$1,Data_metier!$B:$B,0)),{"Non Concerné";"Niveau 1";"Niveau 2";"Niveau 3";"Niveau 4"},0)-1),
1/6,0))</f>
        <v>-1</v>
      </c>
      <c r="G16">
        <f>IF(DE_respon_transv!G16=-1,-1,
DE_respon_transv!G16+IF((MATCH(INDEX(Data_metier!$C:$C,MATCH($A16,Data_metier!$B:$B,0)),{"Non Concerné";"Niveau 1";"Niveau 2";"Niveau 3";"Niveau 4"},0)-1)&gt;(MATCH(INDEX(Data_metier!$C:$C,MATCH(G$1,Data_metier!$B:$B,0)),{"Non Concerné";"Niveau 1";"Niveau 2";"Niveau 3";"Niveau 4"},0)-1),
1/6,0)+IF((MATCH(INDEX(Data_metier!$D:$D,MATCH($A16,Data_metier!$B:$B,0)),{"Non Concerné";"Niveau 1";"Niveau 2";"Niveau 3";"Niveau 4"},0)-1)&gt;(MATCH(INDEX(Data_metier!$D:$D,MATCH(G$1,Data_metier!$B:$B,0)),{"Non Concerné";"Niveau 1";"Niveau 2";"Niveau 3";"Niveau 4"},0)-1),
1/6,0)+IF((MATCH(INDEX(Data_metier!$E:$E,MATCH($A16,Data_metier!$B:$B,0)),{"Non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16">
        <f>IF(DE_respon_transv!H16=-1,-1,
DE_respon_transv!H16+IF((MATCH(INDEX(Data_metier!$C:$C,MATCH($A16,Data_metier!$B:$B,0)),{"Non Concerné";"Niveau 1";"Niveau 2";"Niveau 3";"Niveau 4"},0)-1)&gt;(MATCH(INDEX(Data_metier!$C:$C,MATCH(H$1,Data_metier!$B:$B,0)),{"Non Concerné";"Niveau 1";"Niveau 2";"Niveau 3";"Niveau 4"},0)-1),
1/6,0)+IF((MATCH(INDEX(Data_metier!$D:$D,MATCH($A16,Data_metier!$B:$B,0)),{"Non Concerné";"Niveau 1";"Niveau 2";"Niveau 3";"Niveau 4"},0)-1)&gt;(MATCH(INDEX(Data_metier!$D:$D,MATCH(H$1,Data_metier!$B:$B,0)),{"Non Concerné";"Niveau 1";"Niveau 2";"Niveau 3";"Niveau 4"},0)-1),
1/6,0)+IF((MATCH(INDEX(Data_metier!$E:$E,MATCH($A16,Data_metier!$B:$B,0)),{"Non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16">
        <f>IF(DE_respon_transv!I16=-1,-1,
DE_respon_transv!I16+IF((MATCH(INDEX(Data_metier!$C:$C,MATCH($A16,Data_metier!$B:$B,0)),{"Non Concerné";"Niveau 1";"Niveau 2";"Niveau 3";"Niveau 4"},0)-1)&gt;(MATCH(INDEX(Data_metier!$C:$C,MATCH(I$1,Data_metier!$B:$B,0)),{"Non Concerné";"Niveau 1";"Niveau 2";"Niveau 3";"Niveau 4"},0)-1),
1/6,0)+IF((MATCH(INDEX(Data_metier!$D:$D,MATCH($A16,Data_metier!$B:$B,0)),{"Non Concerné";"Niveau 1";"Niveau 2";"Niveau 3";"Niveau 4"},0)-1)&gt;(MATCH(INDEX(Data_metier!$D:$D,MATCH(I$1,Data_metier!$B:$B,0)),{"Non Concerné";"Niveau 1";"Niveau 2";"Niveau 3";"Niveau 4"},0)-1),
1/6,0)+IF((MATCH(INDEX(Data_metier!$E:$E,MATCH($A16,Data_metier!$B:$B,0)),{"Non Concerné";"Niveau 1";"Niveau 2";"Niveau 3";"Niveau 4"},0)-1)&gt;(MATCH(INDEX(Data_metier!$E:$E,MATCH(I$1,Data_metier!$B:$B,0)),{"Non Concerné";"Niveau 1";"Niveau 2";"Niveau 3";"Niveau 4"},0)-1),
1/6,0))</f>
        <v>0</v>
      </c>
      <c r="J16">
        <f>IF(DE_respon_transv!J16=-1,-1,
DE_respon_transv!J16+IF((MATCH(INDEX(Data_metier!$C:$C,MATCH($A16,Data_metier!$B:$B,0)),{"Non Concerné";"Niveau 1";"Niveau 2";"Niveau 3";"Niveau 4"},0)-1)&gt;(MATCH(INDEX(Data_metier!$C:$C,MATCH(J$1,Data_metier!$B:$B,0)),{"Non Concerné";"Niveau 1";"Niveau 2";"Niveau 3";"Niveau 4"},0)-1),
1/6,0)+IF((MATCH(INDEX(Data_metier!$D:$D,MATCH($A16,Data_metier!$B:$B,0)),{"Non Concerné";"Niveau 1";"Niveau 2";"Niveau 3";"Niveau 4"},0)-1)&gt;(MATCH(INDEX(Data_metier!$D:$D,MATCH(J$1,Data_metier!$B:$B,0)),{"Non Concerné";"Niveau 1";"Niveau 2";"Niveau 3";"Niveau 4"},0)-1),
1/6,0)+IF((MATCH(INDEX(Data_metier!$E:$E,MATCH($A16,Data_metier!$B:$B,0)),{"Non Concerné";"Niveau 1";"Niveau 2";"Niveau 3";"Niveau 4"},0)-1)&gt;(MATCH(INDEX(Data_metier!$E:$E,MATCH(J$1,Data_metier!$B:$B,0)),{"Non Concerné";"Niveau 1";"Niveau 2";"Niveau 3";"Niveau 4"},0)-1),
1/6,0))</f>
        <v>-1</v>
      </c>
      <c r="K16">
        <f>IF(DE_respon_transv!K16=-1,-1,
DE_respon_transv!K16+IF((MATCH(INDEX(Data_metier!$C:$C,MATCH($A16,Data_metier!$B:$B,0)),{"Non Concerné";"Niveau 1";"Niveau 2";"Niveau 3";"Niveau 4"},0)-1)&gt;(MATCH(INDEX(Data_metier!$C:$C,MATCH(K$1,Data_metier!$B:$B,0)),{"Non Concerné";"Niveau 1";"Niveau 2";"Niveau 3";"Niveau 4"},0)-1),
1/6,0)+IF((MATCH(INDEX(Data_metier!$D:$D,MATCH($A16,Data_metier!$B:$B,0)),{"Non Concerné";"Niveau 1";"Niveau 2";"Niveau 3";"Niveau 4"},0)-1)&gt;(MATCH(INDEX(Data_metier!$D:$D,MATCH(K$1,Data_metier!$B:$B,0)),{"Non Concerné";"Niveau 1";"Niveau 2";"Niveau 3";"Niveau 4"},0)-1),
1/6,0)+IF((MATCH(INDEX(Data_metier!$E:$E,MATCH($A16,Data_metier!$B:$B,0)),{"Non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16">
        <f>IF(DE_respon_transv!L16=-1,-1,
DE_respon_transv!L16+IF((MATCH(INDEX(Data_metier!$C:$C,MATCH($A16,Data_metier!$B:$B,0)),{"Non Concerné";"Niveau 1";"Niveau 2";"Niveau 3";"Niveau 4"},0)-1)&gt;(MATCH(INDEX(Data_metier!$C:$C,MATCH(L$1,Data_metier!$B:$B,0)),{"Non Concerné";"Niveau 1";"Niveau 2";"Niveau 3";"Niveau 4"},0)-1),
1/6,0)+IF((MATCH(INDEX(Data_metier!$D:$D,MATCH($A16,Data_metier!$B:$B,0)),{"Non Concerné";"Niveau 1";"Niveau 2";"Niveau 3";"Niveau 4"},0)-1)&gt;(MATCH(INDEX(Data_metier!$D:$D,MATCH(L$1,Data_metier!$B:$B,0)),{"Non Concerné";"Niveau 1";"Niveau 2";"Niveau 3";"Niveau 4"},0)-1),
1/6,0)+IF((MATCH(INDEX(Data_metier!$E:$E,MATCH($A16,Data_metier!$B:$B,0)),{"Non Concerné";"Niveau 1";"Niveau 2";"Niveau 3";"Niveau 4"},0)-1)&gt;(MATCH(INDEX(Data_metier!$E:$E,MATCH(L$1,Data_metier!$B:$B,0)),{"Non Concerné";"Niveau 1";"Niveau 2";"Niveau 3";"Niveau 4"},0)-1),
1/6,0))</f>
        <v>0</v>
      </c>
      <c r="M16">
        <f>IF(DE_respon_transv!M16=-1,-1,
DE_respon_transv!M16+IF((MATCH(INDEX(Data_metier!$C:$C,MATCH($A16,Data_metier!$B:$B,0)),{"Non Concerné";"Niveau 1";"Niveau 2";"Niveau 3";"Niveau 4"},0)-1)&gt;(MATCH(INDEX(Data_metier!$C:$C,MATCH(M$1,Data_metier!$B:$B,0)),{"Non Concerné";"Niveau 1";"Niveau 2";"Niveau 3";"Niveau 4"},0)-1),
1/6,0)+IF((MATCH(INDEX(Data_metier!$D:$D,MATCH($A16,Data_metier!$B:$B,0)),{"Non Concerné";"Niveau 1";"Niveau 2";"Niveau 3";"Niveau 4"},0)-1)&gt;(MATCH(INDEX(Data_metier!$D:$D,MATCH(M$1,Data_metier!$B:$B,0)),{"Non Concerné";"Niveau 1";"Niveau 2";"Niveau 3";"Niveau 4"},0)-1),
1/6,0)+IF((MATCH(INDEX(Data_metier!$E:$E,MATCH($A16,Data_metier!$B:$B,0)),{"Non Concerné";"Niveau 1";"Niveau 2";"Niveau 3";"Niveau 4"},0)-1)&gt;(MATCH(INDEX(Data_metier!$E:$E,MATCH(M$1,Data_metier!$B:$B,0)),{"Non Concerné";"Niveau 1";"Niveau 2";"Niveau 3";"Niveau 4"},0)-1),
1/6,0))</f>
        <v>-1</v>
      </c>
      <c r="N16">
        <f>IF(DE_respon_transv!N16=-1,-1,
DE_respon_transv!N16+IF((MATCH(INDEX(Data_metier!$C:$C,MATCH($A16,Data_metier!$B:$B,0)),{"Non Concerné";"Niveau 1";"Niveau 2";"Niveau 3";"Niveau 4"},0)-1)&gt;(MATCH(INDEX(Data_metier!$C:$C,MATCH(N$1,Data_metier!$B:$B,0)),{"Non Concerné";"Niveau 1";"Niveau 2";"Niveau 3";"Niveau 4"},0)-1),
1/6,0)+IF((MATCH(INDEX(Data_metier!$D:$D,MATCH($A16,Data_metier!$B:$B,0)),{"Non Concerné";"Niveau 1";"Niveau 2";"Niveau 3";"Niveau 4"},0)-1)&gt;(MATCH(INDEX(Data_metier!$D:$D,MATCH(N$1,Data_metier!$B:$B,0)),{"Non Concerné";"Niveau 1";"Niveau 2";"Niveau 3";"Niveau 4"},0)-1),
1/6,0)+IF((MATCH(INDEX(Data_metier!$E:$E,MATCH($A16,Data_metier!$B:$B,0)),{"Non Concerné";"Niveau 1";"Niveau 2";"Niveau 3";"Niveau 4"},0)-1)&gt;(MATCH(INDEX(Data_metier!$E:$E,MATCH(N$1,Data_metier!$B:$B,0)),{"Non Concerné";"Niveau 1";"Niveau 2";"Niveau 3";"Niveau 4"},0)-1),
1/6,0))</f>
        <v>-1</v>
      </c>
      <c r="O16">
        <f>IF(DE_respon_transv!O16=-1,-1,
DE_respon_transv!O16+IF((MATCH(INDEX(Data_metier!$C:$C,MATCH($A16,Data_metier!$B:$B,0)),{"Non Concerné";"Niveau 1";"Niveau 2";"Niveau 3";"Niveau 4"},0)-1)&gt;(MATCH(INDEX(Data_metier!$C:$C,MATCH(O$1,Data_metier!$B:$B,0)),{"Non Concerné";"Niveau 1";"Niveau 2";"Niveau 3";"Niveau 4"},0)-1),
1/6,0)+IF((MATCH(INDEX(Data_metier!$D:$D,MATCH($A16,Data_metier!$B:$B,0)),{"Non Concerné";"Niveau 1";"Niveau 2";"Niveau 3";"Niveau 4"},0)-1)&gt;(MATCH(INDEX(Data_metier!$D:$D,MATCH(O$1,Data_metier!$B:$B,0)),{"Non Concerné";"Niveau 1";"Niveau 2";"Niveau 3";"Niveau 4"},0)-1),
1/6,0)+IF((MATCH(INDEX(Data_metier!$E:$E,MATCH($A16,Data_metier!$B:$B,0)),{"Non Concerné";"Niveau 1";"Niveau 2";"Niveau 3";"Niveau 4"},0)-1)&gt;(MATCH(INDEX(Data_metier!$E:$E,MATCH(O$1,Data_metier!$B:$B,0)),{"Non Concerné";"Niveau 1";"Niveau 2";"Niveau 3";"Niveau 4"},0)-1),
1/6,0))</f>
        <v>0</v>
      </c>
      <c r="P16">
        <f>IF(DE_respon_transv!P16=-1,-1,
DE_respon_transv!P16+IF((MATCH(INDEX(Data_metier!$C:$C,MATCH($A16,Data_metier!$B:$B,0)),{"Non Concerné";"Niveau 1";"Niveau 2";"Niveau 3";"Niveau 4"},0)-1)&gt;(MATCH(INDEX(Data_metier!$C:$C,MATCH(P$1,Data_metier!$B:$B,0)),{"Non Concerné";"Niveau 1";"Niveau 2";"Niveau 3";"Niveau 4"},0)-1),
1/6,0)+IF((MATCH(INDEX(Data_metier!$D:$D,MATCH($A16,Data_metier!$B:$B,0)),{"Non Concerné";"Niveau 1";"Niveau 2";"Niveau 3";"Niveau 4"},0)-1)&gt;(MATCH(INDEX(Data_metier!$D:$D,MATCH(P$1,Data_metier!$B:$B,0)),{"Non Concerné";"Niveau 1";"Niveau 2";"Niveau 3";"Niveau 4"},0)-1),
1/6,0)+IF((MATCH(INDEX(Data_metier!$E:$E,MATCH($A16,Data_metier!$B:$B,0)),{"Non Concerné";"Niveau 1";"Niveau 2";"Niveau 3";"Niveau 4"},0)-1)&gt;(MATCH(INDEX(Data_metier!$E:$E,MATCH(P$1,Data_metier!$B:$B,0)),{"Non Concerné";"Niveau 1";"Niveau 2";"Niveau 3";"Niveau 4"},0)-1),
1/6,0))</f>
        <v>0</v>
      </c>
      <c r="Q16">
        <f>IF(DE_respon_transv!Q16=-1,-1,
DE_respon_transv!Q16+IF((MATCH(INDEX(Data_metier!$C:$C,MATCH($A16,Data_metier!$B:$B,0)),{"Non Concerné";"Niveau 1";"Niveau 2";"Niveau 3";"Niveau 4"},0)-1)&gt;(MATCH(INDEX(Data_metier!$C:$C,MATCH(Q$1,Data_metier!$B:$B,0)),{"Non Concerné";"Niveau 1";"Niveau 2";"Niveau 3";"Niveau 4"},0)-1),
1/6,0)+IF((MATCH(INDEX(Data_metier!$D:$D,MATCH($A16,Data_metier!$B:$B,0)),{"Non Concerné";"Niveau 1";"Niveau 2";"Niveau 3";"Niveau 4"},0)-1)&gt;(MATCH(INDEX(Data_metier!$D:$D,MATCH(Q$1,Data_metier!$B:$B,0)),{"Non Concerné";"Niveau 1";"Niveau 2";"Niveau 3";"Niveau 4"},0)-1),
1/6,0)+IF((MATCH(INDEX(Data_metier!$E:$E,MATCH($A16,Data_metier!$B:$B,0)),{"Non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16">
        <f>IF(DE_respon_transv!R16=-1,-1,
DE_respon_transv!R16+IF((MATCH(INDEX(Data_metier!$C:$C,MATCH($A16,Data_metier!$B:$B,0)),{"Non Concerné";"Niveau 1";"Niveau 2";"Niveau 3";"Niveau 4"},0)-1)&gt;(MATCH(INDEX(Data_metier!$C:$C,MATCH(R$1,Data_metier!$B:$B,0)),{"Non Concerné";"Niveau 1";"Niveau 2";"Niveau 3";"Niveau 4"},0)-1),
1/6,0)+IF((MATCH(INDEX(Data_metier!$D:$D,MATCH($A16,Data_metier!$B:$B,0)),{"Non Concerné";"Niveau 1";"Niveau 2";"Niveau 3";"Niveau 4"},0)-1)&gt;(MATCH(INDEX(Data_metier!$D:$D,MATCH(R$1,Data_metier!$B:$B,0)),{"Non Concerné";"Niveau 1";"Niveau 2";"Niveau 3";"Niveau 4"},0)-1),
1/6,0)+IF((MATCH(INDEX(Data_metier!$E:$E,MATCH($A16,Data_metier!$B:$B,0)),{"Non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16">
        <f>IF(DE_respon_transv!S16=-1,-1,
DE_respon_transv!S16+IF((MATCH(INDEX(Data_metier!$C:$C,MATCH($A16,Data_metier!$B:$B,0)),{"Non Concerné";"Niveau 1";"Niveau 2";"Niveau 3";"Niveau 4"},0)-1)&gt;(MATCH(INDEX(Data_metier!$C:$C,MATCH(S$1,Data_metier!$B:$B,0)),{"Non Concerné";"Niveau 1";"Niveau 2";"Niveau 3";"Niveau 4"},0)-1),
1/6,0)+IF((MATCH(INDEX(Data_metier!$D:$D,MATCH($A16,Data_metier!$B:$B,0)),{"Non Concerné";"Niveau 1";"Niveau 2";"Niveau 3";"Niveau 4"},0)-1)&gt;(MATCH(INDEX(Data_metier!$D:$D,MATCH(S$1,Data_metier!$B:$B,0)),{"Non Concerné";"Niveau 1";"Niveau 2";"Niveau 3";"Niveau 4"},0)-1),
1/6,0)+IF((MATCH(INDEX(Data_metier!$E:$E,MATCH($A16,Data_metier!$B:$B,0)),{"Non Concerné";"Niveau 1";"Niveau 2";"Niveau 3";"Niveau 4"},0)-1)&gt;(MATCH(INDEX(Data_metier!$E:$E,MATCH(S$1,Data_metier!$B:$B,0)),{"Non Concerné";"Niveau 1";"Niveau 2";"Niveau 3";"Niveau 4"},0)-1),
1/6,0))</f>
        <v>0</v>
      </c>
      <c r="T16">
        <f>IF(DE_respon_transv!T16=-1,-1,
DE_respon_transv!T16+IF((MATCH(INDEX(Data_metier!$C:$C,MATCH($A16,Data_metier!$B:$B,0)),{"Non Concerné";"Niveau 1";"Niveau 2";"Niveau 3";"Niveau 4"},0)-1)&gt;(MATCH(INDEX(Data_metier!$C:$C,MATCH(T$1,Data_metier!$B:$B,0)),{"Non Concerné";"Niveau 1";"Niveau 2";"Niveau 3";"Niveau 4"},0)-1),
1/6,0)+IF((MATCH(INDEX(Data_metier!$D:$D,MATCH($A16,Data_metier!$B:$B,0)),{"Non Concerné";"Niveau 1";"Niveau 2";"Niveau 3";"Niveau 4"},0)-1)&gt;(MATCH(INDEX(Data_metier!$D:$D,MATCH(T$1,Data_metier!$B:$B,0)),{"Non Concerné";"Niveau 1";"Niveau 2";"Niveau 3";"Niveau 4"},0)-1),
1/6,0)+IF((MATCH(INDEX(Data_metier!$E:$E,MATCH($A16,Data_metier!$B:$B,0)),{"Non Concerné";"Niveau 1";"Niveau 2";"Niveau 3";"Niveau 4"},0)-1)&gt;(MATCH(INDEX(Data_metier!$E:$E,MATCH(T$1,Data_metier!$B:$B,0)),{"Non Concerné";"Niveau 1";"Niveau 2";"Niveau 3";"Niveau 4"},0)-1),
1/6,0))</f>
        <v>0</v>
      </c>
      <c r="U16">
        <f>IF(DE_respon_transv!U16=-1,-1,
DE_respon_transv!U16+IF((MATCH(INDEX(Data_metier!$C:$C,MATCH($A16,Data_metier!$B:$B,0)),{"Non Concerné";"Niveau 1";"Niveau 2";"Niveau 3";"Niveau 4"},0)-1)&gt;(MATCH(INDEX(Data_metier!$C:$C,MATCH(U$1,Data_metier!$B:$B,0)),{"Non Concerné";"Niveau 1";"Niveau 2";"Niveau 3";"Niveau 4"},0)-1),
1/6,0)+IF((MATCH(INDEX(Data_metier!$D:$D,MATCH($A16,Data_metier!$B:$B,0)),{"Non Concerné";"Niveau 1";"Niveau 2";"Niveau 3";"Niveau 4"},0)-1)&gt;(MATCH(INDEX(Data_metier!$D:$D,MATCH(U$1,Data_metier!$B:$B,0)),{"Non Concerné";"Niveau 1";"Niveau 2";"Niveau 3";"Niveau 4"},0)-1),
1/6,0)+IF((MATCH(INDEX(Data_metier!$E:$E,MATCH($A16,Data_metier!$B:$B,0)),{"Non Concerné";"Niveau 1";"Niveau 2";"Niveau 3";"Niveau 4"},0)-1)&gt;(MATCH(INDEX(Data_metier!$E:$E,MATCH(U$1,Data_metier!$B:$B,0)),{"Non Concerné";"Niveau 1";"Niveau 2";"Niveau 3";"Niveau 4"},0)-1),
1/6,0))</f>
        <v>0</v>
      </c>
      <c r="V16">
        <f>IF(DE_respon_transv!V16=-1,-1,
DE_respon_transv!V16+IF((MATCH(INDEX(Data_metier!$C:$C,MATCH($A16,Data_metier!$B:$B,0)),{"Non Concerné";"Niveau 1";"Niveau 2";"Niveau 3";"Niveau 4"},0)-1)&gt;(MATCH(INDEX(Data_metier!$C:$C,MATCH(V$1,Data_metier!$B:$B,0)),{"Non Concerné";"Niveau 1";"Niveau 2";"Niveau 3";"Niveau 4"},0)-1),
1/6,0)+IF((MATCH(INDEX(Data_metier!$D:$D,MATCH($A16,Data_metier!$B:$B,0)),{"Non Concerné";"Niveau 1";"Niveau 2";"Niveau 3";"Niveau 4"},0)-1)&gt;(MATCH(INDEX(Data_metier!$D:$D,MATCH(V$1,Data_metier!$B:$B,0)),{"Non Concerné";"Niveau 1";"Niveau 2";"Niveau 3";"Niveau 4"},0)-1),
1/6,0)+IF((MATCH(INDEX(Data_metier!$E:$E,MATCH($A16,Data_metier!$B:$B,0)),{"Non Concerné";"Niveau 1";"Niveau 2";"Niveau 3";"Niveau 4"},0)-1)&gt;(MATCH(INDEX(Data_metier!$E:$E,MATCH(V$1,Data_metier!$B:$B,0)),{"Non Concerné";"Niveau 1";"Niveau 2";"Niveau 3";"Niveau 4"},0)-1),
1/6,0))</f>
        <v>-1</v>
      </c>
      <c r="W16">
        <f>IF(DE_respon_transv!W16=-1,-1,
DE_respon_transv!W16+IF((MATCH(INDEX(Data_metier!$C:$C,MATCH($A16,Data_metier!$B:$B,0)),{"Non Concerné";"Niveau 1";"Niveau 2";"Niveau 3";"Niveau 4"},0)-1)&gt;(MATCH(INDEX(Data_metier!$C:$C,MATCH(W$1,Data_metier!$B:$B,0)),{"Non Concerné";"Niveau 1";"Niveau 2";"Niveau 3";"Niveau 4"},0)-1),
1/6,0)+IF((MATCH(INDEX(Data_metier!$D:$D,MATCH($A16,Data_metier!$B:$B,0)),{"Non Concerné";"Niveau 1";"Niveau 2";"Niveau 3";"Niveau 4"},0)-1)&gt;(MATCH(INDEX(Data_metier!$D:$D,MATCH(W$1,Data_metier!$B:$B,0)),{"Non Concerné";"Niveau 1";"Niveau 2";"Niveau 3";"Niveau 4"},0)-1),
1/6,0)+IF((MATCH(INDEX(Data_metier!$E:$E,MATCH($A16,Data_metier!$B:$B,0)),{"Non Concerné";"Niveau 1";"Niveau 2";"Niveau 3";"Niveau 4"},0)-1)&gt;(MATCH(INDEX(Data_metier!$E:$E,MATCH(W$1,Data_metier!$B:$B,0)),{"Non Concerné";"Niveau 1";"Niveau 2";"Niveau 3";"Niveau 4"},0)-1),
1/6,0))</f>
        <v>-1</v>
      </c>
      <c r="X16">
        <f>IF(DE_respon_transv!X16=-1,-1,
DE_respon_transv!X16+IF((MATCH(INDEX(Data_metier!$C:$C,MATCH($A16,Data_metier!$B:$B,0)),{"Non Concerné";"Niveau 1";"Niveau 2";"Niveau 3";"Niveau 4"},0)-1)&gt;(MATCH(INDEX(Data_metier!$C:$C,MATCH(X$1,Data_metier!$B:$B,0)),{"Non Concerné";"Niveau 1";"Niveau 2";"Niveau 3";"Niveau 4"},0)-1),
1/6,0)+IF((MATCH(INDEX(Data_metier!$D:$D,MATCH($A16,Data_metier!$B:$B,0)),{"Non Concerné";"Niveau 1";"Niveau 2";"Niveau 3";"Niveau 4"},0)-1)&gt;(MATCH(INDEX(Data_metier!$D:$D,MATCH(X$1,Data_metier!$B:$B,0)),{"Non Concerné";"Niveau 1";"Niveau 2";"Niveau 3";"Niveau 4"},0)-1),
1/6,0)+IF((MATCH(INDEX(Data_metier!$E:$E,MATCH($A16,Data_metier!$B:$B,0)),{"Non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16">
        <f>IF(DE_respon_transv!Y16=-1,-1,
DE_respon_transv!Y16+IF((MATCH(INDEX(Data_metier!$C:$C,MATCH($A16,Data_metier!$B:$B,0)),{"Non Concerné";"Niveau 1";"Niveau 2";"Niveau 3";"Niveau 4"},0)-1)&gt;(MATCH(INDEX(Data_metier!$C:$C,MATCH(Y$1,Data_metier!$B:$B,0)),{"Non Concerné";"Niveau 1";"Niveau 2";"Niveau 3";"Niveau 4"},0)-1),
1/6,0)+IF((MATCH(INDEX(Data_metier!$D:$D,MATCH($A16,Data_metier!$B:$B,0)),{"Non Concerné";"Niveau 1";"Niveau 2";"Niveau 3";"Niveau 4"},0)-1)&gt;(MATCH(INDEX(Data_metier!$D:$D,MATCH(Y$1,Data_metier!$B:$B,0)),{"Non Concerné";"Niveau 1";"Niveau 2";"Niveau 3";"Niveau 4"},0)-1),
1/6,0)+IF((MATCH(INDEX(Data_metier!$E:$E,MATCH($A16,Data_metier!$B:$B,0)),{"Non Concerné";"Niveau 1";"Niveau 2";"Niveau 3";"Niveau 4"},0)-1)&gt;(MATCH(INDEX(Data_metier!$E:$E,MATCH(Y$1,Data_metier!$B:$B,0)),{"Non Concerné";"Niveau 1";"Niveau 2";"Niveau 3";"Niveau 4"},0)-1),
1/6,0))</f>
        <v>0</v>
      </c>
      <c r="Z16">
        <f>IF(DE_respon_transv!Z16=-1,-1,
DE_respon_transv!Z16+IF((MATCH(INDEX(Data_metier!$C:$C,MATCH($A16,Data_metier!$B:$B,0)),{"Non Concerné";"Niveau 1";"Niveau 2";"Niveau 3";"Niveau 4"},0)-1)&gt;(MATCH(INDEX(Data_metier!$C:$C,MATCH(Z$1,Data_metier!$B:$B,0)),{"Non Concerné";"Niveau 1";"Niveau 2";"Niveau 3";"Niveau 4"},0)-1),
1/6,0)+IF((MATCH(INDEX(Data_metier!$D:$D,MATCH($A16,Data_metier!$B:$B,0)),{"Non Concerné";"Niveau 1";"Niveau 2";"Niveau 3";"Niveau 4"},0)-1)&gt;(MATCH(INDEX(Data_metier!$D:$D,MATCH(Z$1,Data_metier!$B:$B,0)),{"Non Concerné";"Niveau 1";"Niveau 2";"Niveau 3";"Niveau 4"},0)-1),
1/6,0)+IF((MATCH(INDEX(Data_metier!$E:$E,MATCH($A16,Data_metier!$B:$B,0)),{"Non Concerné";"Niveau 1";"Niveau 2";"Niveau 3";"Niveau 4"},0)-1)&gt;(MATCH(INDEX(Data_metier!$E:$E,MATCH(Z$1,Data_metier!$B:$B,0)),{"Non Concerné";"Niveau 1";"Niveau 2";"Niveau 3";"Niveau 4"},0)-1),
1/6,0))</f>
        <v>0</v>
      </c>
      <c r="AA16">
        <f>IF(DE_respon_transv!AA16=-1,-1,
DE_respon_transv!AA16+IF((MATCH(INDEX(Data_metier!$C:$C,MATCH($A16,Data_metier!$B:$B,0)),{"Non Concerné";"Niveau 1";"Niveau 2";"Niveau 3";"Niveau 4"},0)-1)&gt;(MATCH(INDEX(Data_metier!$C:$C,MATCH(AA$1,Data_metier!$B:$B,0)),{"Non Concerné";"Niveau 1";"Niveau 2";"Niveau 3";"Niveau 4"},0)-1),
1/6,0)+IF((MATCH(INDEX(Data_metier!$D:$D,MATCH($A16,Data_metier!$B:$B,0)),{"Non Concerné";"Niveau 1";"Niveau 2";"Niveau 3";"Niveau 4"},0)-1)&gt;(MATCH(INDEX(Data_metier!$D:$D,MATCH(AA$1,Data_metier!$B:$B,0)),{"Non Concerné";"Niveau 1";"Niveau 2";"Niveau 3";"Niveau 4"},0)-1),
1/6,0)+IF((MATCH(INDEX(Data_metier!$E:$E,MATCH($A16,Data_metier!$B:$B,0)),{"Non Concerné";"Niveau 1";"Niveau 2";"Niveau 3";"Niveau 4"},0)-1)&gt;(MATCH(INDEX(Data_metier!$E:$E,MATCH(AA$1,Data_metier!$B:$B,0)),{"Non Concerné";"Niveau 1";"Niveau 2";"Niveau 3";"Niveau 4"},0)-1),
1/6,0))</f>
        <v>0</v>
      </c>
      <c r="AB16">
        <f>IF(DE_respon_transv!AB16=-1,-1,
DE_respon_transv!AB16+IF((MATCH(INDEX(Data_metier!$C:$C,MATCH($A16,Data_metier!$B:$B,0)),{"Non Concerné";"Niveau 1";"Niveau 2";"Niveau 3";"Niveau 4"},0)-1)&gt;(MATCH(INDEX(Data_metier!$C:$C,MATCH(AB$1,Data_metier!$B:$B,0)),{"Non Concerné";"Niveau 1";"Niveau 2";"Niveau 3";"Niveau 4"},0)-1),
1/6,0)+IF((MATCH(INDEX(Data_metier!$D:$D,MATCH($A16,Data_metier!$B:$B,0)),{"Non Concerné";"Niveau 1";"Niveau 2";"Niveau 3";"Niveau 4"},0)-1)&gt;(MATCH(INDEX(Data_metier!$D:$D,MATCH(AB$1,Data_metier!$B:$B,0)),{"Non Concerné";"Niveau 1";"Niveau 2";"Niveau 3";"Niveau 4"},0)-1),
1/6,0)+IF((MATCH(INDEX(Data_metier!$E:$E,MATCH($A16,Data_metier!$B:$B,0)),{"Non Concerné";"Niveau 1";"Niveau 2";"Niveau 3";"Niveau 4"},0)-1)&gt;(MATCH(INDEX(Data_metier!$E:$E,MATCH(AB$1,Data_metier!$B:$B,0)),{"Non Concerné";"Niveau 1";"Niveau 2";"Niveau 3";"Niveau 4"},0)-1),
1/6,0))</f>
        <v>-1</v>
      </c>
      <c r="AC16">
        <f>IF(DE_respon_transv!AC16=-1,-1,
DE_respon_transv!AC16+IF((MATCH(INDEX(Data_metier!$C:$C,MATCH($A16,Data_metier!$B:$B,0)),{"Non Concerné";"Niveau 1";"Niveau 2";"Niveau 3";"Niveau 4"},0)-1)&gt;(MATCH(INDEX(Data_metier!$C:$C,MATCH(AC$1,Data_metier!$B:$B,0)),{"Non Concerné";"Niveau 1";"Niveau 2";"Niveau 3";"Niveau 4"},0)-1),
1/6,0)+IF((MATCH(INDEX(Data_metier!$D:$D,MATCH($A16,Data_metier!$B:$B,0)),{"Non Concerné";"Niveau 1";"Niveau 2";"Niveau 3";"Niveau 4"},0)-1)&gt;(MATCH(INDEX(Data_metier!$D:$D,MATCH(AC$1,Data_metier!$B:$B,0)),{"Non Concerné";"Niveau 1";"Niveau 2";"Niveau 3";"Niveau 4"},0)-1),
1/6,0)+IF((MATCH(INDEX(Data_metier!$E:$E,MATCH($A16,Data_metier!$B:$B,0)),{"Non Concerné";"Niveau 1";"Niveau 2";"Niveau 3";"Niveau 4"},0)-1)&gt;(MATCH(INDEX(Data_metier!$E:$E,MATCH(AC$1,Data_metier!$B:$B,0)),{"Non Concerné";"Niveau 1";"Niveau 2";"Niveau 3";"Niveau 4"},0)-1),
1/6,0))</f>
        <v>-1</v>
      </c>
      <c r="AD16">
        <f>IF(DE_respon_transv!AD16=-1,-1,
DE_respon_transv!AD16+IF((MATCH(INDEX(Data_metier!$C:$C,MATCH($A16,Data_metier!$B:$B,0)),{"Non Concerné";"Niveau 1";"Niveau 2";"Niveau 3";"Niveau 4"},0)-1)&gt;(MATCH(INDEX(Data_metier!$C:$C,MATCH(AD$1,Data_metier!$B:$B,0)),{"Non Concerné";"Niveau 1";"Niveau 2";"Niveau 3";"Niveau 4"},0)-1),
1/6,0)+IF((MATCH(INDEX(Data_metier!$D:$D,MATCH($A16,Data_metier!$B:$B,0)),{"Non Concerné";"Niveau 1";"Niveau 2";"Niveau 3";"Niveau 4"},0)-1)&gt;(MATCH(INDEX(Data_metier!$D:$D,MATCH(AD$1,Data_metier!$B:$B,0)),{"Non Concerné";"Niveau 1";"Niveau 2";"Niveau 3";"Niveau 4"},0)-1),
1/6,0)+IF((MATCH(INDEX(Data_metier!$E:$E,MATCH($A16,Data_metier!$B:$B,0)),{"Non Concerné";"Niveau 1";"Niveau 2";"Niveau 3";"Niveau 4"},0)-1)&gt;(MATCH(INDEX(Data_metier!$E:$E,MATCH(AD$1,Data_metier!$B:$B,0)),{"Non Concerné";"Niveau 1";"Niveau 2";"Niveau 3";"Niveau 4"},0)-1),
1/6,0))</f>
        <v>-1</v>
      </c>
    </row>
    <row r="17" spans="1:30">
      <c r="A17" t="str">
        <v>Chef(fe) de silo</v>
      </c>
      <c r="B17">
        <f>IF(DE_respon_transv!B17=-1,-1,
DE_respon_transv!B17+IF((MATCH(INDEX(Data_metier!$C:$C,MATCH($A17,Data_metier!$B:$B,0)),{"Non Concerné";"Niveau 1";"Niveau 2";"Niveau 3";"Niveau 4"},0)-1)&gt;(MATCH(INDEX(Data_metier!$C:$C,MATCH(B$1,Data_metier!$B:$B,0)),{"Non Concerné";"Niveau 1";"Niveau 2";"Niveau 3";"Niveau 4"},0)-1),
1/6,0)+IF((MATCH(INDEX(Data_metier!$D:$D,MATCH($A17,Data_metier!$B:$B,0)),{"Non Concerné";"Niveau 1";"Niveau 2";"Niveau 3";"Niveau 4"},0)-1)&gt;(MATCH(INDEX(Data_metier!$D:$D,MATCH(B$1,Data_metier!$B:$B,0)),{"Non Concerné";"Niveau 1";"Niveau 2";"Niveau 3";"Niveau 4"},0)-1),
1/6,0)+IF((MATCH(INDEX(Data_metier!$E:$E,MATCH($A17,Data_metier!$B:$B,0)),{"Non Concerné";"Niveau 1";"Niveau 2";"Niveau 3";"Niveau 4"},0)-1)&gt;(MATCH(INDEX(Data_metier!$E:$E,MATCH(B$1,Data_metier!$B:$B,0)),{"Non Concerné";"Niveau 1";"Niveau 2";"Niveau 3";"Niveau 4"},0)-1),
1/6,0))</f>
        <v>2.9999999999999996</v>
      </c>
      <c r="C17">
        <f>IF(DE_respon_transv!C17=-1,-1,
DE_respon_transv!C17+IF((MATCH(INDEX(Data_metier!$C:$C,MATCH($A17,Data_metier!$B:$B,0)),{"Non Concerné";"Niveau 1";"Niveau 2";"Niveau 3";"Niveau 4"},0)-1)&gt;(MATCH(INDEX(Data_metier!$C:$C,MATCH(C$1,Data_metier!$B:$B,0)),{"Non Concerné";"Niveau 1";"Niveau 2";"Niveau 3";"Niveau 4"},0)-1),
1/6,0)+IF((MATCH(INDEX(Data_metier!$D:$D,MATCH($A17,Data_metier!$B:$B,0)),{"Non Concerné";"Niveau 1";"Niveau 2";"Niveau 3";"Niveau 4"},0)-1)&gt;(MATCH(INDEX(Data_metier!$D:$D,MATCH(C$1,Data_metier!$B:$B,0)),{"Non Concerné";"Niveau 1";"Niveau 2";"Niveau 3";"Niveau 4"},0)-1),
1/6,0)+IF((MATCH(INDEX(Data_metier!$E:$E,MATCH($A17,Data_metier!$B:$B,0)),{"Non Concerné";"Niveau 1";"Niveau 2";"Niveau 3";"Niveau 4"},0)-1)&gt;(MATCH(INDEX(Data_metier!$E:$E,MATCH(C$1,Data_metier!$B:$B,0)),{"Non Concerné";"Niveau 1";"Niveau 2";"Niveau 3";"Niveau 4"},0)-1),
1/6,0))</f>
        <v>2.9999999999999996</v>
      </c>
      <c r="D17">
        <f>IF(DE_respon_transv!D17=-1,-1,
DE_respon_transv!D17+IF((MATCH(INDEX(Data_metier!$C:$C,MATCH($A17,Data_metier!$B:$B,0)),{"Non Concerné";"Niveau 1";"Niveau 2";"Niveau 3";"Niveau 4"},0)-1)&gt;(MATCH(INDEX(Data_metier!$C:$C,MATCH(D$1,Data_metier!$B:$B,0)),{"Non Concerné";"Niveau 1";"Niveau 2";"Niveau 3";"Niveau 4"},0)-1),
1/6,0)+IF((MATCH(INDEX(Data_metier!$D:$D,MATCH($A17,Data_metier!$B:$B,0)),{"Non Concerné";"Niveau 1";"Niveau 2";"Niveau 3";"Niveau 4"},0)-1)&gt;(MATCH(INDEX(Data_metier!$D:$D,MATCH(D$1,Data_metier!$B:$B,0)),{"Non Concerné";"Niveau 1";"Niveau 2";"Niveau 3";"Niveau 4"},0)-1),
1/6,0)+IF((MATCH(INDEX(Data_metier!$E:$E,MATCH($A17,Data_metier!$B:$B,0)),{"Non Concerné";"Niveau 1";"Niveau 2";"Niveau 3";"Niveau 4"},0)-1)&gt;(MATCH(INDEX(Data_metier!$E:$E,MATCH(D$1,Data_metier!$B:$B,0)),{"Non Concerné";"Niveau 1";"Niveau 2";"Niveau 3";"Niveau 4"},0)-1),
1/6,0))</f>
        <v>2.9999999999999996</v>
      </c>
      <c r="E17">
        <f>IF(DE_respon_transv!E17=-1,-1,
DE_respon_transv!E17+IF((MATCH(INDEX(Data_metier!$C:$C,MATCH($A17,Data_metier!$B:$B,0)),{"Non Concerné";"Niveau 1";"Niveau 2";"Niveau 3";"Niveau 4"},0)-1)&gt;(MATCH(INDEX(Data_metier!$C:$C,MATCH(E$1,Data_metier!$B:$B,0)),{"Non Concerné";"Niveau 1";"Niveau 2";"Niveau 3";"Niveau 4"},0)-1),
1/6,0)+IF((MATCH(INDEX(Data_metier!$D:$D,MATCH($A17,Data_metier!$B:$B,0)),{"Non Concerné";"Niveau 1";"Niveau 2";"Niveau 3";"Niveau 4"},0)-1)&gt;(MATCH(INDEX(Data_metier!$D:$D,MATCH(E$1,Data_metier!$B:$B,0)),{"Non Concerné";"Niveau 1";"Niveau 2";"Niveau 3";"Niveau 4"},0)-1),
1/6,0)+IF((MATCH(INDEX(Data_metier!$E:$E,MATCH($A17,Data_metier!$B:$B,0)),{"Non Concerné";"Niveau 1";"Niveau 2";"Niveau 3";"Niveau 4"},0)-1)&gt;(MATCH(INDEX(Data_metier!$E:$E,MATCH(E$1,Data_metier!$B:$B,0)),{"Non Concerné";"Niveau 1";"Niveau 2";"Niveau 3";"Niveau 4"},0)-1),
1/6,0))</f>
        <v>0</v>
      </c>
      <c r="F17">
        <f>IF(DE_respon_transv!F17=-1,-1,
DE_respon_transv!F17+IF((MATCH(INDEX(Data_metier!$C:$C,MATCH($A17,Data_metier!$B:$B,0)),{"Non Concerné";"Niveau 1";"Niveau 2";"Niveau 3";"Niveau 4"},0)-1)&gt;(MATCH(INDEX(Data_metier!$C:$C,MATCH(F$1,Data_metier!$B:$B,0)),{"Non Concerné";"Niveau 1";"Niveau 2";"Niveau 3";"Niveau 4"},0)-1),
1/6,0)+IF((MATCH(INDEX(Data_metier!$D:$D,MATCH($A17,Data_metier!$B:$B,0)),{"Non Concerné";"Niveau 1";"Niveau 2";"Niveau 3";"Niveau 4"},0)-1)&gt;(MATCH(INDEX(Data_metier!$D:$D,MATCH(F$1,Data_metier!$B:$B,0)),{"Non Concerné";"Niveau 1";"Niveau 2";"Niveau 3";"Niveau 4"},0)-1),
1/6,0)+IF((MATCH(INDEX(Data_metier!$E:$E,MATCH($A17,Data_metier!$B:$B,0)),{"Non Concerné";"Niveau 1";"Niveau 2";"Niveau 3";"Niveau 4"},0)-1)&gt;(MATCH(INDEX(Data_metier!$E:$E,MATCH(F$1,Data_metier!$B:$B,0)),{"Non Concerné";"Niveau 1";"Niveau 2";"Niveau 3";"Niveau 4"},0)-1),
1/6,0))</f>
        <v>-0.33333333333333337</v>
      </c>
      <c r="G17">
        <f>IF(DE_respon_transv!G17=-1,-1,
DE_respon_transv!G17+IF((MATCH(INDEX(Data_metier!$C:$C,MATCH($A17,Data_metier!$B:$B,0)),{"Non Concerné";"Niveau 1";"Niveau 2";"Niveau 3";"Niveau 4"},0)-1)&gt;(MATCH(INDEX(Data_metier!$C:$C,MATCH(G$1,Data_metier!$B:$B,0)),{"Non Concerné";"Niveau 1";"Niveau 2";"Niveau 3";"Niveau 4"},0)-1),
1/6,0)+IF((MATCH(INDEX(Data_metier!$D:$D,MATCH($A17,Data_metier!$B:$B,0)),{"Non Concerné";"Niveau 1";"Niveau 2";"Niveau 3";"Niveau 4"},0)-1)&gt;(MATCH(INDEX(Data_metier!$D:$D,MATCH(G$1,Data_metier!$B:$B,0)),{"Non Concerné";"Niveau 1";"Niveau 2";"Niveau 3";"Niveau 4"},0)-1),
1/6,0)+IF((MATCH(INDEX(Data_metier!$E:$E,MATCH($A17,Data_metier!$B:$B,0)),{"Non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17">
        <f>IF(DE_respon_transv!H17=-1,-1,
DE_respon_transv!H17+IF((MATCH(INDEX(Data_metier!$C:$C,MATCH($A17,Data_metier!$B:$B,0)),{"Non Concerné";"Niveau 1";"Niveau 2";"Niveau 3";"Niveau 4"},0)-1)&gt;(MATCH(INDEX(Data_metier!$C:$C,MATCH(H$1,Data_metier!$B:$B,0)),{"Non Concerné";"Niveau 1";"Niveau 2";"Niveau 3";"Niveau 4"},0)-1),
1/6,0)+IF((MATCH(INDEX(Data_metier!$D:$D,MATCH($A17,Data_metier!$B:$B,0)),{"Non Concerné";"Niveau 1";"Niveau 2";"Niveau 3";"Niveau 4"},0)-1)&gt;(MATCH(INDEX(Data_metier!$D:$D,MATCH(H$1,Data_metier!$B:$B,0)),{"Non Concerné";"Niveau 1";"Niveau 2";"Niveau 3";"Niveau 4"},0)-1),
1/6,0)+IF((MATCH(INDEX(Data_metier!$E:$E,MATCH($A17,Data_metier!$B:$B,0)),{"Non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17">
        <f>IF(DE_respon_transv!I17=-1,-1,
DE_respon_transv!I17+IF((MATCH(INDEX(Data_metier!$C:$C,MATCH($A17,Data_metier!$B:$B,0)),{"Non Concerné";"Niveau 1";"Niveau 2";"Niveau 3";"Niveau 4"},0)-1)&gt;(MATCH(INDEX(Data_metier!$C:$C,MATCH(I$1,Data_metier!$B:$B,0)),{"Non Concerné";"Niveau 1";"Niveau 2";"Niveau 3";"Niveau 4"},0)-1),
1/6,0)+IF((MATCH(INDEX(Data_metier!$D:$D,MATCH($A17,Data_metier!$B:$B,0)),{"Non Concerné";"Niveau 1";"Niveau 2";"Niveau 3";"Niveau 4"},0)-1)&gt;(MATCH(INDEX(Data_metier!$D:$D,MATCH(I$1,Data_metier!$B:$B,0)),{"Non Concerné";"Niveau 1";"Niveau 2";"Niveau 3";"Niveau 4"},0)-1),
1/6,0)+IF((MATCH(INDEX(Data_metier!$E:$E,MATCH($A17,Data_metier!$B:$B,0)),{"Non Concerné";"Niveau 1";"Niveau 2";"Niveau 3";"Niveau 4"},0)-1)&gt;(MATCH(INDEX(Data_metier!$E:$E,MATCH(I$1,Data_metier!$B:$B,0)),{"Non Concerné";"Niveau 1";"Niveau 2";"Niveau 3";"Niveau 4"},0)-1),
1/6,0))</f>
        <v>2.9999999999999996</v>
      </c>
      <c r="J17">
        <f>IF(DE_respon_transv!J17=-1,-1,
DE_respon_transv!J17+IF((MATCH(INDEX(Data_metier!$C:$C,MATCH($A17,Data_metier!$B:$B,0)),{"Non Concerné";"Niveau 1";"Niveau 2";"Niveau 3";"Niveau 4"},0)-1)&gt;(MATCH(INDEX(Data_metier!$C:$C,MATCH(J$1,Data_metier!$B:$B,0)),{"Non Concerné";"Niveau 1";"Niveau 2";"Niveau 3";"Niveau 4"},0)-1),
1/6,0)+IF((MATCH(INDEX(Data_metier!$D:$D,MATCH($A17,Data_metier!$B:$B,0)),{"Non Concerné";"Niveau 1";"Niveau 2";"Niveau 3";"Niveau 4"},0)-1)&gt;(MATCH(INDEX(Data_metier!$D:$D,MATCH(J$1,Data_metier!$B:$B,0)),{"Non Concerné";"Niveau 1";"Niveau 2";"Niveau 3";"Niveau 4"},0)-1),
1/6,0)+IF((MATCH(INDEX(Data_metier!$E:$E,MATCH($A17,Data_metier!$B:$B,0)),{"Non Concerné";"Niveau 1";"Niveau 2";"Niveau 3";"Niveau 4"},0)-1)&gt;(MATCH(INDEX(Data_metier!$E:$E,MATCH(J$1,Data_metier!$B:$B,0)),{"Non Concerné";"Niveau 1";"Niveau 2";"Niveau 3";"Niveau 4"},0)-1),
1/6,0))</f>
        <v>0.83333333333333326</v>
      </c>
      <c r="K17">
        <f>IF(DE_respon_transv!K17=-1,-1,
DE_respon_transv!K17+IF((MATCH(INDEX(Data_metier!$C:$C,MATCH($A17,Data_metier!$B:$B,0)),{"Non Concerné";"Niveau 1";"Niveau 2";"Niveau 3";"Niveau 4"},0)-1)&gt;(MATCH(INDEX(Data_metier!$C:$C,MATCH(K$1,Data_metier!$B:$B,0)),{"Non Concerné";"Niveau 1";"Niveau 2";"Niveau 3";"Niveau 4"},0)-1),
1/6,0)+IF((MATCH(INDEX(Data_metier!$D:$D,MATCH($A17,Data_metier!$B:$B,0)),{"Non Concerné";"Niveau 1";"Niveau 2";"Niveau 3";"Niveau 4"},0)-1)&gt;(MATCH(INDEX(Data_metier!$D:$D,MATCH(K$1,Data_metier!$B:$B,0)),{"Non Concerné";"Niveau 1";"Niveau 2";"Niveau 3";"Niveau 4"},0)-1),
1/6,0)+IF((MATCH(INDEX(Data_metier!$E:$E,MATCH($A17,Data_metier!$B:$B,0)),{"Non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17">
        <f>IF(DE_respon_transv!L17=-1,-1,
DE_respon_transv!L17+IF((MATCH(INDEX(Data_metier!$C:$C,MATCH($A17,Data_metier!$B:$B,0)),{"Non Concerné";"Niveau 1";"Niveau 2";"Niveau 3";"Niveau 4"},0)-1)&gt;(MATCH(INDEX(Data_metier!$C:$C,MATCH(L$1,Data_metier!$B:$B,0)),{"Non Concerné";"Niveau 1";"Niveau 2";"Niveau 3";"Niveau 4"},0)-1),
1/6,0)+IF((MATCH(INDEX(Data_metier!$D:$D,MATCH($A17,Data_metier!$B:$B,0)),{"Non Concerné";"Niveau 1";"Niveau 2";"Niveau 3";"Niveau 4"},0)-1)&gt;(MATCH(INDEX(Data_metier!$D:$D,MATCH(L$1,Data_metier!$B:$B,0)),{"Non Concerné";"Niveau 1";"Niveau 2";"Niveau 3";"Niveau 4"},0)-1),
1/6,0)+IF((MATCH(INDEX(Data_metier!$E:$E,MATCH($A17,Data_metier!$B:$B,0)),{"Non Concerné";"Niveau 1";"Niveau 2";"Niveau 3";"Niveau 4"},0)-1)&gt;(MATCH(INDEX(Data_metier!$E:$E,MATCH(L$1,Data_metier!$B:$B,0)),{"Non Concerné";"Niveau 1";"Niveau 2";"Niveau 3";"Niveau 4"},0)-1),
1/6,0))</f>
        <v>2.9999999999999996</v>
      </c>
      <c r="M17">
        <f>IF(DE_respon_transv!M17=-1,-1,
DE_respon_transv!M17+IF((MATCH(INDEX(Data_metier!$C:$C,MATCH($A17,Data_metier!$B:$B,0)),{"Non Concerné";"Niveau 1";"Niveau 2";"Niveau 3";"Niveau 4"},0)-1)&gt;(MATCH(INDEX(Data_metier!$C:$C,MATCH(M$1,Data_metier!$B:$B,0)),{"Non Concerné";"Niveau 1";"Niveau 2";"Niveau 3";"Niveau 4"},0)-1),
1/6,0)+IF((MATCH(INDEX(Data_metier!$D:$D,MATCH($A17,Data_metier!$B:$B,0)),{"Non Concerné";"Niveau 1";"Niveau 2";"Niveau 3";"Niveau 4"},0)-1)&gt;(MATCH(INDEX(Data_metier!$D:$D,MATCH(M$1,Data_metier!$B:$B,0)),{"Non Concerné";"Niveau 1";"Niveau 2";"Niveau 3";"Niveau 4"},0)-1),
1/6,0)+IF((MATCH(INDEX(Data_metier!$E:$E,MATCH($A17,Data_metier!$B:$B,0)),{"Non Concerné";"Niveau 1";"Niveau 2";"Niveau 3";"Niveau 4"},0)-1)&gt;(MATCH(INDEX(Data_metier!$E:$E,MATCH(M$1,Data_metier!$B:$B,0)),{"Non Concerné";"Niveau 1";"Niveau 2";"Niveau 3";"Niveau 4"},0)-1),
1/6,0))</f>
        <v>2.9999999999999996</v>
      </c>
      <c r="N17">
        <f>IF(DE_respon_transv!N17=-1,-1,
DE_respon_transv!N17+IF((MATCH(INDEX(Data_metier!$C:$C,MATCH($A17,Data_metier!$B:$B,0)),{"Non Concerné";"Niveau 1";"Niveau 2";"Niveau 3";"Niveau 4"},0)-1)&gt;(MATCH(INDEX(Data_metier!$C:$C,MATCH(N$1,Data_metier!$B:$B,0)),{"Non Concerné";"Niveau 1";"Niveau 2";"Niveau 3";"Niveau 4"},0)-1),
1/6,0)+IF((MATCH(INDEX(Data_metier!$D:$D,MATCH($A17,Data_metier!$B:$B,0)),{"Non Concerné";"Niveau 1";"Niveau 2";"Niveau 3";"Niveau 4"},0)-1)&gt;(MATCH(INDEX(Data_metier!$D:$D,MATCH(N$1,Data_metier!$B:$B,0)),{"Non Concerné";"Niveau 1";"Niveau 2";"Niveau 3";"Niveau 4"},0)-1),
1/6,0)+IF((MATCH(INDEX(Data_metier!$E:$E,MATCH($A17,Data_metier!$B:$B,0)),{"Non Concerné";"Niveau 1";"Niveau 2";"Niveau 3";"Niveau 4"},0)-1)&gt;(MATCH(INDEX(Data_metier!$E:$E,MATCH(N$1,Data_metier!$B:$B,0)),{"Non Concerné";"Niveau 1";"Niveau 2";"Niveau 3";"Niveau 4"},0)-1),
1/6,0))</f>
        <v>1.1666666666666667</v>
      </c>
      <c r="O17">
        <f>IF(DE_respon_transv!O17=-1,-1,
DE_respon_transv!O17+IF((MATCH(INDEX(Data_metier!$C:$C,MATCH($A17,Data_metier!$B:$B,0)),{"Non Concerné";"Niveau 1";"Niveau 2";"Niveau 3";"Niveau 4"},0)-1)&gt;(MATCH(INDEX(Data_metier!$C:$C,MATCH(O$1,Data_metier!$B:$B,0)),{"Non Concerné";"Niveau 1";"Niveau 2";"Niveau 3";"Niveau 4"},0)-1),
1/6,0)+IF((MATCH(INDEX(Data_metier!$D:$D,MATCH($A17,Data_metier!$B:$B,0)),{"Non Concerné";"Niveau 1";"Niveau 2";"Niveau 3";"Niveau 4"},0)-1)&gt;(MATCH(INDEX(Data_metier!$D:$D,MATCH(O$1,Data_metier!$B:$B,0)),{"Non Concerné";"Niveau 1";"Niveau 2";"Niveau 3";"Niveau 4"},0)-1),
1/6,0)+IF((MATCH(INDEX(Data_metier!$E:$E,MATCH($A17,Data_metier!$B:$B,0)),{"Non Concerné";"Niveau 1";"Niveau 2";"Niveau 3";"Niveau 4"},0)-1)&gt;(MATCH(INDEX(Data_metier!$E:$E,MATCH(O$1,Data_metier!$B:$B,0)),{"Non Concerné";"Niveau 1";"Niveau 2";"Niveau 3";"Niveau 4"},0)-1),
1/6,0))</f>
        <v>2.9999999999999996</v>
      </c>
      <c r="P17">
        <f>IF(DE_respon_transv!P17=-1,-1,
DE_respon_transv!P17+IF((MATCH(INDEX(Data_metier!$C:$C,MATCH($A17,Data_metier!$B:$B,0)),{"Non Concerné";"Niveau 1";"Niveau 2";"Niveau 3";"Niveau 4"},0)-1)&gt;(MATCH(INDEX(Data_metier!$C:$C,MATCH(P$1,Data_metier!$B:$B,0)),{"Non Concerné";"Niveau 1";"Niveau 2";"Niveau 3";"Niveau 4"},0)-1),
1/6,0)+IF((MATCH(INDEX(Data_metier!$D:$D,MATCH($A17,Data_metier!$B:$B,0)),{"Non Concerné";"Niveau 1";"Niveau 2";"Niveau 3";"Niveau 4"},0)-1)&gt;(MATCH(INDEX(Data_metier!$D:$D,MATCH(P$1,Data_metier!$B:$B,0)),{"Non Concerné";"Niveau 1";"Niveau 2";"Niveau 3";"Niveau 4"},0)-1),
1/6,0)+IF((MATCH(INDEX(Data_metier!$E:$E,MATCH($A17,Data_metier!$B:$B,0)),{"Non Concerné";"Niveau 1";"Niveau 2";"Niveau 3";"Niveau 4"},0)-1)&gt;(MATCH(INDEX(Data_metier!$E:$E,MATCH(P$1,Data_metier!$B:$B,0)),{"Non Concerné";"Niveau 1";"Niveau 2";"Niveau 3";"Niveau 4"},0)-1),
1/6,0))</f>
        <v>2.9999999999999996</v>
      </c>
      <c r="Q17">
        <f>IF(DE_respon_transv!Q17=-1,-1,
DE_respon_transv!Q17+IF((MATCH(INDEX(Data_metier!$C:$C,MATCH($A17,Data_metier!$B:$B,0)),{"Non Concerné";"Niveau 1";"Niveau 2";"Niveau 3";"Niveau 4"},0)-1)&gt;(MATCH(INDEX(Data_metier!$C:$C,MATCH(Q$1,Data_metier!$B:$B,0)),{"Non Concerné";"Niveau 1";"Niveau 2";"Niveau 3";"Niveau 4"},0)-1),
1/6,0)+IF((MATCH(INDEX(Data_metier!$D:$D,MATCH($A17,Data_metier!$B:$B,0)),{"Non Concerné";"Niveau 1";"Niveau 2";"Niveau 3";"Niveau 4"},0)-1)&gt;(MATCH(INDEX(Data_metier!$D:$D,MATCH(Q$1,Data_metier!$B:$B,0)),{"Non Concerné";"Niveau 1";"Niveau 2";"Niveau 3";"Niveau 4"},0)-1),
1/6,0)+IF((MATCH(INDEX(Data_metier!$E:$E,MATCH($A17,Data_metier!$B:$B,0)),{"Non Concerné";"Niveau 1";"Niveau 2";"Niveau 3";"Niveau 4"},0)-1)&gt;(MATCH(INDEX(Data_metier!$E:$E,MATCH(Q$1,Data_metier!$B:$B,0)),{"Non Concerné";"Niveau 1";"Niveau 2";"Niveau 3";"Niveau 4"},0)-1),
1/6,0))</f>
        <v>0</v>
      </c>
      <c r="R17">
        <f>IF(DE_respon_transv!R17=-1,-1,
DE_respon_transv!R17+IF((MATCH(INDEX(Data_metier!$C:$C,MATCH($A17,Data_metier!$B:$B,0)),{"Non Concerné";"Niveau 1";"Niveau 2";"Niveau 3";"Niveau 4"},0)-1)&gt;(MATCH(INDEX(Data_metier!$C:$C,MATCH(R$1,Data_metier!$B:$B,0)),{"Non Concerné";"Niveau 1";"Niveau 2";"Niveau 3";"Niveau 4"},0)-1),
1/6,0)+IF((MATCH(INDEX(Data_metier!$D:$D,MATCH($A17,Data_metier!$B:$B,0)),{"Non Concerné";"Niveau 1";"Niveau 2";"Niveau 3";"Niveau 4"},0)-1)&gt;(MATCH(INDEX(Data_metier!$D:$D,MATCH(R$1,Data_metier!$B:$B,0)),{"Non Concerné";"Niveau 1";"Niveau 2";"Niveau 3";"Niveau 4"},0)-1),
1/6,0)+IF((MATCH(INDEX(Data_metier!$E:$E,MATCH($A17,Data_metier!$B:$B,0)),{"Non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17">
        <f>IF(DE_respon_transv!S17=-1,-1,
DE_respon_transv!S17+IF((MATCH(INDEX(Data_metier!$C:$C,MATCH($A17,Data_metier!$B:$B,0)),{"Non Concerné";"Niveau 1";"Niveau 2";"Niveau 3";"Niveau 4"},0)-1)&gt;(MATCH(INDEX(Data_metier!$C:$C,MATCH(S$1,Data_metier!$B:$B,0)),{"Non Concerné";"Niveau 1";"Niveau 2";"Niveau 3";"Niveau 4"},0)-1),
1/6,0)+IF((MATCH(INDEX(Data_metier!$D:$D,MATCH($A17,Data_metier!$B:$B,0)),{"Non Concerné";"Niveau 1";"Niveau 2";"Niveau 3";"Niveau 4"},0)-1)&gt;(MATCH(INDEX(Data_metier!$D:$D,MATCH(S$1,Data_metier!$B:$B,0)),{"Non Concerné";"Niveau 1";"Niveau 2";"Niveau 3";"Niveau 4"},0)-1),
1/6,0)+IF((MATCH(INDEX(Data_metier!$E:$E,MATCH($A17,Data_metier!$B:$B,0)),{"Non Concerné";"Niveau 1";"Niveau 2";"Niveau 3";"Niveau 4"},0)-1)&gt;(MATCH(INDEX(Data_metier!$E:$E,MATCH(S$1,Data_metier!$B:$B,0)),{"Non Concerné";"Niveau 1";"Niveau 2";"Niveau 3";"Niveau 4"},0)-1),
1/6,0))</f>
        <v>2.9999999999999996</v>
      </c>
      <c r="T17">
        <f>IF(DE_respon_transv!T17=-1,-1,
DE_respon_transv!T17+IF((MATCH(INDEX(Data_metier!$C:$C,MATCH($A17,Data_metier!$B:$B,0)),{"Non Concerné";"Niveau 1";"Niveau 2";"Niveau 3";"Niveau 4"},0)-1)&gt;(MATCH(INDEX(Data_metier!$C:$C,MATCH(T$1,Data_metier!$B:$B,0)),{"Non Concerné";"Niveau 1";"Niveau 2";"Niveau 3";"Niveau 4"},0)-1),
1/6,0)+IF((MATCH(INDEX(Data_metier!$D:$D,MATCH($A17,Data_metier!$B:$B,0)),{"Non Concerné";"Niveau 1";"Niveau 2";"Niveau 3";"Niveau 4"},0)-1)&gt;(MATCH(INDEX(Data_metier!$D:$D,MATCH(T$1,Data_metier!$B:$B,0)),{"Non Concerné";"Niveau 1";"Niveau 2";"Niveau 3";"Niveau 4"},0)-1),
1/6,0)+IF((MATCH(INDEX(Data_metier!$E:$E,MATCH($A17,Data_metier!$B:$B,0)),{"Non Concerné";"Niveau 1";"Niveau 2";"Niveau 3";"Niveau 4"},0)-1)&gt;(MATCH(INDEX(Data_metier!$E:$E,MATCH(T$1,Data_metier!$B:$B,0)),{"Non Concerné";"Niveau 1";"Niveau 2";"Niveau 3";"Niveau 4"},0)-1),
1/6,0))</f>
        <v>2.9999999999999996</v>
      </c>
      <c r="U17">
        <f>IF(DE_respon_transv!U17=-1,-1,
DE_respon_transv!U17+IF((MATCH(INDEX(Data_metier!$C:$C,MATCH($A17,Data_metier!$B:$B,0)),{"Non Concerné";"Niveau 1";"Niveau 2";"Niveau 3";"Niveau 4"},0)-1)&gt;(MATCH(INDEX(Data_metier!$C:$C,MATCH(U$1,Data_metier!$B:$B,0)),{"Non Concerné";"Niveau 1";"Niveau 2";"Niveau 3";"Niveau 4"},0)-1),
1/6,0)+IF((MATCH(INDEX(Data_metier!$D:$D,MATCH($A17,Data_metier!$B:$B,0)),{"Non Concerné";"Niveau 1";"Niveau 2";"Niveau 3";"Niveau 4"},0)-1)&gt;(MATCH(INDEX(Data_metier!$D:$D,MATCH(U$1,Data_metier!$B:$B,0)),{"Non Concerné";"Niveau 1";"Niveau 2";"Niveau 3";"Niveau 4"},0)-1),
1/6,0)+IF((MATCH(INDEX(Data_metier!$E:$E,MATCH($A17,Data_metier!$B:$B,0)),{"Non Concerné";"Niveau 1";"Niveau 2";"Niveau 3";"Niveau 4"},0)-1)&gt;(MATCH(INDEX(Data_metier!$E:$E,MATCH(U$1,Data_metier!$B:$B,0)),{"Non Concerné";"Niveau 1";"Niveau 2";"Niveau 3";"Niveau 4"},0)-1),
1/6,0))</f>
        <v>2.9999999999999996</v>
      </c>
      <c r="V17">
        <f>IF(DE_respon_transv!V17=-1,-1,
DE_respon_transv!V17+IF((MATCH(INDEX(Data_metier!$C:$C,MATCH($A17,Data_metier!$B:$B,0)),{"Non Concerné";"Niveau 1";"Niveau 2";"Niveau 3";"Niveau 4"},0)-1)&gt;(MATCH(INDEX(Data_metier!$C:$C,MATCH(V$1,Data_metier!$B:$B,0)),{"Non Concerné";"Niveau 1";"Niveau 2";"Niveau 3";"Niveau 4"},0)-1),
1/6,0)+IF((MATCH(INDEX(Data_metier!$D:$D,MATCH($A17,Data_metier!$B:$B,0)),{"Non Concerné";"Niveau 1";"Niveau 2";"Niveau 3";"Niveau 4"},0)-1)&gt;(MATCH(INDEX(Data_metier!$D:$D,MATCH(V$1,Data_metier!$B:$B,0)),{"Non Concerné";"Niveau 1";"Niveau 2";"Niveau 3";"Niveau 4"},0)-1),
1/6,0)+IF((MATCH(INDEX(Data_metier!$E:$E,MATCH($A17,Data_metier!$B:$B,0)),{"Non Concerné";"Niveau 1";"Niveau 2";"Niveau 3";"Niveau 4"},0)-1)&gt;(MATCH(INDEX(Data_metier!$E:$E,MATCH(V$1,Data_metier!$B:$B,0)),{"Non Concerné";"Niveau 1";"Niveau 2";"Niveau 3";"Niveau 4"},0)-1),
1/6,0))</f>
        <v>2.9999999999999996</v>
      </c>
      <c r="W17">
        <f>IF(DE_respon_transv!W17=-1,-1,
DE_respon_transv!W17+IF((MATCH(INDEX(Data_metier!$C:$C,MATCH($A17,Data_metier!$B:$B,0)),{"Non Concerné";"Niveau 1";"Niveau 2";"Niveau 3";"Niveau 4"},0)-1)&gt;(MATCH(INDEX(Data_metier!$C:$C,MATCH(W$1,Data_metier!$B:$B,0)),{"Non Concerné";"Niveau 1";"Niveau 2";"Niveau 3";"Niveau 4"},0)-1),
1/6,0)+IF((MATCH(INDEX(Data_metier!$D:$D,MATCH($A17,Data_metier!$B:$B,0)),{"Non Concerné";"Niveau 1";"Niveau 2";"Niveau 3";"Niveau 4"},0)-1)&gt;(MATCH(INDEX(Data_metier!$D:$D,MATCH(W$1,Data_metier!$B:$B,0)),{"Non Concerné";"Niveau 1";"Niveau 2";"Niveau 3";"Niveau 4"},0)-1),
1/6,0)+IF((MATCH(INDEX(Data_metier!$E:$E,MATCH($A17,Data_metier!$B:$B,0)),{"Non Concerné";"Niveau 1";"Niveau 2";"Niveau 3";"Niveau 4"},0)-1)&gt;(MATCH(INDEX(Data_metier!$E:$E,MATCH(W$1,Data_metier!$B:$B,0)),{"Non Concerné";"Niveau 1";"Niveau 2";"Niveau 3";"Niveau 4"},0)-1),
1/6,0))</f>
        <v>2.4999999999999996</v>
      </c>
      <c r="X17">
        <f>IF(DE_respon_transv!X17=-1,-1,
DE_respon_transv!X17+IF((MATCH(INDEX(Data_metier!$C:$C,MATCH($A17,Data_metier!$B:$B,0)),{"Non Concerné";"Niveau 1";"Niveau 2";"Niveau 3";"Niveau 4"},0)-1)&gt;(MATCH(INDEX(Data_metier!$C:$C,MATCH(X$1,Data_metier!$B:$B,0)),{"Non Concerné";"Niveau 1";"Niveau 2";"Niveau 3";"Niveau 4"},0)-1),
1/6,0)+IF((MATCH(INDEX(Data_metier!$D:$D,MATCH($A17,Data_metier!$B:$B,0)),{"Non Concerné";"Niveau 1";"Niveau 2";"Niveau 3";"Niveau 4"},0)-1)&gt;(MATCH(INDEX(Data_metier!$D:$D,MATCH(X$1,Data_metier!$B:$B,0)),{"Non Concerné";"Niveau 1";"Niveau 2";"Niveau 3";"Niveau 4"},0)-1),
1/6,0)+IF((MATCH(INDEX(Data_metier!$E:$E,MATCH($A17,Data_metier!$B:$B,0)),{"Non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17">
        <f>IF(DE_respon_transv!Y17=-1,-1,
DE_respon_transv!Y17+IF((MATCH(INDEX(Data_metier!$C:$C,MATCH($A17,Data_metier!$B:$B,0)),{"Non Concerné";"Niveau 1";"Niveau 2";"Niveau 3";"Niveau 4"},0)-1)&gt;(MATCH(INDEX(Data_metier!$C:$C,MATCH(Y$1,Data_metier!$B:$B,0)),{"Non Concerné";"Niveau 1";"Niveau 2";"Niveau 3";"Niveau 4"},0)-1),
1/6,0)+IF((MATCH(INDEX(Data_metier!$D:$D,MATCH($A17,Data_metier!$B:$B,0)),{"Non Concerné";"Niveau 1";"Niveau 2";"Niveau 3";"Niveau 4"},0)-1)&gt;(MATCH(INDEX(Data_metier!$D:$D,MATCH(Y$1,Data_metier!$B:$B,0)),{"Non Concerné";"Niveau 1";"Niveau 2";"Niveau 3";"Niveau 4"},0)-1),
1/6,0)+IF((MATCH(INDEX(Data_metier!$E:$E,MATCH($A17,Data_metier!$B:$B,0)),{"Non Concerné";"Niveau 1";"Niveau 2";"Niveau 3";"Niveau 4"},0)-1)&gt;(MATCH(INDEX(Data_metier!$E:$E,MATCH(Y$1,Data_metier!$B:$B,0)),{"Non Concerné";"Niveau 1";"Niveau 2";"Niveau 3";"Niveau 4"},0)-1),
1/6,0))</f>
        <v>2.9999999999999996</v>
      </c>
      <c r="Z17">
        <f>IF(DE_respon_transv!Z17=-1,-1,
DE_respon_transv!Z17+IF((MATCH(INDEX(Data_metier!$C:$C,MATCH($A17,Data_metier!$B:$B,0)),{"Non Concerné";"Niveau 1";"Niveau 2";"Niveau 3";"Niveau 4"},0)-1)&gt;(MATCH(INDEX(Data_metier!$C:$C,MATCH(Z$1,Data_metier!$B:$B,0)),{"Non Concerné";"Niveau 1";"Niveau 2";"Niveau 3";"Niveau 4"},0)-1),
1/6,0)+IF((MATCH(INDEX(Data_metier!$D:$D,MATCH($A17,Data_metier!$B:$B,0)),{"Non Concerné";"Niveau 1";"Niveau 2";"Niveau 3";"Niveau 4"},0)-1)&gt;(MATCH(INDEX(Data_metier!$D:$D,MATCH(Z$1,Data_metier!$B:$B,0)),{"Non Concerné";"Niveau 1";"Niveau 2";"Niveau 3";"Niveau 4"},0)-1),
1/6,0)+IF((MATCH(INDEX(Data_metier!$E:$E,MATCH($A17,Data_metier!$B:$B,0)),{"Non Concerné";"Niveau 1";"Niveau 2";"Niveau 3";"Niveau 4"},0)-1)&gt;(MATCH(INDEX(Data_metier!$E:$E,MATCH(Z$1,Data_metier!$B:$B,0)),{"Non Concerné";"Niveau 1";"Niveau 2";"Niveau 3";"Niveau 4"},0)-1),
1/6,0))</f>
        <v>2.9999999999999996</v>
      </c>
      <c r="AA17">
        <f>IF(DE_respon_transv!AA17=-1,-1,
DE_respon_transv!AA17+IF((MATCH(INDEX(Data_metier!$C:$C,MATCH($A17,Data_metier!$B:$B,0)),{"Non Concerné";"Niveau 1";"Niveau 2";"Niveau 3";"Niveau 4"},0)-1)&gt;(MATCH(INDEX(Data_metier!$C:$C,MATCH(AA$1,Data_metier!$B:$B,0)),{"Non Concerné";"Niveau 1";"Niveau 2";"Niveau 3";"Niveau 4"},0)-1),
1/6,0)+IF((MATCH(INDEX(Data_metier!$D:$D,MATCH($A17,Data_metier!$B:$B,0)),{"Non Concerné";"Niveau 1";"Niveau 2";"Niveau 3";"Niveau 4"},0)-1)&gt;(MATCH(INDEX(Data_metier!$D:$D,MATCH(AA$1,Data_metier!$B:$B,0)),{"Non Concerné";"Niveau 1";"Niveau 2";"Niveau 3";"Niveau 4"},0)-1),
1/6,0)+IF((MATCH(INDEX(Data_metier!$E:$E,MATCH($A17,Data_metier!$B:$B,0)),{"Non Concerné";"Niveau 1";"Niveau 2";"Niveau 3";"Niveau 4"},0)-1)&gt;(MATCH(INDEX(Data_metier!$E:$E,MATCH(AA$1,Data_metier!$B:$B,0)),{"Non Concerné";"Niveau 1";"Niveau 2";"Niveau 3";"Niveau 4"},0)-1),
1/6,0))</f>
        <v>2.9999999999999996</v>
      </c>
      <c r="AB17">
        <f>IF(DE_respon_transv!AB17=-1,-1,
DE_respon_transv!AB17+IF((MATCH(INDEX(Data_metier!$C:$C,MATCH($A17,Data_metier!$B:$B,0)),{"Non Concerné";"Niveau 1";"Niveau 2";"Niveau 3";"Niveau 4"},0)-1)&gt;(MATCH(INDEX(Data_metier!$C:$C,MATCH(AB$1,Data_metier!$B:$B,0)),{"Non Concerné";"Niveau 1";"Niveau 2";"Niveau 3";"Niveau 4"},0)-1),
1/6,0)+IF((MATCH(INDEX(Data_metier!$D:$D,MATCH($A17,Data_metier!$B:$B,0)),{"Non Concerné";"Niveau 1";"Niveau 2";"Niveau 3";"Niveau 4"},0)-1)&gt;(MATCH(INDEX(Data_metier!$D:$D,MATCH(AB$1,Data_metier!$B:$B,0)),{"Non Concerné";"Niveau 1";"Niveau 2";"Niveau 3";"Niveau 4"},0)-1),
1/6,0)+IF((MATCH(INDEX(Data_metier!$E:$E,MATCH($A17,Data_metier!$B:$B,0)),{"Non Concerné";"Niveau 1";"Niveau 2";"Niveau 3";"Niveau 4"},0)-1)&gt;(MATCH(INDEX(Data_metier!$E:$E,MATCH(AB$1,Data_metier!$B:$B,0)),{"Non Concerné";"Niveau 1";"Niveau 2";"Niveau 3";"Niveau 4"},0)-1),
1/6,0))</f>
        <v>2.9999999999999996</v>
      </c>
      <c r="AC17">
        <f>IF(DE_respon_transv!AC17=-1,-1,
DE_respon_transv!AC17+IF((MATCH(INDEX(Data_metier!$C:$C,MATCH($A17,Data_metier!$B:$B,0)),{"Non Concerné";"Niveau 1";"Niveau 2";"Niveau 3";"Niveau 4"},0)-1)&gt;(MATCH(INDEX(Data_metier!$C:$C,MATCH(AC$1,Data_metier!$B:$B,0)),{"Non Concerné";"Niveau 1";"Niveau 2";"Niveau 3";"Niveau 4"},0)-1),
1/6,0)+IF((MATCH(INDEX(Data_metier!$D:$D,MATCH($A17,Data_metier!$B:$B,0)),{"Non Concerné";"Niveau 1";"Niveau 2";"Niveau 3";"Niveau 4"},0)-1)&gt;(MATCH(INDEX(Data_metier!$D:$D,MATCH(AC$1,Data_metier!$B:$B,0)),{"Non Concerné";"Niveau 1";"Niveau 2";"Niveau 3";"Niveau 4"},0)-1),
1/6,0)+IF((MATCH(INDEX(Data_metier!$E:$E,MATCH($A17,Data_metier!$B:$B,0)),{"Non Concerné";"Niveau 1";"Niveau 2";"Niveau 3";"Niveau 4"},0)-1)&gt;(MATCH(INDEX(Data_metier!$E:$E,MATCH(AC$1,Data_metier!$B:$B,0)),{"Non Concerné";"Niveau 1";"Niveau 2";"Niveau 3";"Niveau 4"},0)-1),
1/6,0))</f>
        <v>2.9999999999999996</v>
      </c>
      <c r="AD17">
        <f>IF(DE_respon_transv!AD17=-1,-1,
DE_respon_transv!AD17+IF((MATCH(INDEX(Data_metier!$C:$C,MATCH($A17,Data_metier!$B:$B,0)),{"Non Concerné";"Niveau 1";"Niveau 2";"Niveau 3";"Niveau 4"},0)-1)&gt;(MATCH(INDEX(Data_metier!$C:$C,MATCH(AD$1,Data_metier!$B:$B,0)),{"Non Concerné";"Niveau 1";"Niveau 2";"Niveau 3";"Niveau 4"},0)-1),
1/6,0)+IF((MATCH(INDEX(Data_metier!$D:$D,MATCH($A17,Data_metier!$B:$B,0)),{"Non Concerné";"Niveau 1";"Niveau 2";"Niveau 3";"Niveau 4"},0)-1)&gt;(MATCH(INDEX(Data_metier!$D:$D,MATCH(AD$1,Data_metier!$B:$B,0)),{"Non Concerné";"Niveau 1";"Niveau 2";"Niveau 3";"Niveau 4"},0)-1),
1/6,0)+IF((MATCH(INDEX(Data_metier!$E:$E,MATCH($A17,Data_metier!$B:$B,0)),{"Non Concerné";"Niveau 1";"Niveau 2";"Niveau 3";"Niveau 4"},0)-1)&gt;(MATCH(INDEX(Data_metier!$E:$E,MATCH(AD$1,Data_metier!$B:$B,0)),{"Non Concerné";"Niveau 1";"Niveau 2";"Niveau 3";"Niveau 4"},0)-1),
1/6,0))</f>
        <v>2</v>
      </c>
    </row>
    <row r="18" spans="1:30">
      <c r="A18" t="str">
        <v>Acheteur(se) / négociateur(trice) de matières premières</v>
      </c>
      <c r="B18">
        <f>IF(DE_respon_transv!B18=-1,-1,
DE_respon_transv!B18+IF((MATCH(INDEX(Data_metier!$C:$C,MATCH($A18,Data_metier!$B:$B,0)),{"Non Concerné";"Niveau 1";"Niveau 2";"Niveau 3";"Niveau 4"},0)-1)&gt;(MATCH(INDEX(Data_metier!$C:$C,MATCH(B$1,Data_metier!$B:$B,0)),{"Non Concerné";"Niveau 1";"Niveau 2";"Niveau 3";"Niveau 4"},0)-1),
1/6,0)+IF((MATCH(INDEX(Data_metier!$D:$D,MATCH($A18,Data_metier!$B:$B,0)),{"Non Concerné";"Niveau 1";"Niveau 2";"Niveau 3";"Niveau 4"},0)-1)&gt;(MATCH(INDEX(Data_metier!$D:$D,MATCH(B$1,Data_metier!$B:$B,0)),{"Non Concerné";"Niveau 1";"Niveau 2";"Niveau 3";"Niveau 4"},0)-1),
1/6,0)+IF((MATCH(INDEX(Data_metier!$E:$E,MATCH($A18,Data_metier!$B:$B,0)),{"Non Concerné";"Niveau 1";"Niveau 2";"Niveau 3";"Niveau 4"},0)-1)&gt;(MATCH(INDEX(Data_metier!$E:$E,MATCH(B$1,Data_metier!$B:$B,0)),{"Non Concerné";"Niveau 1";"Niveau 2";"Niveau 3";"Niveau 4"},0)-1),
1/6,0))</f>
        <v>2.9999999999999996</v>
      </c>
      <c r="C18">
        <f>IF(DE_respon_transv!C18=-1,-1,
DE_respon_transv!C18+IF((MATCH(INDEX(Data_metier!$C:$C,MATCH($A18,Data_metier!$B:$B,0)),{"Non Concerné";"Niveau 1";"Niveau 2";"Niveau 3";"Niveau 4"},0)-1)&gt;(MATCH(INDEX(Data_metier!$C:$C,MATCH(C$1,Data_metier!$B:$B,0)),{"Non Concerné";"Niveau 1";"Niveau 2";"Niveau 3";"Niveau 4"},0)-1),
1/6,0)+IF((MATCH(INDEX(Data_metier!$D:$D,MATCH($A18,Data_metier!$B:$B,0)),{"Non Concerné";"Niveau 1";"Niveau 2";"Niveau 3";"Niveau 4"},0)-1)&gt;(MATCH(INDEX(Data_metier!$D:$D,MATCH(C$1,Data_metier!$B:$B,0)),{"Non Concerné";"Niveau 1";"Niveau 2";"Niveau 3";"Niveau 4"},0)-1),
1/6,0)+IF((MATCH(INDEX(Data_metier!$E:$E,MATCH($A18,Data_metier!$B:$B,0)),{"Non Concerné";"Niveau 1";"Niveau 2";"Niveau 3";"Niveau 4"},0)-1)&gt;(MATCH(INDEX(Data_metier!$E:$E,MATCH(C$1,Data_metier!$B:$B,0)),{"Non Concerné";"Niveau 1";"Niveau 2";"Niveau 3";"Niveau 4"},0)-1),
1/6,0))</f>
        <v>2.9999999999999996</v>
      </c>
      <c r="D18">
        <f>IF(DE_respon_transv!D18=-1,-1,
DE_respon_transv!D18+IF((MATCH(INDEX(Data_metier!$C:$C,MATCH($A18,Data_metier!$B:$B,0)),{"Non Concerné";"Niveau 1";"Niveau 2";"Niveau 3";"Niveau 4"},0)-1)&gt;(MATCH(INDEX(Data_metier!$C:$C,MATCH(D$1,Data_metier!$B:$B,0)),{"Non Concerné";"Niveau 1";"Niveau 2";"Niveau 3";"Niveau 4"},0)-1),
1/6,0)+IF((MATCH(INDEX(Data_metier!$D:$D,MATCH($A18,Data_metier!$B:$B,0)),{"Non Concerné";"Niveau 1";"Niveau 2";"Niveau 3";"Niveau 4"},0)-1)&gt;(MATCH(INDEX(Data_metier!$D:$D,MATCH(D$1,Data_metier!$B:$B,0)),{"Non Concerné";"Niveau 1";"Niveau 2";"Niveau 3";"Niveau 4"},0)-1),
1/6,0)+IF((MATCH(INDEX(Data_metier!$E:$E,MATCH($A18,Data_metier!$B:$B,0)),{"Non Concerné";"Niveau 1";"Niveau 2";"Niveau 3";"Niveau 4"},0)-1)&gt;(MATCH(INDEX(Data_metier!$E:$E,MATCH(D$1,Data_metier!$B:$B,0)),{"Non Concerné";"Niveau 1";"Niveau 2";"Niveau 3";"Niveau 4"},0)-1),
1/6,0))</f>
        <v>2.9999999999999996</v>
      </c>
      <c r="E18">
        <f>IF(DE_respon_transv!E18=-1,-1,
DE_respon_transv!E18+IF((MATCH(INDEX(Data_metier!$C:$C,MATCH($A18,Data_metier!$B:$B,0)),{"Non Concerné";"Niveau 1";"Niveau 2";"Niveau 3";"Niveau 4"},0)-1)&gt;(MATCH(INDEX(Data_metier!$C:$C,MATCH(E$1,Data_metier!$B:$B,0)),{"Non Concerné";"Niveau 1";"Niveau 2";"Niveau 3";"Niveau 4"},0)-1),
1/6,0)+IF((MATCH(INDEX(Data_metier!$D:$D,MATCH($A18,Data_metier!$B:$B,0)),{"Non Concerné";"Niveau 1";"Niveau 2";"Niveau 3";"Niveau 4"},0)-1)&gt;(MATCH(INDEX(Data_metier!$D:$D,MATCH(E$1,Data_metier!$B:$B,0)),{"Non Concerné";"Niveau 1";"Niveau 2";"Niveau 3";"Niveau 4"},0)-1),
1/6,0)+IF((MATCH(INDEX(Data_metier!$E:$E,MATCH($A18,Data_metier!$B:$B,0)),{"Non Concerné";"Niveau 1";"Niveau 2";"Niveau 3";"Niveau 4"},0)-1)&gt;(MATCH(INDEX(Data_metier!$E:$E,MATCH(E$1,Data_metier!$B:$B,0)),{"Non Concerné";"Niveau 1";"Niveau 2";"Niveau 3";"Niveau 4"},0)-1),
1/6,0))</f>
        <v>1</v>
      </c>
      <c r="F18">
        <f>IF(DE_respon_transv!F18=-1,-1,
DE_respon_transv!F18+IF((MATCH(INDEX(Data_metier!$C:$C,MATCH($A18,Data_metier!$B:$B,0)),{"Non Concerné";"Niveau 1";"Niveau 2";"Niveau 3";"Niveau 4"},0)-1)&gt;(MATCH(INDEX(Data_metier!$C:$C,MATCH(F$1,Data_metier!$B:$B,0)),{"Non Concerné";"Niveau 1";"Niveau 2";"Niveau 3";"Niveau 4"},0)-1),
1/6,0)+IF((MATCH(INDEX(Data_metier!$D:$D,MATCH($A18,Data_metier!$B:$B,0)),{"Non Concerné";"Niveau 1";"Niveau 2";"Niveau 3";"Niveau 4"},0)-1)&gt;(MATCH(INDEX(Data_metier!$D:$D,MATCH(F$1,Data_metier!$B:$B,0)),{"Non Concerné";"Niveau 1";"Niveau 2";"Niveau 3";"Niveau 4"},0)-1),
1/6,0)+IF((MATCH(INDEX(Data_metier!$E:$E,MATCH($A18,Data_metier!$B:$B,0)),{"Non Concerné";"Niveau 1";"Niveau 2";"Niveau 3";"Niveau 4"},0)-1)&gt;(MATCH(INDEX(Data_metier!$E:$E,MATCH(F$1,Data_metier!$B:$B,0)),{"Non Concerné";"Niveau 1";"Niveau 2";"Niveau 3";"Niveau 4"},0)-1),
1/6,0))</f>
        <v>1.6666666666666667</v>
      </c>
      <c r="G18">
        <f>IF(DE_respon_transv!G18=-1,-1,
DE_respon_transv!G18+IF((MATCH(INDEX(Data_metier!$C:$C,MATCH($A18,Data_metier!$B:$B,0)),{"Non Concerné";"Niveau 1";"Niveau 2";"Niveau 3";"Niveau 4"},0)-1)&gt;(MATCH(INDEX(Data_metier!$C:$C,MATCH(G$1,Data_metier!$B:$B,0)),{"Non Concerné";"Niveau 1";"Niveau 2";"Niveau 3";"Niveau 4"},0)-1),
1/6,0)+IF((MATCH(INDEX(Data_metier!$D:$D,MATCH($A18,Data_metier!$B:$B,0)),{"Non Concerné";"Niveau 1";"Niveau 2";"Niveau 3";"Niveau 4"},0)-1)&gt;(MATCH(INDEX(Data_metier!$D:$D,MATCH(G$1,Data_metier!$B:$B,0)),{"Non Concerné";"Niveau 1";"Niveau 2";"Niveau 3";"Niveau 4"},0)-1),
1/6,0)+IF((MATCH(INDEX(Data_metier!$E:$E,MATCH($A18,Data_metier!$B:$B,0)),{"Non Concerné";"Niveau 1";"Niveau 2";"Niveau 3";"Niveau 4"},0)-1)&gt;(MATCH(INDEX(Data_metier!$E:$E,MATCH(G$1,Data_metier!$B:$B,0)),{"Non Concerné";"Niveau 1";"Niveau 2";"Niveau 3";"Niveau 4"},0)-1),
1/6,0))</f>
        <v>1</v>
      </c>
      <c r="H18">
        <f>IF(DE_respon_transv!H18=-1,-1,
DE_respon_transv!H18+IF((MATCH(INDEX(Data_metier!$C:$C,MATCH($A18,Data_metier!$B:$B,0)),{"Non Concerné";"Niveau 1";"Niveau 2";"Niveau 3";"Niveau 4"},0)-1)&gt;(MATCH(INDEX(Data_metier!$C:$C,MATCH(H$1,Data_metier!$B:$B,0)),{"Non Concerné";"Niveau 1";"Niveau 2";"Niveau 3";"Niveau 4"},0)-1),
1/6,0)+IF((MATCH(INDEX(Data_metier!$D:$D,MATCH($A18,Data_metier!$B:$B,0)),{"Non Concerné";"Niveau 1";"Niveau 2";"Niveau 3";"Niveau 4"},0)-1)&gt;(MATCH(INDEX(Data_metier!$D:$D,MATCH(H$1,Data_metier!$B:$B,0)),{"Non Concerné";"Niveau 1";"Niveau 2";"Niveau 3";"Niveau 4"},0)-1),
1/6,0)+IF((MATCH(INDEX(Data_metier!$E:$E,MATCH($A18,Data_metier!$B:$B,0)),{"Non Concerné";"Niveau 1";"Niveau 2";"Niveau 3";"Niveau 4"},0)-1)&gt;(MATCH(INDEX(Data_metier!$E:$E,MATCH(H$1,Data_metier!$B:$B,0)),{"Non Concerné";"Niveau 1";"Niveau 2";"Niveau 3";"Niveau 4"},0)-1),
1/6,0))</f>
        <v>1</v>
      </c>
      <c r="I18">
        <f>IF(DE_respon_transv!I18=-1,-1,
DE_respon_transv!I18+IF((MATCH(INDEX(Data_metier!$C:$C,MATCH($A18,Data_metier!$B:$B,0)),{"Non Concerné";"Niveau 1";"Niveau 2";"Niveau 3";"Niveau 4"},0)-1)&gt;(MATCH(INDEX(Data_metier!$C:$C,MATCH(I$1,Data_metier!$B:$B,0)),{"Non Concerné";"Niveau 1";"Niveau 2";"Niveau 3";"Niveau 4"},0)-1),
1/6,0)+IF((MATCH(INDEX(Data_metier!$D:$D,MATCH($A18,Data_metier!$B:$B,0)),{"Non Concerné";"Niveau 1";"Niveau 2";"Niveau 3";"Niveau 4"},0)-1)&gt;(MATCH(INDEX(Data_metier!$D:$D,MATCH(I$1,Data_metier!$B:$B,0)),{"Non Concerné";"Niveau 1";"Niveau 2";"Niveau 3";"Niveau 4"},0)-1),
1/6,0)+IF((MATCH(INDEX(Data_metier!$E:$E,MATCH($A18,Data_metier!$B:$B,0)),{"Non Concerné";"Niveau 1";"Niveau 2";"Niveau 3";"Niveau 4"},0)-1)&gt;(MATCH(INDEX(Data_metier!$E:$E,MATCH(I$1,Data_metier!$B:$B,0)),{"Non Concerné";"Niveau 1";"Niveau 2";"Niveau 3";"Niveau 4"},0)-1),
1/6,0))</f>
        <v>2.9999999999999996</v>
      </c>
      <c r="J18">
        <f>IF(DE_respon_transv!J18=-1,-1,
DE_respon_transv!J18+IF((MATCH(INDEX(Data_metier!$C:$C,MATCH($A18,Data_metier!$B:$B,0)),{"Non Concerné";"Niveau 1";"Niveau 2";"Niveau 3";"Niveau 4"},0)-1)&gt;(MATCH(INDEX(Data_metier!$C:$C,MATCH(J$1,Data_metier!$B:$B,0)),{"Non Concerné";"Niveau 1";"Niveau 2";"Niveau 3";"Niveau 4"},0)-1),
1/6,0)+IF((MATCH(INDEX(Data_metier!$D:$D,MATCH($A18,Data_metier!$B:$B,0)),{"Non Concerné";"Niveau 1";"Niveau 2";"Niveau 3";"Niveau 4"},0)-1)&gt;(MATCH(INDEX(Data_metier!$D:$D,MATCH(J$1,Data_metier!$B:$B,0)),{"Non Concerné";"Niveau 1";"Niveau 2";"Niveau 3";"Niveau 4"},0)-1),
1/6,0)+IF((MATCH(INDEX(Data_metier!$E:$E,MATCH($A18,Data_metier!$B:$B,0)),{"Non Concerné";"Niveau 1";"Niveau 2";"Niveau 3";"Niveau 4"},0)-1)&gt;(MATCH(INDEX(Data_metier!$E:$E,MATCH(J$1,Data_metier!$B:$B,0)),{"Non Concerné";"Niveau 1";"Niveau 2";"Niveau 3";"Niveau 4"},0)-1),
1/6,0))</f>
        <v>1.8333333333333335</v>
      </c>
      <c r="K18">
        <f>IF(DE_respon_transv!K18=-1,-1,
DE_respon_transv!K18+IF((MATCH(INDEX(Data_metier!$C:$C,MATCH($A18,Data_metier!$B:$B,0)),{"Non Concerné";"Niveau 1";"Niveau 2";"Niveau 3";"Niveau 4"},0)-1)&gt;(MATCH(INDEX(Data_metier!$C:$C,MATCH(K$1,Data_metier!$B:$B,0)),{"Non Concerné";"Niveau 1";"Niveau 2";"Niveau 3";"Niveau 4"},0)-1),
1/6,0)+IF((MATCH(INDEX(Data_metier!$D:$D,MATCH($A18,Data_metier!$B:$B,0)),{"Non Concerné";"Niveau 1";"Niveau 2";"Niveau 3";"Niveau 4"},0)-1)&gt;(MATCH(INDEX(Data_metier!$D:$D,MATCH(K$1,Data_metier!$B:$B,0)),{"Non Concerné";"Niveau 1";"Niveau 2";"Niveau 3";"Niveau 4"},0)-1),
1/6,0)+IF((MATCH(INDEX(Data_metier!$E:$E,MATCH($A18,Data_metier!$B:$B,0)),{"Non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18">
        <f>IF(DE_respon_transv!L18=-1,-1,
DE_respon_transv!L18+IF((MATCH(INDEX(Data_metier!$C:$C,MATCH($A18,Data_metier!$B:$B,0)),{"Non Concerné";"Niveau 1";"Niveau 2";"Niveau 3";"Niveau 4"},0)-1)&gt;(MATCH(INDEX(Data_metier!$C:$C,MATCH(L$1,Data_metier!$B:$B,0)),{"Non Concerné";"Niveau 1";"Niveau 2";"Niveau 3";"Niveau 4"},0)-1),
1/6,0)+IF((MATCH(INDEX(Data_metier!$D:$D,MATCH($A18,Data_metier!$B:$B,0)),{"Non Concerné";"Niveau 1";"Niveau 2";"Niveau 3";"Niveau 4"},0)-1)&gt;(MATCH(INDEX(Data_metier!$D:$D,MATCH(L$1,Data_metier!$B:$B,0)),{"Non Concerné";"Niveau 1";"Niveau 2";"Niveau 3";"Niveau 4"},0)-1),
1/6,0)+IF((MATCH(INDEX(Data_metier!$E:$E,MATCH($A18,Data_metier!$B:$B,0)),{"Non Concerné";"Niveau 1";"Niveau 2";"Niveau 3";"Niveau 4"},0)-1)&gt;(MATCH(INDEX(Data_metier!$E:$E,MATCH(L$1,Data_metier!$B:$B,0)),{"Non Concerné";"Niveau 1";"Niveau 2";"Niveau 3";"Niveau 4"},0)-1),
1/6,0))</f>
        <v>2.9999999999999996</v>
      </c>
      <c r="M18">
        <f>IF(DE_respon_transv!M18=-1,-1,
DE_respon_transv!M18+IF((MATCH(INDEX(Data_metier!$C:$C,MATCH($A18,Data_metier!$B:$B,0)),{"Non Concerné";"Niveau 1";"Niveau 2";"Niveau 3";"Niveau 4"},0)-1)&gt;(MATCH(INDEX(Data_metier!$C:$C,MATCH(M$1,Data_metier!$B:$B,0)),{"Non Concerné";"Niveau 1";"Niveau 2";"Niveau 3";"Niveau 4"},0)-1),
1/6,0)+IF((MATCH(INDEX(Data_metier!$D:$D,MATCH($A18,Data_metier!$B:$B,0)),{"Non Concerné";"Niveau 1";"Niveau 2";"Niveau 3";"Niveau 4"},0)-1)&gt;(MATCH(INDEX(Data_metier!$D:$D,MATCH(M$1,Data_metier!$B:$B,0)),{"Non Concerné";"Niveau 1";"Niveau 2";"Niveau 3";"Niveau 4"},0)-1),
1/6,0)+IF((MATCH(INDEX(Data_metier!$E:$E,MATCH($A18,Data_metier!$B:$B,0)),{"Non Concerné";"Niveau 1";"Niveau 2";"Niveau 3";"Niveau 4"},0)-1)&gt;(MATCH(INDEX(Data_metier!$E:$E,MATCH(M$1,Data_metier!$B:$B,0)),{"Non Concerné";"Niveau 1";"Niveau 2";"Niveau 3";"Niveau 4"},0)-1),
1/6,0))</f>
        <v>2.9999999999999996</v>
      </c>
      <c r="N18">
        <f>IF(DE_respon_transv!N18=-1,-1,
DE_respon_transv!N18+IF((MATCH(INDEX(Data_metier!$C:$C,MATCH($A18,Data_metier!$B:$B,0)),{"Non Concerné";"Niveau 1";"Niveau 2";"Niveau 3";"Niveau 4"},0)-1)&gt;(MATCH(INDEX(Data_metier!$C:$C,MATCH(N$1,Data_metier!$B:$B,0)),{"Non Concerné";"Niveau 1";"Niveau 2";"Niveau 3";"Niveau 4"},0)-1),
1/6,0)+IF((MATCH(INDEX(Data_metier!$D:$D,MATCH($A18,Data_metier!$B:$B,0)),{"Non Concerné";"Niveau 1";"Niveau 2";"Niveau 3";"Niveau 4"},0)-1)&gt;(MATCH(INDEX(Data_metier!$D:$D,MATCH(N$1,Data_metier!$B:$B,0)),{"Non Concerné";"Niveau 1";"Niveau 2";"Niveau 3";"Niveau 4"},0)-1),
1/6,0)+IF((MATCH(INDEX(Data_metier!$E:$E,MATCH($A18,Data_metier!$B:$B,0)),{"Non Concerné";"Niveau 1";"Niveau 2";"Niveau 3";"Niveau 4"},0)-1)&gt;(MATCH(INDEX(Data_metier!$E:$E,MATCH(N$1,Data_metier!$B:$B,0)),{"Non Concerné";"Niveau 1";"Niveau 2";"Niveau 3";"Niveau 4"},0)-1),
1/6,0))</f>
        <v>2.1666666666666665</v>
      </c>
      <c r="O18">
        <f>IF(DE_respon_transv!O18=-1,-1,
DE_respon_transv!O18+IF((MATCH(INDEX(Data_metier!$C:$C,MATCH($A18,Data_metier!$B:$B,0)),{"Non Concerné";"Niveau 1";"Niveau 2";"Niveau 3";"Niveau 4"},0)-1)&gt;(MATCH(INDEX(Data_metier!$C:$C,MATCH(O$1,Data_metier!$B:$B,0)),{"Non Concerné";"Niveau 1";"Niveau 2";"Niveau 3";"Niveau 4"},0)-1),
1/6,0)+IF((MATCH(INDEX(Data_metier!$D:$D,MATCH($A18,Data_metier!$B:$B,0)),{"Non Concerné";"Niveau 1";"Niveau 2";"Niveau 3";"Niveau 4"},0)-1)&gt;(MATCH(INDEX(Data_metier!$D:$D,MATCH(O$1,Data_metier!$B:$B,0)),{"Non Concerné";"Niveau 1";"Niveau 2";"Niveau 3";"Niveau 4"},0)-1),
1/6,0)+IF((MATCH(INDEX(Data_metier!$E:$E,MATCH($A18,Data_metier!$B:$B,0)),{"Non Concerné";"Niveau 1";"Niveau 2";"Niveau 3";"Niveau 4"},0)-1)&gt;(MATCH(INDEX(Data_metier!$E:$E,MATCH(O$1,Data_metier!$B:$B,0)),{"Non Concerné";"Niveau 1";"Niveau 2";"Niveau 3";"Niveau 4"},0)-1),
1/6,0))</f>
        <v>2.9999999999999996</v>
      </c>
      <c r="P18">
        <f>IF(DE_respon_transv!P18=-1,-1,
DE_respon_transv!P18+IF((MATCH(INDEX(Data_metier!$C:$C,MATCH($A18,Data_metier!$B:$B,0)),{"Non Concerné";"Niveau 1";"Niveau 2";"Niveau 3";"Niveau 4"},0)-1)&gt;(MATCH(INDEX(Data_metier!$C:$C,MATCH(P$1,Data_metier!$B:$B,0)),{"Non Concerné";"Niveau 1";"Niveau 2";"Niveau 3";"Niveau 4"},0)-1),
1/6,0)+IF((MATCH(INDEX(Data_metier!$D:$D,MATCH($A18,Data_metier!$B:$B,0)),{"Non Concerné";"Niveau 1";"Niveau 2";"Niveau 3";"Niveau 4"},0)-1)&gt;(MATCH(INDEX(Data_metier!$D:$D,MATCH(P$1,Data_metier!$B:$B,0)),{"Non Concerné";"Niveau 1";"Niveau 2";"Niveau 3";"Niveau 4"},0)-1),
1/6,0)+IF((MATCH(INDEX(Data_metier!$E:$E,MATCH($A18,Data_metier!$B:$B,0)),{"Non Concerné";"Niveau 1";"Niveau 2";"Niveau 3";"Niveau 4"},0)-1)&gt;(MATCH(INDEX(Data_metier!$E:$E,MATCH(P$1,Data_metier!$B:$B,0)),{"Non Concerné";"Niveau 1";"Niveau 2";"Niveau 3";"Niveau 4"},0)-1),
1/6,0))</f>
        <v>2.9999999999999996</v>
      </c>
      <c r="Q18">
        <f>IF(DE_respon_transv!Q18=-1,-1,
DE_respon_transv!Q18+IF((MATCH(INDEX(Data_metier!$C:$C,MATCH($A18,Data_metier!$B:$B,0)),{"Non Concerné";"Niveau 1";"Niveau 2";"Niveau 3";"Niveau 4"},0)-1)&gt;(MATCH(INDEX(Data_metier!$C:$C,MATCH(Q$1,Data_metier!$B:$B,0)),{"Non Concerné";"Niveau 1";"Niveau 2";"Niveau 3";"Niveau 4"},0)-1),
1/6,0)+IF((MATCH(INDEX(Data_metier!$D:$D,MATCH($A18,Data_metier!$B:$B,0)),{"Non Concerné";"Niveau 1";"Niveau 2";"Niveau 3";"Niveau 4"},0)-1)&gt;(MATCH(INDEX(Data_metier!$D:$D,MATCH(Q$1,Data_metier!$B:$B,0)),{"Non Concerné";"Niveau 1";"Niveau 2";"Niveau 3";"Niveau 4"},0)-1),
1/6,0)+IF((MATCH(INDEX(Data_metier!$E:$E,MATCH($A18,Data_metier!$B:$B,0)),{"Non Concerné";"Niveau 1";"Niveau 2";"Niveau 3";"Niveau 4"},0)-1)&gt;(MATCH(INDEX(Data_metier!$E:$E,MATCH(Q$1,Data_metier!$B:$B,0)),{"Non Concerné";"Niveau 1";"Niveau 2";"Niveau 3";"Niveau 4"},0)-1),
1/6,0))</f>
        <v>1</v>
      </c>
      <c r="R18">
        <f>IF(DE_respon_transv!R18=-1,-1,
DE_respon_transv!R18+IF((MATCH(INDEX(Data_metier!$C:$C,MATCH($A18,Data_metier!$B:$B,0)),{"Non Concerné";"Niveau 1";"Niveau 2";"Niveau 3";"Niveau 4"},0)-1)&gt;(MATCH(INDEX(Data_metier!$C:$C,MATCH(R$1,Data_metier!$B:$B,0)),{"Non Concerné";"Niveau 1";"Niveau 2";"Niveau 3";"Niveau 4"},0)-1),
1/6,0)+IF((MATCH(INDEX(Data_metier!$D:$D,MATCH($A18,Data_metier!$B:$B,0)),{"Non Concerné";"Niveau 1";"Niveau 2";"Niveau 3";"Niveau 4"},0)-1)&gt;(MATCH(INDEX(Data_metier!$D:$D,MATCH(R$1,Data_metier!$B:$B,0)),{"Non Concerné";"Niveau 1";"Niveau 2";"Niveau 3";"Niveau 4"},0)-1),
1/6,0)+IF((MATCH(INDEX(Data_metier!$E:$E,MATCH($A18,Data_metier!$B:$B,0)),{"Non Concerné";"Niveau 1";"Niveau 2";"Niveau 3";"Niveau 4"},0)-1)&gt;(MATCH(INDEX(Data_metier!$E:$E,MATCH(R$1,Data_metier!$B:$B,0)),{"Non Concerné";"Niveau 1";"Niveau 2";"Niveau 3";"Niveau 4"},0)-1),
1/6,0))</f>
        <v>0</v>
      </c>
      <c r="S18">
        <f>IF(DE_respon_transv!S18=-1,-1,
DE_respon_transv!S18+IF((MATCH(INDEX(Data_metier!$C:$C,MATCH($A18,Data_metier!$B:$B,0)),{"Non Concerné";"Niveau 1";"Niveau 2";"Niveau 3";"Niveau 4"},0)-1)&gt;(MATCH(INDEX(Data_metier!$C:$C,MATCH(S$1,Data_metier!$B:$B,0)),{"Non Concerné";"Niveau 1";"Niveau 2";"Niveau 3";"Niveau 4"},0)-1),
1/6,0)+IF((MATCH(INDEX(Data_metier!$D:$D,MATCH($A18,Data_metier!$B:$B,0)),{"Non Concerné";"Niveau 1";"Niveau 2";"Niveau 3";"Niveau 4"},0)-1)&gt;(MATCH(INDEX(Data_metier!$D:$D,MATCH(S$1,Data_metier!$B:$B,0)),{"Non Concerné";"Niveau 1";"Niveau 2";"Niveau 3";"Niveau 4"},0)-1),
1/6,0)+IF((MATCH(INDEX(Data_metier!$E:$E,MATCH($A18,Data_metier!$B:$B,0)),{"Non Concerné";"Niveau 1";"Niveau 2";"Niveau 3";"Niveau 4"},0)-1)&gt;(MATCH(INDEX(Data_metier!$E:$E,MATCH(S$1,Data_metier!$B:$B,0)),{"Non Concerné";"Niveau 1";"Niveau 2";"Niveau 3";"Niveau 4"},0)-1),
1/6,0))</f>
        <v>2.9999999999999996</v>
      </c>
      <c r="T18">
        <f>IF(DE_respon_transv!T18=-1,-1,
DE_respon_transv!T18+IF((MATCH(INDEX(Data_metier!$C:$C,MATCH($A18,Data_metier!$B:$B,0)),{"Non Concerné";"Niveau 1";"Niveau 2";"Niveau 3";"Niveau 4"},0)-1)&gt;(MATCH(INDEX(Data_metier!$C:$C,MATCH(T$1,Data_metier!$B:$B,0)),{"Non Concerné";"Niveau 1";"Niveau 2";"Niveau 3";"Niveau 4"},0)-1),
1/6,0)+IF((MATCH(INDEX(Data_metier!$D:$D,MATCH($A18,Data_metier!$B:$B,0)),{"Non Concerné";"Niveau 1";"Niveau 2";"Niveau 3";"Niveau 4"},0)-1)&gt;(MATCH(INDEX(Data_metier!$D:$D,MATCH(T$1,Data_metier!$B:$B,0)),{"Non Concerné";"Niveau 1";"Niveau 2";"Niveau 3";"Niveau 4"},0)-1),
1/6,0)+IF((MATCH(INDEX(Data_metier!$E:$E,MATCH($A18,Data_metier!$B:$B,0)),{"Non Concerné";"Niveau 1";"Niveau 2";"Niveau 3";"Niveau 4"},0)-1)&gt;(MATCH(INDEX(Data_metier!$E:$E,MATCH(T$1,Data_metier!$B:$B,0)),{"Non Concerné";"Niveau 1";"Niveau 2";"Niveau 3";"Niveau 4"},0)-1),
1/6,0))</f>
        <v>2.9999999999999996</v>
      </c>
      <c r="U18">
        <f>IF(DE_respon_transv!U18=-1,-1,
DE_respon_transv!U18+IF((MATCH(INDEX(Data_metier!$C:$C,MATCH($A18,Data_metier!$B:$B,0)),{"Non Concerné";"Niveau 1";"Niveau 2";"Niveau 3";"Niveau 4"},0)-1)&gt;(MATCH(INDEX(Data_metier!$C:$C,MATCH(U$1,Data_metier!$B:$B,0)),{"Non Concerné";"Niveau 1";"Niveau 2";"Niveau 3";"Niveau 4"},0)-1),
1/6,0)+IF((MATCH(INDEX(Data_metier!$D:$D,MATCH($A18,Data_metier!$B:$B,0)),{"Non Concerné";"Niveau 1";"Niveau 2";"Niveau 3";"Niveau 4"},0)-1)&gt;(MATCH(INDEX(Data_metier!$D:$D,MATCH(U$1,Data_metier!$B:$B,0)),{"Non Concerné";"Niveau 1";"Niveau 2";"Niveau 3";"Niveau 4"},0)-1),
1/6,0)+IF((MATCH(INDEX(Data_metier!$E:$E,MATCH($A18,Data_metier!$B:$B,0)),{"Non Concerné";"Niveau 1";"Niveau 2";"Niveau 3";"Niveau 4"},0)-1)&gt;(MATCH(INDEX(Data_metier!$E:$E,MATCH(U$1,Data_metier!$B:$B,0)),{"Non Concerné";"Niveau 1";"Niveau 2";"Niveau 3";"Niveau 4"},0)-1),
1/6,0))</f>
        <v>2.9999999999999996</v>
      </c>
      <c r="V18">
        <f>IF(DE_respon_transv!V18=-1,-1,
DE_respon_transv!V18+IF((MATCH(INDEX(Data_metier!$C:$C,MATCH($A18,Data_metier!$B:$B,0)),{"Non Concerné";"Niveau 1";"Niveau 2";"Niveau 3";"Niveau 4"},0)-1)&gt;(MATCH(INDEX(Data_metier!$C:$C,MATCH(V$1,Data_metier!$B:$B,0)),{"Non Concerné";"Niveau 1";"Niveau 2";"Niveau 3";"Niveau 4"},0)-1),
1/6,0)+IF((MATCH(INDEX(Data_metier!$D:$D,MATCH($A18,Data_metier!$B:$B,0)),{"Non Concerné";"Niveau 1";"Niveau 2";"Niveau 3";"Niveau 4"},0)-1)&gt;(MATCH(INDEX(Data_metier!$D:$D,MATCH(V$1,Data_metier!$B:$B,0)),{"Non Concerné";"Niveau 1";"Niveau 2";"Niveau 3";"Niveau 4"},0)-1),
1/6,0)+IF((MATCH(INDEX(Data_metier!$E:$E,MATCH($A18,Data_metier!$B:$B,0)),{"Non Concerné";"Niveau 1";"Niveau 2";"Niveau 3";"Niveau 4"},0)-1)&gt;(MATCH(INDEX(Data_metier!$E:$E,MATCH(V$1,Data_metier!$B:$B,0)),{"Non Concerné";"Niveau 1";"Niveau 2";"Niveau 3";"Niveau 4"},0)-1),
1/6,0))</f>
        <v>2.9999999999999996</v>
      </c>
      <c r="W18">
        <f>IF(DE_respon_transv!W18=-1,-1,
DE_respon_transv!W18+IF((MATCH(INDEX(Data_metier!$C:$C,MATCH($A18,Data_metier!$B:$B,0)),{"Non Concerné";"Niveau 1";"Niveau 2";"Niveau 3";"Niveau 4"},0)-1)&gt;(MATCH(INDEX(Data_metier!$C:$C,MATCH(W$1,Data_metier!$B:$B,0)),{"Non Concerné";"Niveau 1";"Niveau 2";"Niveau 3";"Niveau 4"},0)-1),
1/6,0)+IF((MATCH(INDEX(Data_metier!$D:$D,MATCH($A18,Data_metier!$B:$B,0)),{"Non Concerné";"Niveau 1";"Niveau 2";"Niveau 3";"Niveau 4"},0)-1)&gt;(MATCH(INDEX(Data_metier!$D:$D,MATCH(W$1,Data_metier!$B:$B,0)),{"Non Concerné";"Niveau 1";"Niveau 2";"Niveau 3";"Niveau 4"},0)-1),
1/6,0)+IF((MATCH(INDEX(Data_metier!$E:$E,MATCH($A18,Data_metier!$B:$B,0)),{"Non Concerné";"Niveau 1";"Niveau 2";"Niveau 3";"Niveau 4"},0)-1)&gt;(MATCH(INDEX(Data_metier!$E:$E,MATCH(W$1,Data_metier!$B:$B,0)),{"Non Concerné";"Niveau 1";"Niveau 2";"Niveau 3";"Niveau 4"},0)-1),
1/6,0))</f>
        <v>2.4999999999999996</v>
      </c>
      <c r="X18">
        <f>IF(DE_respon_transv!X18=-1,-1,
DE_respon_transv!X18+IF((MATCH(INDEX(Data_metier!$C:$C,MATCH($A18,Data_metier!$B:$B,0)),{"Non Concerné";"Niveau 1";"Niveau 2";"Niveau 3";"Niveau 4"},0)-1)&gt;(MATCH(INDEX(Data_metier!$C:$C,MATCH(X$1,Data_metier!$B:$B,0)),{"Non Concerné";"Niveau 1";"Niveau 2";"Niveau 3";"Niveau 4"},0)-1),
1/6,0)+IF((MATCH(INDEX(Data_metier!$D:$D,MATCH($A18,Data_metier!$B:$B,0)),{"Non Concerné";"Niveau 1";"Niveau 2";"Niveau 3";"Niveau 4"},0)-1)&gt;(MATCH(INDEX(Data_metier!$D:$D,MATCH(X$1,Data_metier!$B:$B,0)),{"Non Concerné";"Niveau 1";"Niveau 2";"Niveau 3";"Niveau 4"},0)-1),
1/6,0)+IF((MATCH(INDEX(Data_metier!$E:$E,MATCH($A18,Data_metier!$B:$B,0)),{"Non Concerné";"Niveau 1";"Niveau 2";"Niveau 3";"Niveau 4"},0)-1)&gt;(MATCH(INDEX(Data_metier!$E:$E,MATCH(X$1,Data_metier!$B:$B,0)),{"Non Concerné";"Niveau 1";"Niveau 2";"Niveau 3";"Niveau 4"},0)-1),
1/6,0))</f>
        <v>1</v>
      </c>
      <c r="Y18">
        <f>IF(DE_respon_transv!Y18=-1,-1,
DE_respon_transv!Y18+IF((MATCH(INDEX(Data_metier!$C:$C,MATCH($A18,Data_metier!$B:$B,0)),{"Non Concerné";"Niveau 1";"Niveau 2";"Niveau 3";"Niveau 4"},0)-1)&gt;(MATCH(INDEX(Data_metier!$C:$C,MATCH(Y$1,Data_metier!$B:$B,0)),{"Non Concerné";"Niveau 1";"Niveau 2";"Niveau 3";"Niveau 4"},0)-1),
1/6,0)+IF((MATCH(INDEX(Data_metier!$D:$D,MATCH($A18,Data_metier!$B:$B,0)),{"Non Concerné";"Niveau 1";"Niveau 2";"Niveau 3";"Niveau 4"},0)-1)&gt;(MATCH(INDEX(Data_metier!$D:$D,MATCH(Y$1,Data_metier!$B:$B,0)),{"Non Concerné";"Niveau 1";"Niveau 2";"Niveau 3";"Niveau 4"},0)-1),
1/6,0)+IF((MATCH(INDEX(Data_metier!$E:$E,MATCH($A18,Data_metier!$B:$B,0)),{"Non Concerné";"Niveau 1";"Niveau 2";"Niveau 3";"Niveau 4"},0)-1)&gt;(MATCH(INDEX(Data_metier!$E:$E,MATCH(Y$1,Data_metier!$B:$B,0)),{"Non Concerné";"Niveau 1";"Niveau 2";"Niveau 3";"Niveau 4"},0)-1),
1/6,0))</f>
        <v>2.9999999999999996</v>
      </c>
      <c r="Z18">
        <f>IF(DE_respon_transv!Z18=-1,-1,
DE_respon_transv!Z18+IF((MATCH(INDEX(Data_metier!$C:$C,MATCH($A18,Data_metier!$B:$B,0)),{"Non Concerné";"Niveau 1";"Niveau 2";"Niveau 3";"Niveau 4"},0)-1)&gt;(MATCH(INDEX(Data_metier!$C:$C,MATCH(Z$1,Data_metier!$B:$B,0)),{"Non Concerné";"Niveau 1";"Niveau 2";"Niveau 3";"Niveau 4"},0)-1),
1/6,0)+IF((MATCH(INDEX(Data_metier!$D:$D,MATCH($A18,Data_metier!$B:$B,0)),{"Non Concerné";"Niveau 1";"Niveau 2";"Niveau 3";"Niveau 4"},0)-1)&gt;(MATCH(INDEX(Data_metier!$D:$D,MATCH(Z$1,Data_metier!$B:$B,0)),{"Non Concerné";"Niveau 1";"Niveau 2";"Niveau 3";"Niveau 4"},0)-1),
1/6,0)+IF((MATCH(INDEX(Data_metier!$E:$E,MATCH($A18,Data_metier!$B:$B,0)),{"Non Concerné";"Niveau 1";"Niveau 2";"Niveau 3";"Niveau 4"},0)-1)&gt;(MATCH(INDEX(Data_metier!$E:$E,MATCH(Z$1,Data_metier!$B:$B,0)),{"Non Concerné";"Niveau 1";"Niveau 2";"Niveau 3";"Niveau 4"},0)-1),
1/6,0))</f>
        <v>2.9999999999999996</v>
      </c>
      <c r="AA18">
        <f>IF(DE_respon_transv!AA18=-1,-1,
DE_respon_transv!AA18+IF((MATCH(INDEX(Data_metier!$C:$C,MATCH($A18,Data_metier!$B:$B,0)),{"Non Concerné";"Niveau 1";"Niveau 2";"Niveau 3";"Niveau 4"},0)-1)&gt;(MATCH(INDEX(Data_metier!$C:$C,MATCH(AA$1,Data_metier!$B:$B,0)),{"Non Concerné";"Niveau 1";"Niveau 2";"Niveau 3";"Niveau 4"},0)-1),
1/6,0)+IF((MATCH(INDEX(Data_metier!$D:$D,MATCH($A18,Data_metier!$B:$B,0)),{"Non Concerné";"Niveau 1";"Niveau 2";"Niveau 3";"Niveau 4"},0)-1)&gt;(MATCH(INDEX(Data_metier!$D:$D,MATCH(AA$1,Data_metier!$B:$B,0)),{"Non Concerné";"Niveau 1";"Niveau 2";"Niveau 3";"Niveau 4"},0)-1),
1/6,0)+IF((MATCH(INDEX(Data_metier!$E:$E,MATCH($A18,Data_metier!$B:$B,0)),{"Non Concerné";"Niveau 1";"Niveau 2";"Niveau 3";"Niveau 4"},0)-1)&gt;(MATCH(INDEX(Data_metier!$E:$E,MATCH(AA$1,Data_metier!$B:$B,0)),{"Non Concerné";"Niveau 1";"Niveau 2";"Niveau 3";"Niveau 4"},0)-1),
1/6,0))</f>
        <v>2.9999999999999996</v>
      </c>
      <c r="AB18">
        <f>IF(DE_respon_transv!AB18=-1,-1,
DE_respon_transv!AB18+IF((MATCH(INDEX(Data_metier!$C:$C,MATCH($A18,Data_metier!$B:$B,0)),{"Non Concerné";"Niveau 1";"Niveau 2";"Niveau 3";"Niveau 4"},0)-1)&gt;(MATCH(INDEX(Data_metier!$C:$C,MATCH(AB$1,Data_metier!$B:$B,0)),{"Non Concerné";"Niveau 1";"Niveau 2";"Niveau 3";"Niveau 4"},0)-1),
1/6,0)+IF((MATCH(INDEX(Data_metier!$D:$D,MATCH($A18,Data_metier!$B:$B,0)),{"Non Concerné";"Niveau 1";"Niveau 2";"Niveau 3";"Niveau 4"},0)-1)&gt;(MATCH(INDEX(Data_metier!$D:$D,MATCH(AB$1,Data_metier!$B:$B,0)),{"Non Concerné";"Niveau 1";"Niveau 2";"Niveau 3";"Niveau 4"},0)-1),
1/6,0)+IF((MATCH(INDEX(Data_metier!$E:$E,MATCH($A18,Data_metier!$B:$B,0)),{"Non Concerné";"Niveau 1";"Niveau 2";"Niveau 3";"Niveau 4"},0)-1)&gt;(MATCH(INDEX(Data_metier!$E:$E,MATCH(AB$1,Data_metier!$B:$B,0)),{"Non Concerné";"Niveau 1";"Niveau 2";"Niveau 3";"Niveau 4"},0)-1),
1/6,0))</f>
        <v>2.9999999999999996</v>
      </c>
      <c r="AC18">
        <f>IF(DE_respon_transv!AC18=-1,-1,
DE_respon_transv!AC18+IF((MATCH(INDEX(Data_metier!$C:$C,MATCH($A18,Data_metier!$B:$B,0)),{"Non Concerné";"Niveau 1";"Niveau 2";"Niveau 3";"Niveau 4"},0)-1)&gt;(MATCH(INDEX(Data_metier!$C:$C,MATCH(AC$1,Data_metier!$B:$B,0)),{"Non Concerné";"Niveau 1";"Niveau 2";"Niveau 3";"Niveau 4"},0)-1),
1/6,0)+IF((MATCH(INDEX(Data_metier!$D:$D,MATCH($A18,Data_metier!$B:$B,0)),{"Non Concerné";"Niveau 1";"Niveau 2";"Niveau 3";"Niveau 4"},0)-1)&gt;(MATCH(INDEX(Data_metier!$D:$D,MATCH(AC$1,Data_metier!$B:$B,0)),{"Non Concerné";"Niveau 1";"Niveau 2";"Niveau 3";"Niveau 4"},0)-1),
1/6,0)+IF((MATCH(INDEX(Data_metier!$E:$E,MATCH($A18,Data_metier!$B:$B,0)),{"Non Concerné";"Niveau 1";"Niveau 2";"Niveau 3";"Niveau 4"},0)-1)&gt;(MATCH(INDEX(Data_metier!$E:$E,MATCH(AC$1,Data_metier!$B:$B,0)),{"Non Concerné";"Niveau 1";"Niveau 2";"Niveau 3";"Niveau 4"},0)-1),
1/6,0))</f>
        <v>2.9999999999999996</v>
      </c>
      <c r="AD18">
        <f>IF(DE_respon_transv!AD18=-1,-1,
DE_respon_transv!AD18+IF((MATCH(INDEX(Data_metier!$C:$C,MATCH($A18,Data_metier!$B:$B,0)),{"Non Concerné";"Niveau 1";"Niveau 2";"Niveau 3";"Niveau 4"},0)-1)&gt;(MATCH(INDEX(Data_metier!$C:$C,MATCH(AD$1,Data_metier!$B:$B,0)),{"Non Concerné";"Niveau 1";"Niveau 2";"Niveau 3";"Niveau 4"},0)-1),
1/6,0)+IF((MATCH(INDEX(Data_metier!$D:$D,MATCH($A18,Data_metier!$B:$B,0)),{"Non Concerné";"Niveau 1";"Niveau 2";"Niveau 3";"Niveau 4"},0)-1)&gt;(MATCH(INDEX(Data_metier!$D:$D,MATCH(AD$1,Data_metier!$B:$B,0)),{"Non Concerné";"Niveau 1";"Niveau 2";"Niveau 3";"Niveau 4"},0)-1),
1/6,0)+IF((MATCH(INDEX(Data_metier!$E:$E,MATCH($A18,Data_metier!$B:$B,0)),{"Non Concerné";"Niveau 1";"Niveau 2";"Niveau 3";"Niveau 4"},0)-1)&gt;(MATCH(INDEX(Data_metier!$E:$E,MATCH(AD$1,Data_metier!$B:$B,0)),{"Non Concerné";"Niveau 1";"Niveau 2";"Niveau 3";"Niveau 4"},0)-1),
1/6,0))</f>
        <v>2.9999999999999996</v>
      </c>
    </row>
    <row r="19" spans="1:30">
      <c r="A19" t="str">
        <v>Opérateur(trice) de production alimentaire</v>
      </c>
      <c r="B19">
        <f>IF(DE_respon_transv!B19=-1,-1,
DE_respon_transv!B19+IF((MATCH(INDEX(Data_metier!$C:$C,MATCH($A19,Data_metier!$B:$B,0)),{"Non Concerné";"Niveau 1";"Niveau 2";"Niveau 3";"Niveau 4"},0)-1)&gt;(MATCH(INDEX(Data_metier!$C:$C,MATCH(B$1,Data_metier!$B:$B,0)),{"Non Concerné";"Niveau 1";"Niveau 2";"Niveau 3";"Niveau 4"},0)-1),
1/6,0)+IF((MATCH(INDEX(Data_metier!$D:$D,MATCH($A19,Data_metier!$B:$B,0)),{"Non Concerné";"Niveau 1";"Niveau 2";"Niveau 3";"Niveau 4"},0)-1)&gt;(MATCH(INDEX(Data_metier!$D:$D,MATCH(B$1,Data_metier!$B:$B,0)),{"Non Concerné";"Niveau 1";"Niveau 2";"Niveau 3";"Niveau 4"},0)-1),
1/6,0)+IF((MATCH(INDEX(Data_metier!$E:$E,MATCH($A19,Data_metier!$B:$B,0)),{"Non Concerné";"Niveau 1";"Niveau 2";"Niveau 3";"Niveau 4"},0)-1)&gt;(MATCH(INDEX(Data_metier!$E:$E,MATCH(B$1,Data_metier!$B:$B,0)),{"Non Concerné";"Niveau 1";"Niveau 2";"Niveau 3";"Niveau 4"},0)-1),
1/6,0))</f>
        <v>-1</v>
      </c>
      <c r="C19">
        <f>IF(DE_respon_transv!C19=-1,-1,
DE_respon_transv!C19+IF((MATCH(INDEX(Data_metier!$C:$C,MATCH($A19,Data_metier!$B:$B,0)),{"Non Concerné";"Niveau 1";"Niveau 2";"Niveau 3";"Niveau 4"},0)-1)&gt;(MATCH(INDEX(Data_metier!$C:$C,MATCH(C$1,Data_metier!$B:$B,0)),{"Non Concerné";"Niveau 1";"Niveau 2";"Niveau 3";"Niveau 4"},0)-1),
1/6,0)+IF((MATCH(INDEX(Data_metier!$D:$D,MATCH($A19,Data_metier!$B:$B,0)),{"Non Concerné";"Niveau 1";"Niveau 2";"Niveau 3";"Niveau 4"},0)-1)&gt;(MATCH(INDEX(Data_metier!$D:$D,MATCH(C$1,Data_metier!$B:$B,0)),{"Non Concerné";"Niveau 1";"Niveau 2";"Niveau 3";"Niveau 4"},0)-1),
1/6,0)+IF((MATCH(INDEX(Data_metier!$E:$E,MATCH($A19,Data_metier!$B:$B,0)),{"Non Concerné";"Niveau 1";"Niveau 2";"Niveau 3";"Niveau 4"},0)-1)&gt;(MATCH(INDEX(Data_metier!$E:$E,MATCH(C$1,Data_metier!$B:$B,0)),{"Non Concerné";"Niveau 1";"Niveau 2";"Niveau 3";"Niveau 4"},0)-1),
1/6,0))</f>
        <v>-1</v>
      </c>
      <c r="D19">
        <f>IF(DE_respon_transv!D19=-1,-1,
DE_respon_transv!D19+IF((MATCH(INDEX(Data_metier!$C:$C,MATCH($A19,Data_metier!$B:$B,0)),{"Non Concerné";"Niveau 1";"Niveau 2";"Niveau 3";"Niveau 4"},0)-1)&gt;(MATCH(INDEX(Data_metier!$C:$C,MATCH(D$1,Data_metier!$B:$B,0)),{"Non Concerné";"Niveau 1";"Niveau 2";"Niveau 3";"Niveau 4"},0)-1),
1/6,0)+IF((MATCH(INDEX(Data_metier!$D:$D,MATCH($A19,Data_metier!$B:$B,0)),{"Non Concerné";"Niveau 1";"Niveau 2";"Niveau 3";"Niveau 4"},0)-1)&gt;(MATCH(INDEX(Data_metier!$D:$D,MATCH(D$1,Data_metier!$B:$B,0)),{"Non Concerné";"Niveau 1";"Niveau 2";"Niveau 3";"Niveau 4"},0)-1),
1/6,0)+IF((MATCH(INDEX(Data_metier!$E:$E,MATCH($A19,Data_metier!$B:$B,0)),{"Non Concerné";"Niveau 1";"Niveau 2";"Niveau 3";"Niveau 4"},0)-1)&gt;(MATCH(INDEX(Data_metier!$E:$E,MATCH(D$1,Data_metier!$B:$B,0)),{"Non Concerné";"Niveau 1";"Niveau 2";"Niveau 3";"Niveau 4"},0)-1),
1/6,0))</f>
        <v>0</v>
      </c>
      <c r="E19">
        <f>IF(DE_respon_transv!E19=-1,-1,
DE_respon_transv!E19+IF((MATCH(INDEX(Data_metier!$C:$C,MATCH($A19,Data_metier!$B:$B,0)),{"Non Concerné";"Niveau 1";"Niveau 2";"Niveau 3";"Niveau 4"},0)-1)&gt;(MATCH(INDEX(Data_metier!$C:$C,MATCH(E$1,Data_metier!$B:$B,0)),{"Non Concerné";"Niveau 1";"Niveau 2";"Niveau 3";"Niveau 4"},0)-1),
1/6,0)+IF((MATCH(INDEX(Data_metier!$D:$D,MATCH($A19,Data_metier!$B:$B,0)),{"Non Concerné";"Niveau 1";"Niveau 2";"Niveau 3";"Niveau 4"},0)-1)&gt;(MATCH(INDEX(Data_metier!$D:$D,MATCH(E$1,Data_metier!$B:$B,0)),{"Non Concerné";"Niveau 1";"Niveau 2";"Niveau 3";"Niveau 4"},0)-1),
1/6,0)+IF((MATCH(INDEX(Data_metier!$E:$E,MATCH($A19,Data_metier!$B:$B,0)),{"Non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19">
        <f>IF(DE_respon_transv!F19=-1,-1,
DE_respon_transv!F19+IF((MATCH(INDEX(Data_metier!$C:$C,MATCH($A19,Data_metier!$B:$B,0)),{"Non Concerné";"Niveau 1";"Niveau 2";"Niveau 3";"Niveau 4"},0)-1)&gt;(MATCH(INDEX(Data_metier!$C:$C,MATCH(F$1,Data_metier!$B:$B,0)),{"Non Concerné";"Niveau 1";"Niveau 2";"Niveau 3";"Niveau 4"},0)-1),
1/6,0)+IF((MATCH(INDEX(Data_metier!$D:$D,MATCH($A19,Data_metier!$B:$B,0)),{"Non Concerné";"Niveau 1";"Niveau 2";"Niveau 3";"Niveau 4"},0)-1)&gt;(MATCH(INDEX(Data_metier!$D:$D,MATCH(F$1,Data_metier!$B:$B,0)),{"Non Concerné";"Niveau 1";"Niveau 2";"Niveau 3";"Niveau 4"},0)-1),
1/6,0)+IF((MATCH(INDEX(Data_metier!$E:$E,MATCH($A19,Data_metier!$B:$B,0)),{"Non Concerné";"Niveau 1";"Niveau 2";"Niveau 3";"Niveau 4"},0)-1)&gt;(MATCH(INDEX(Data_metier!$E:$E,MATCH(F$1,Data_metier!$B:$B,0)),{"Non Concerné";"Niveau 1";"Niveau 2";"Niveau 3";"Niveau 4"},0)-1),
1/6,0))</f>
        <v>-1</v>
      </c>
      <c r="G19">
        <f>IF(DE_respon_transv!G19=-1,-1,
DE_respon_transv!G19+IF((MATCH(INDEX(Data_metier!$C:$C,MATCH($A19,Data_metier!$B:$B,0)),{"Non Concerné";"Niveau 1";"Niveau 2";"Niveau 3";"Niveau 4"},0)-1)&gt;(MATCH(INDEX(Data_metier!$C:$C,MATCH(G$1,Data_metier!$B:$B,0)),{"Non Concerné";"Niveau 1";"Niveau 2";"Niveau 3";"Niveau 4"},0)-1),
1/6,0)+IF((MATCH(INDEX(Data_metier!$D:$D,MATCH($A19,Data_metier!$B:$B,0)),{"Non Concerné";"Niveau 1";"Niveau 2";"Niveau 3";"Niveau 4"},0)-1)&gt;(MATCH(INDEX(Data_metier!$D:$D,MATCH(G$1,Data_metier!$B:$B,0)),{"Non Concerné";"Niveau 1";"Niveau 2";"Niveau 3";"Niveau 4"},0)-1),
1/6,0)+IF((MATCH(INDEX(Data_metier!$E:$E,MATCH($A19,Data_metier!$B:$B,0)),{"Non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19">
        <f>IF(DE_respon_transv!H19=-1,-1,
DE_respon_transv!H19+IF((MATCH(INDEX(Data_metier!$C:$C,MATCH($A19,Data_metier!$B:$B,0)),{"Non Concerné";"Niveau 1";"Niveau 2";"Niveau 3";"Niveau 4"},0)-1)&gt;(MATCH(INDEX(Data_metier!$C:$C,MATCH(H$1,Data_metier!$B:$B,0)),{"Non Concerné";"Niveau 1";"Niveau 2";"Niveau 3";"Niveau 4"},0)-1),
1/6,0)+IF((MATCH(INDEX(Data_metier!$D:$D,MATCH($A19,Data_metier!$B:$B,0)),{"Non Concerné";"Niveau 1";"Niveau 2";"Niveau 3";"Niveau 4"},0)-1)&gt;(MATCH(INDEX(Data_metier!$D:$D,MATCH(H$1,Data_metier!$B:$B,0)),{"Non Concerné";"Niveau 1";"Niveau 2";"Niveau 3";"Niveau 4"},0)-1),
1/6,0)+IF((MATCH(INDEX(Data_metier!$E:$E,MATCH($A19,Data_metier!$B:$B,0)),{"Non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19">
        <f>IF(DE_respon_transv!I19=-1,-1,
DE_respon_transv!I19+IF((MATCH(INDEX(Data_metier!$C:$C,MATCH($A19,Data_metier!$B:$B,0)),{"Non Concerné";"Niveau 1";"Niveau 2";"Niveau 3";"Niveau 4"},0)-1)&gt;(MATCH(INDEX(Data_metier!$C:$C,MATCH(I$1,Data_metier!$B:$B,0)),{"Non Concerné";"Niveau 1";"Niveau 2";"Niveau 3";"Niveau 4"},0)-1),
1/6,0)+IF((MATCH(INDEX(Data_metier!$D:$D,MATCH($A19,Data_metier!$B:$B,0)),{"Non Concerné";"Niveau 1";"Niveau 2";"Niveau 3";"Niveau 4"},0)-1)&gt;(MATCH(INDEX(Data_metier!$D:$D,MATCH(I$1,Data_metier!$B:$B,0)),{"Non Concerné";"Niveau 1";"Niveau 2";"Niveau 3";"Niveau 4"},0)-1),
1/6,0)+IF((MATCH(INDEX(Data_metier!$E:$E,MATCH($A19,Data_metier!$B:$B,0)),{"Non Concerné";"Niveau 1";"Niveau 2";"Niveau 3";"Niveau 4"},0)-1)&gt;(MATCH(INDEX(Data_metier!$E:$E,MATCH(I$1,Data_metier!$B:$B,0)),{"Non Concerné";"Niveau 1";"Niveau 2";"Niveau 3";"Niveau 4"},0)-1),
1/6,0))</f>
        <v>0</v>
      </c>
      <c r="J19">
        <f>IF(DE_respon_transv!J19=-1,-1,
DE_respon_transv!J19+IF((MATCH(INDEX(Data_metier!$C:$C,MATCH($A19,Data_metier!$B:$B,0)),{"Non Concerné";"Niveau 1";"Niveau 2";"Niveau 3";"Niveau 4"},0)-1)&gt;(MATCH(INDEX(Data_metier!$C:$C,MATCH(J$1,Data_metier!$B:$B,0)),{"Non Concerné";"Niveau 1";"Niveau 2";"Niveau 3";"Niveau 4"},0)-1),
1/6,0)+IF((MATCH(INDEX(Data_metier!$D:$D,MATCH($A19,Data_metier!$B:$B,0)),{"Non Concerné";"Niveau 1";"Niveau 2";"Niveau 3";"Niveau 4"},0)-1)&gt;(MATCH(INDEX(Data_metier!$D:$D,MATCH(J$1,Data_metier!$B:$B,0)),{"Non Concerné";"Niveau 1";"Niveau 2";"Niveau 3";"Niveau 4"},0)-1),
1/6,0)+IF((MATCH(INDEX(Data_metier!$E:$E,MATCH($A19,Data_metier!$B:$B,0)),{"Non Concerné";"Niveau 1";"Niveau 2";"Niveau 3";"Niveau 4"},0)-1)&gt;(MATCH(INDEX(Data_metier!$E:$E,MATCH(J$1,Data_metier!$B:$B,0)),{"Non Concerné";"Niveau 1";"Niveau 2";"Niveau 3";"Niveau 4"},0)-1),
1/6,0))</f>
        <v>-1</v>
      </c>
      <c r="K19">
        <f>IF(DE_respon_transv!K19=-1,-1,
DE_respon_transv!K19+IF((MATCH(INDEX(Data_metier!$C:$C,MATCH($A19,Data_metier!$B:$B,0)),{"Non Concerné";"Niveau 1";"Niveau 2";"Niveau 3";"Niveau 4"},0)-1)&gt;(MATCH(INDEX(Data_metier!$C:$C,MATCH(K$1,Data_metier!$B:$B,0)),{"Non Concerné";"Niveau 1";"Niveau 2";"Niveau 3";"Niveau 4"},0)-1),
1/6,0)+IF((MATCH(INDEX(Data_metier!$D:$D,MATCH($A19,Data_metier!$B:$B,0)),{"Non Concerné";"Niveau 1";"Niveau 2";"Niveau 3";"Niveau 4"},0)-1)&gt;(MATCH(INDEX(Data_metier!$D:$D,MATCH(K$1,Data_metier!$B:$B,0)),{"Non Concerné";"Niveau 1";"Niveau 2";"Niveau 3";"Niveau 4"},0)-1),
1/6,0)+IF((MATCH(INDEX(Data_metier!$E:$E,MATCH($A19,Data_metier!$B:$B,0)),{"Non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19">
        <f>IF(DE_respon_transv!L19=-1,-1,
DE_respon_transv!L19+IF((MATCH(INDEX(Data_metier!$C:$C,MATCH($A19,Data_metier!$B:$B,0)),{"Non Concerné";"Niveau 1";"Niveau 2";"Niveau 3";"Niveau 4"},0)-1)&gt;(MATCH(INDEX(Data_metier!$C:$C,MATCH(L$1,Data_metier!$B:$B,0)),{"Non Concerné";"Niveau 1";"Niveau 2";"Niveau 3";"Niveau 4"},0)-1),
1/6,0)+IF((MATCH(INDEX(Data_metier!$D:$D,MATCH($A19,Data_metier!$B:$B,0)),{"Non Concerné";"Niveau 1";"Niveau 2";"Niveau 3";"Niveau 4"},0)-1)&gt;(MATCH(INDEX(Data_metier!$D:$D,MATCH(L$1,Data_metier!$B:$B,0)),{"Non Concerné";"Niveau 1";"Niveau 2";"Niveau 3";"Niveau 4"},0)-1),
1/6,0)+IF((MATCH(INDEX(Data_metier!$E:$E,MATCH($A19,Data_metier!$B:$B,0)),{"Non Concerné";"Niveau 1";"Niveau 2";"Niveau 3";"Niveau 4"},0)-1)&gt;(MATCH(INDEX(Data_metier!$E:$E,MATCH(L$1,Data_metier!$B:$B,0)),{"Non Concerné";"Niveau 1";"Niveau 2";"Niveau 3";"Niveau 4"},0)-1),
1/6,0))</f>
        <v>0</v>
      </c>
      <c r="M19">
        <f>IF(DE_respon_transv!M19=-1,-1,
DE_respon_transv!M19+IF((MATCH(INDEX(Data_metier!$C:$C,MATCH($A19,Data_metier!$B:$B,0)),{"Non Concerné";"Niveau 1";"Niveau 2";"Niveau 3";"Niveau 4"},0)-1)&gt;(MATCH(INDEX(Data_metier!$C:$C,MATCH(M$1,Data_metier!$B:$B,0)),{"Non Concerné";"Niveau 1";"Niveau 2";"Niveau 3";"Niveau 4"},0)-1),
1/6,0)+IF((MATCH(INDEX(Data_metier!$D:$D,MATCH($A19,Data_metier!$B:$B,0)),{"Non Concerné";"Niveau 1";"Niveau 2";"Niveau 3";"Niveau 4"},0)-1)&gt;(MATCH(INDEX(Data_metier!$D:$D,MATCH(M$1,Data_metier!$B:$B,0)),{"Non Concerné";"Niveau 1";"Niveau 2";"Niveau 3";"Niveau 4"},0)-1),
1/6,0)+IF((MATCH(INDEX(Data_metier!$E:$E,MATCH($A19,Data_metier!$B:$B,0)),{"Non Concerné";"Niveau 1";"Niveau 2";"Niveau 3";"Niveau 4"},0)-1)&gt;(MATCH(INDEX(Data_metier!$E:$E,MATCH(M$1,Data_metier!$B:$B,0)),{"Non Concerné";"Niveau 1";"Niveau 2";"Niveau 3";"Niveau 4"},0)-1),
1/6,0))</f>
        <v>-1</v>
      </c>
      <c r="N19">
        <f>IF(DE_respon_transv!N19=-1,-1,
DE_respon_transv!N19+IF((MATCH(INDEX(Data_metier!$C:$C,MATCH($A19,Data_metier!$B:$B,0)),{"Non Concerné";"Niveau 1";"Niveau 2";"Niveau 3";"Niveau 4"},0)-1)&gt;(MATCH(INDEX(Data_metier!$C:$C,MATCH(N$1,Data_metier!$B:$B,0)),{"Non Concerné";"Niveau 1";"Niveau 2";"Niveau 3";"Niveau 4"},0)-1),
1/6,0)+IF((MATCH(INDEX(Data_metier!$D:$D,MATCH($A19,Data_metier!$B:$B,0)),{"Non Concerné";"Niveau 1";"Niveau 2";"Niveau 3";"Niveau 4"},0)-1)&gt;(MATCH(INDEX(Data_metier!$D:$D,MATCH(N$1,Data_metier!$B:$B,0)),{"Non Concerné";"Niveau 1";"Niveau 2";"Niveau 3";"Niveau 4"},0)-1),
1/6,0)+IF((MATCH(INDEX(Data_metier!$E:$E,MATCH($A19,Data_metier!$B:$B,0)),{"Non Concerné";"Niveau 1";"Niveau 2";"Niveau 3";"Niveau 4"},0)-1)&gt;(MATCH(INDEX(Data_metier!$E:$E,MATCH(N$1,Data_metier!$B:$B,0)),{"Non Concerné";"Niveau 1";"Niveau 2";"Niveau 3";"Niveau 4"},0)-1),
1/6,0))</f>
        <v>-1</v>
      </c>
      <c r="O19">
        <f>IF(DE_respon_transv!O19=-1,-1,
DE_respon_transv!O19+IF((MATCH(INDEX(Data_metier!$C:$C,MATCH($A19,Data_metier!$B:$B,0)),{"Non Concerné";"Niveau 1";"Niveau 2";"Niveau 3";"Niveau 4"},0)-1)&gt;(MATCH(INDEX(Data_metier!$C:$C,MATCH(O$1,Data_metier!$B:$B,0)),{"Non Concerné";"Niveau 1";"Niveau 2";"Niveau 3";"Niveau 4"},0)-1),
1/6,0)+IF((MATCH(INDEX(Data_metier!$D:$D,MATCH($A19,Data_metier!$B:$B,0)),{"Non Concerné";"Niveau 1";"Niveau 2";"Niveau 3";"Niveau 4"},0)-1)&gt;(MATCH(INDEX(Data_metier!$D:$D,MATCH(O$1,Data_metier!$B:$B,0)),{"Non Concerné";"Niveau 1";"Niveau 2";"Niveau 3";"Niveau 4"},0)-1),
1/6,0)+IF((MATCH(INDEX(Data_metier!$E:$E,MATCH($A19,Data_metier!$B:$B,0)),{"Non Concerné";"Niveau 1";"Niveau 2";"Niveau 3";"Niveau 4"},0)-1)&gt;(MATCH(INDEX(Data_metier!$E:$E,MATCH(O$1,Data_metier!$B:$B,0)),{"Non Concerné";"Niveau 1";"Niveau 2";"Niveau 3";"Niveau 4"},0)-1),
1/6,0))</f>
        <v>0</v>
      </c>
      <c r="P19">
        <f>IF(DE_respon_transv!P19=-1,-1,
DE_respon_transv!P19+IF((MATCH(INDEX(Data_metier!$C:$C,MATCH($A19,Data_metier!$B:$B,0)),{"Non Concerné";"Niveau 1";"Niveau 2";"Niveau 3";"Niveau 4"},0)-1)&gt;(MATCH(INDEX(Data_metier!$C:$C,MATCH(P$1,Data_metier!$B:$B,0)),{"Non Concerné";"Niveau 1";"Niveau 2";"Niveau 3";"Niveau 4"},0)-1),
1/6,0)+IF((MATCH(INDEX(Data_metier!$D:$D,MATCH($A19,Data_metier!$B:$B,0)),{"Non Concerné";"Niveau 1";"Niveau 2";"Niveau 3";"Niveau 4"},0)-1)&gt;(MATCH(INDEX(Data_metier!$D:$D,MATCH(P$1,Data_metier!$B:$B,0)),{"Non Concerné";"Niveau 1";"Niveau 2";"Niveau 3";"Niveau 4"},0)-1),
1/6,0)+IF((MATCH(INDEX(Data_metier!$E:$E,MATCH($A19,Data_metier!$B:$B,0)),{"Non Concerné";"Niveau 1";"Niveau 2";"Niveau 3";"Niveau 4"},0)-1)&gt;(MATCH(INDEX(Data_metier!$E:$E,MATCH(P$1,Data_metier!$B:$B,0)),{"Non Concerné";"Niveau 1";"Niveau 2";"Niveau 3";"Niveau 4"},0)-1),
1/6,0))</f>
        <v>0</v>
      </c>
      <c r="Q19">
        <f>IF(DE_respon_transv!Q19=-1,-1,
DE_respon_transv!Q19+IF((MATCH(INDEX(Data_metier!$C:$C,MATCH($A19,Data_metier!$B:$B,0)),{"Non Concerné";"Niveau 1";"Niveau 2";"Niveau 3";"Niveau 4"},0)-1)&gt;(MATCH(INDEX(Data_metier!$C:$C,MATCH(Q$1,Data_metier!$B:$B,0)),{"Non Concerné";"Niveau 1";"Niveau 2";"Niveau 3";"Niveau 4"},0)-1),
1/6,0)+IF((MATCH(INDEX(Data_metier!$D:$D,MATCH($A19,Data_metier!$B:$B,0)),{"Non Concerné";"Niveau 1";"Niveau 2";"Niveau 3";"Niveau 4"},0)-1)&gt;(MATCH(INDEX(Data_metier!$D:$D,MATCH(Q$1,Data_metier!$B:$B,0)),{"Non Concerné";"Niveau 1";"Niveau 2";"Niveau 3";"Niveau 4"},0)-1),
1/6,0)+IF((MATCH(INDEX(Data_metier!$E:$E,MATCH($A19,Data_metier!$B:$B,0)),{"Non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19">
        <f>IF(DE_respon_transv!R19=-1,-1,
DE_respon_transv!R19+IF((MATCH(INDEX(Data_metier!$C:$C,MATCH($A19,Data_metier!$B:$B,0)),{"Non Concerné";"Niveau 1";"Niveau 2";"Niveau 3";"Niveau 4"},0)-1)&gt;(MATCH(INDEX(Data_metier!$C:$C,MATCH(R$1,Data_metier!$B:$B,0)),{"Non Concerné";"Niveau 1";"Niveau 2";"Niveau 3";"Niveau 4"},0)-1),
1/6,0)+IF((MATCH(INDEX(Data_metier!$D:$D,MATCH($A19,Data_metier!$B:$B,0)),{"Non Concerné";"Niveau 1";"Niveau 2";"Niveau 3";"Niveau 4"},0)-1)&gt;(MATCH(INDEX(Data_metier!$D:$D,MATCH(R$1,Data_metier!$B:$B,0)),{"Non Concerné";"Niveau 1";"Niveau 2";"Niveau 3";"Niveau 4"},0)-1),
1/6,0)+IF((MATCH(INDEX(Data_metier!$E:$E,MATCH($A19,Data_metier!$B:$B,0)),{"Non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19">
        <f>IF(DE_respon_transv!S19=-1,-1,
DE_respon_transv!S19+IF((MATCH(INDEX(Data_metier!$C:$C,MATCH($A19,Data_metier!$B:$B,0)),{"Non Concerné";"Niveau 1";"Niveau 2";"Niveau 3";"Niveau 4"},0)-1)&gt;(MATCH(INDEX(Data_metier!$C:$C,MATCH(S$1,Data_metier!$B:$B,0)),{"Non Concerné";"Niveau 1";"Niveau 2";"Niveau 3";"Niveau 4"},0)-1),
1/6,0)+IF((MATCH(INDEX(Data_metier!$D:$D,MATCH($A19,Data_metier!$B:$B,0)),{"Non Concerné";"Niveau 1";"Niveau 2";"Niveau 3";"Niveau 4"},0)-1)&gt;(MATCH(INDEX(Data_metier!$D:$D,MATCH(S$1,Data_metier!$B:$B,0)),{"Non Concerné";"Niveau 1";"Niveau 2";"Niveau 3";"Niveau 4"},0)-1),
1/6,0)+IF((MATCH(INDEX(Data_metier!$E:$E,MATCH($A19,Data_metier!$B:$B,0)),{"Non Concerné";"Niveau 1";"Niveau 2";"Niveau 3";"Niveau 4"},0)-1)&gt;(MATCH(INDEX(Data_metier!$E:$E,MATCH(S$1,Data_metier!$B:$B,0)),{"Non Concerné";"Niveau 1";"Niveau 2";"Niveau 3";"Niveau 4"},0)-1),
1/6,0))</f>
        <v>0</v>
      </c>
      <c r="T19">
        <f>IF(DE_respon_transv!T19=-1,-1,
DE_respon_transv!T19+IF((MATCH(INDEX(Data_metier!$C:$C,MATCH($A19,Data_metier!$B:$B,0)),{"Non Concerné";"Niveau 1";"Niveau 2";"Niveau 3";"Niveau 4"},0)-1)&gt;(MATCH(INDEX(Data_metier!$C:$C,MATCH(T$1,Data_metier!$B:$B,0)),{"Non Concerné";"Niveau 1";"Niveau 2";"Niveau 3";"Niveau 4"},0)-1),
1/6,0)+IF((MATCH(INDEX(Data_metier!$D:$D,MATCH($A19,Data_metier!$B:$B,0)),{"Non Concerné";"Niveau 1";"Niveau 2";"Niveau 3";"Niveau 4"},0)-1)&gt;(MATCH(INDEX(Data_metier!$D:$D,MATCH(T$1,Data_metier!$B:$B,0)),{"Non Concerné";"Niveau 1";"Niveau 2";"Niveau 3";"Niveau 4"},0)-1),
1/6,0)+IF((MATCH(INDEX(Data_metier!$E:$E,MATCH($A19,Data_metier!$B:$B,0)),{"Non Concerné";"Niveau 1";"Niveau 2";"Niveau 3";"Niveau 4"},0)-1)&gt;(MATCH(INDEX(Data_metier!$E:$E,MATCH(T$1,Data_metier!$B:$B,0)),{"Non Concerné";"Niveau 1";"Niveau 2";"Niveau 3";"Niveau 4"},0)-1),
1/6,0))</f>
        <v>0</v>
      </c>
      <c r="U19">
        <f>IF(DE_respon_transv!U19=-1,-1,
DE_respon_transv!U19+IF((MATCH(INDEX(Data_metier!$C:$C,MATCH($A19,Data_metier!$B:$B,0)),{"Non Concerné";"Niveau 1";"Niveau 2";"Niveau 3";"Niveau 4"},0)-1)&gt;(MATCH(INDEX(Data_metier!$C:$C,MATCH(U$1,Data_metier!$B:$B,0)),{"Non Concerné";"Niveau 1";"Niveau 2";"Niveau 3";"Niveau 4"},0)-1),
1/6,0)+IF((MATCH(INDEX(Data_metier!$D:$D,MATCH($A19,Data_metier!$B:$B,0)),{"Non Concerné";"Niveau 1";"Niveau 2";"Niveau 3";"Niveau 4"},0)-1)&gt;(MATCH(INDEX(Data_metier!$D:$D,MATCH(U$1,Data_metier!$B:$B,0)),{"Non Concerné";"Niveau 1";"Niveau 2";"Niveau 3";"Niveau 4"},0)-1),
1/6,0)+IF((MATCH(INDEX(Data_metier!$E:$E,MATCH($A19,Data_metier!$B:$B,0)),{"Non Concerné";"Niveau 1";"Niveau 2";"Niveau 3";"Niveau 4"},0)-1)&gt;(MATCH(INDEX(Data_metier!$E:$E,MATCH(U$1,Data_metier!$B:$B,0)),{"Non Concerné";"Niveau 1";"Niveau 2";"Niveau 3";"Niveau 4"},0)-1),
1/6,0))</f>
        <v>0</v>
      </c>
      <c r="V19">
        <f>IF(DE_respon_transv!V19=-1,-1,
DE_respon_transv!V19+IF((MATCH(INDEX(Data_metier!$C:$C,MATCH($A19,Data_metier!$B:$B,0)),{"Non Concerné";"Niveau 1";"Niveau 2";"Niveau 3";"Niveau 4"},0)-1)&gt;(MATCH(INDEX(Data_metier!$C:$C,MATCH(V$1,Data_metier!$B:$B,0)),{"Non Concerné";"Niveau 1";"Niveau 2";"Niveau 3";"Niveau 4"},0)-1),
1/6,0)+IF((MATCH(INDEX(Data_metier!$D:$D,MATCH($A19,Data_metier!$B:$B,0)),{"Non Concerné";"Niveau 1";"Niveau 2";"Niveau 3";"Niveau 4"},0)-1)&gt;(MATCH(INDEX(Data_metier!$D:$D,MATCH(V$1,Data_metier!$B:$B,0)),{"Non Concerné";"Niveau 1";"Niveau 2";"Niveau 3";"Niveau 4"},0)-1),
1/6,0)+IF((MATCH(INDEX(Data_metier!$E:$E,MATCH($A19,Data_metier!$B:$B,0)),{"Non Concerné";"Niveau 1";"Niveau 2";"Niveau 3";"Niveau 4"},0)-1)&gt;(MATCH(INDEX(Data_metier!$E:$E,MATCH(V$1,Data_metier!$B:$B,0)),{"Non Concerné";"Niveau 1";"Niveau 2";"Niveau 3";"Niveau 4"},0)-1),
1/6,0))</f>
        <v>-1</v>
      </c>
      <c r="W19">
        <f>IF(DE_respon_transv!W19=-1,-1,
DE_respon_transv!W19+IF((MATCH(INDEX(Data_metier!$C:$C,MATCH($A19,Data_metier!$B:$B,0)),{"Non Concerné";"Niveau 1";"Niveau 2";"Niveau 3";"Niveau 4"},0)-1)&gt;(MATCH(INDEX(Data_metier!$C:$C,MATCH(W$1,Data_metier!$B:$B,0)),{"Non Concerné";"Niveau 1";"Niveau 2";"Niveau 3";"Niveau 4"},0)-1),
1/6,0)+IF((MATCH(INDEX(Data_metier!$D:$D,MATCH($A19,Data_metier!$B:$B,0)),{"Non Concerné";"Niveau 1";"Niveau 2";"Niveau 3";"Niveau 4"},0)-1)&gt;(MATCH(INDEX(Data_metier!$D:$D,MATCH(W$1,Data_metier!$B:$B,0)),{"Non Concerné";"Niveau 1";"Niveau 2";"Niveau 3";"Niveau 4"},0)-1),
1/6,0)+IF((MATCH(INDEX(Data_metier!$E:$E,MATCH($A19,Data_metier!$B:$B,0)),{"Non Concerné";"Niveau 1";"Niveau 2";"Niveau 3";"Niveau 4"},0)-1)&gt;(MATCH(INDEX(Data_metier!$E:$E,MATCH(W$1,Data_metier!$B:$B,0)),{"Non Concerné";"Niveau 1";"Niveau 2";"Niveau 3";"Niveau 4"},0)-1),
1/6,0))</f>
        <v>-1</v>
      </c>
      <c r="X19">
        <f>IF(DE_respon_transv!X19=-1,-1,
DE_respon_transv!X19+IF((MATCH(INDEX(Data_metier!$C:$C,MATCH($A19,Data_metier!$B:$B,0)),{"Non Concerné";"Niveau 1";"Niveau 2";"Niveau 3";"Niveau 4"},0)-1)&gt;(MATCH(INDEX(Data_metier!$C:$C,MATCH(X$1,Data_metier!$B:$B,0)),{"Non Concerné";"Niveau 1";"Niveau 2";"Niveau 3";"Niveau 4"},0)-1),
1/6,0)+IF((MATCH(INDEX(Data_metier!$D:$D,MATCH($A19,Data_metier!$B:$B,0)),{"Non Concerné";"Niveau 1";"Niveau 2";"Niveau 3";"Niveau 4"},0)-1)&gt;(MATCH(INDEX(Data_metier!$D:$D,MATCH(X$1,Data_metier!$B:$B,0)),{"Non Concerné";"Niveau 1";"Niveau 2";"Niveau 3";"Niveau 4"},0)-1),
1/6,0)+IF((MATCH(INDEX(Data_metier!$E:$E,MATCH($A19,Data_metier!$B:$B,0)),{"Non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19">
        <f>IF(DE_respon_transv!Y19=-1,-1,
DE_respon_transv!Y19+IF((MATCH(INDEX(Data_metier!$C:$C,MATCH($A19,Data_metier!$B:$B,0)),{"Non Concerné";"Niveau 1";"Niveau 2";"Niveau 3";"Niveau 4"},0)-1)&gt;(MATCH(INDEX(Data_metier!$C:$C,MATCH(Y$1,Data_metier!$B:$B,0)),{"Non Concerné";"Niveau 1";"Niveau 2";"Niveau 3";"Niveau 4"},0)-1),
1/6,0)+IF((MATCH(INDEX(Data_metier!$D:$D,MATCH($A19,Data_metier!$B:$B,0)),{"Non Concerné";"Niveau 1";"Niveau 2";"Niveau 3";"Niveau 4"},0)-1)&gt;(MATCH(INDEX(Data_metier!$D:$D,MATCH(Y$1,Data_metier!$B:$B,0)),{"Non Concerné";"Niveau 1";"Niveau 2";"Niveau 3";"Niveau 4"},0)-1),
1/6,0)+IF((MATCH(INDEX(Data_metier!$E:$E,MATCH($A19,Data_metier!$B:$B,0)),{"Non Concerné";"Niveau 1";"Niveau 2";"Niveau 3";"Niveau 4"},0)-1)&gt;(MATCH(INDEX(Data_metier!$E:$E,MATCH(Y$1,Data_metier!$B:$B,0)),{"Non Concerné";"Niveau 1";"Niveau 2";"Niveau 3";"Niveau 4"},0)-1),
1/6,0))</f>
        <v>0</v>
      </c>
      <c r="Z19">
        <f>IF(DE_respon_transv!Z19=-1,-1,
DE_respon_transv!Z19+IF((MATCH(INDEX(Data_metier!$C:$C,MATCH($A19,Data_metier!$B:$B,0)),{"Non Concerné";"Niveau 1";"Niveau 2";"Niveau 3";"Niveau 4"},0)-1)&gt;(MATCH(INDEX(Data_metier!$C:$C,MATCH(Z$1,Data_metier!$B:$B,0)),{"Non Concerné";"Niveau 1";"Niveau 2";"Niveau 3";"Niveau 4"},0)-1),
1/6,0)+IF((MATCH(INDEX(Data_metier!$D:$D,MATCH($A19,Data_metier!$B:$B,0)),{"Non Concerné";"Niveau 1";"Niveau 2";"Niveau 3";"Niveau 4"},0)-1)&gt;(MATCH(INDEX(Data_metier!$D:$D,MATCH(Z$1,Data_metier!$B:$B,0)),{"Non Concerné";"Niveau 1";"Niveau 2";"Niveau 3";"Niveau 4"},0)-1),
1/6,0)+IF((MATCH(INDEX(Data_metier!$E:$E,MATCH($A19,Data_metier!$B:$B,0)),{"Non Concerné";"Niveau 1";"Niveau 2";"Niveau 3";"Niveau 4"},0)-1)&gt;(MATCH(INDEX(Data_metier!$E:$E,MATCH(Z$1,Data_metier!$B:$B,0)),{"Non Concerné";"Niveau 1";"Niveau 2";"Niveau 3";"Niveau 4"},0)-1),
1/6,0))</f>
        <v>0</v>
      </c>
      <c r="AA19">
        <f>IF(DE_respon_transv!AA19=-1,-1,
DE_respon_transv!AA19+IF((MATCH(INDEX(Data_metier!$C:$C,MATCH($A19,Data_metier!$B:$B,0)),{"Non Concerné";"Niveau 1";"Niveau 2";"Niveau 3";"Niveau 4"},0)-1)&gt;(MATCH(INDEX(Data_metier!$C:$C,MATCH(AA$1,Data_metier!$B:$B,0)),{"Non Concerné";"Niveau 1";"Niveau 2";"Niveau 3";"Niveau 4"},0)-1),
1/6,0)+IF((MATCH(INDEX(Data_metier!$D:$D,MATCH($A19,Data_metier!$B:$B,0)),{"Non Concerné";"Niveau 1";"Niveau 2";"Niveau 3";"Niveau 4"},0)-1)&gt;(MATCH(INDEX(Data_metier!$D:$D,MATCH(AA$1,Data_metier!$B:$B,0)),{"Non Concerné";"Niveau 1";"Niveau 2";"Niveau 3";"Niveau 4"},0)-1),
1/6,0)+IF((MATCH(INDEX(Data_metier!$E:$E,MATCH($A19,Data_metier!$B:$B,0)),{"Non Concerné";"Niveau 1";"Niveau 2";"Niveau 3";"Niveau 4"},0)-1)&gt;(MATCH(INDEX(Data_metier!$E:$E,MATCH(AA$1,Data_metier!$B:$B,0)),{"Non Concerné";"Niveau 1";"Niveau 2";"Niveau 3";"Niveau 4"},0)-1),
1/6,0))</f>
        <v>0</v>
      </c>
      <c r="AB19">
        <f>IF(DE_respon_transv!AB19=-1,-1,
DE_respon_transv!AB19+IF((MATCH(INDEX(Data_metier!$C:$C,MATCH($A19,Data_metier!$B:$B,0)),{"Non Concerné";"Niveau 1";"Niveau 2";"Niveau 3";"Niveau 4"},0)-1)&gt;(MATCH(INDEX(Data_metier!$C:$C,MATCH(AB$1,Data_metier!$B:$B,0)),{"Non Concerné";"Niveau 1";"Niveau 2";"Niveau 3";"Niveau 4"},0)-1),
1/6,0)+IF((MATCH(INDEX(Data_metier!$D:$D,MATCH($A19,Data_metier!$B:$B,0)),{"Non Concerné";"Niveau 1";"Niveau 2";"Niveau 3";"Niveau 4"},0)-1)&gt;(MATCH(INDEX(Data_metier!$D:$D,MATCH(AB$1,Data_metier!$B:$B,0)),{"Non Concerné";"Niveau 1";"Niveau 2";"Niveau 3";"Niveau 4"},0)-1),
1/6,0)+IF((MATCH(INDEX(Data_metier!$E:$E,MATCH($A19,Data_metier!$B:$B,0)),{"Non Concerné";"Niveau 1";"Niveau 2";"Niveau 3";"Niveau 4"},0)-1)&gt;(MATCH(INDEX(Data_metier!$E:$E,MATCH(AB$1,Data_metier!$B:$B,0)),{"Non Concerné";"Niveau 1";"Niveau 2";"Niveau 3";"Niveau 4"},0)-1),
1/6,0))</f>
        <v>-1</v>
      </c>
      <c r="AC19">
        <f>IF(DE_respon_transv!AC19=-1,-1,
DE_respon_transv!AC19+IF((MATCH(INDEX(Data_metier!$C:$C,MATCH($A19,Data_metier!$B:$B,0)),{"Non Concerné";"Niveau 1";"Niveau 2";"Niveau 3";"Niveau 4"},0)-1)&gt;(MATCH(INDEX(Data_metier!$C:$C,MATCH(AC$1,Data_metier!$B:$B,0)),{"Non Concerné";"Niveau 1";"Niveau 2";"Niveau 3";"Niveau 4"},0)-1),
1/6,0)+IF((MATCH(INDEX(Data_metier!$D:$D,MATCH($A19,Data_metier!$B:$B,0)),{"Non Concerné";"Niveau 1";"Niveau 2";"Niveau 3";"Niveau 4"},0)-1)&gt;(MATCH(INDEX(Data_metier!$D:$D,MATCH(AC$1,Data_metier!$B:$B,0)),{"Non Concerné";"Niveau 1";"Niveau 2";"Niveau 3";"Niveau 4"},0)-1),
1/6,0)+IF((MATCH(INDEX(Data_metier!$E:$E,MATCH($A19,Data_metier!$B:$B,0)),{"Non Concerné";"Niveau 1";"Niveau 2";"Niveau 3";"Niveau 4"},0)-1)&gt;(MATCH(INDEX(Data_metier!$E:$E,MATCH(AC$1,Data_metier!$B:$B,0)),{"Non Concerné";"Niveau 1";"Niveau 2";"Niveau 3";"Niveau 4"},0)-1),
1/6,0))</f>
        <v>-1</v>
      </c>
      <c r="AD19">
        <f>IF(DE_respon_transv!AD19=-1,-1,
DE_respon_transv!AD19+IF((MATCH(INDEX(Data_metier!$C:$C,MATCH($A19,Data_metier!$B:$B,0)),{"Non Concerné";"Niveau 1";"Niveau 2";"Niveau 3";"Niveau 4"},0)-1)&gt;(MATCH(INDEX(Data_metier!$C:$C,MATCH(AD$1,Data_metier!$B:$B,0)),{"Non Concerné";"Niveau 1";"Niveau 2";"Niveau 3";"Niveau 4"},0)-1),
1/6,0)+IF((MATCH(INDEX(Data_metier!$D:$D,MATCH($A19,Data_metier!$B:$B,0)),{"Non Concerné";"Niveau 1";"Niveau 2";"Niveau 3";"Niveau 4"},0)-1)&gt;(MATCH(INDEX(Data_metier!$D:$D,MATCH(AD$1,Data_metier!$B:$B,0)),{"Non Concerné";"Niveau 1";"Niveau 2";"Niveau 3";"Niveau 4"},0)-1),
1/6,0)+IF((MATCH(INDEX(Data_metier!$E:$E,MATCH($A19,Data_metier!$B:$B,0)),{"Non Concerné";"Niveau 1";"Niveau 2";"Niveau 3";"Niveau 4"},0)-1)&gt;(MATCH(INDEX(Data_metier!$E:$E,MATCH(AD$1,Data_metier!$B:$B,0)),{"Non Concerné";"Niveau 1";"Niveau 2";"Niveau 3";"Niveau 4"},0)-1),
1/6,0))</f>
        <v>-1</v>
      </c>
    </row>
    <row r="20" spans="1:30">
      <c r="A20" t="str">
        <v>Conducteur(trice) de machine(s) de production alimentaire (fabrication / conditionnement)</v>
      </c>
      <c r="B20">
        <f>IF(DE_respon_transv!B20=-1,-1,
DE_respon_transv!B20+IF((MATCH(INDEX(Data_metier!$C:$C,MATCH($A20,Data_metier!$B:$B,0)),{"Non Concerné";"Niveau 1";"Niveau 2";"Niveau 3";"Niveau 4"},0)-1)&gt;(MATCH(INDEX(Data_metier!$C:$C,MATCH(B$1,Data_metier!$B:$B,0)),{"Non Concerné";"Niveau 1";"Niveau 2";"Niveau 3";"Niveau 4"},0)-1),
1/6,0)+IF((MATCH(INDEX(Data_metier!$D:$D,MATCH($A20,Data_metier!$B:$B,0)),{"Non Concerné";"Niveau 1";"Niveau 2";"Niveau 3";"Niveau 4"},0)-1)&gt;(MATCH(INDEX(Data_metier!$D:$D,MATCH(B$1,Data_metier!$B:$B,0)),{"Non Concerné";"Niveau 1";"Niveau 2";"Niveau 3";"Niveau 4"},0)-1),
1/6,0)+IF((MATCH(INDEX(Data_metier!$E:$E,MATCH($A20,Data_metier!$B:$B,0)),{"Non Concerné";"Niveau 1";"Niveau 2";"Niveau 3";"Niveau 4"},0)-1)&gt;(MATCH(INDEX(Data_metier!$E:$E,MATCH(B$1,Data_metier!$B:$B,0)),{"Non Concerné";"Niveau 1";"Niveau 2";"Niveau 3";"Niveau 4"},0)-1),
1/6,0))</f>
        <v>-1</v>
      </c>
      <c r="C20">
        <f>IF(DE_respon_transv!C20=-1,-1,
DE_respon_transv!C20+IF((MATCH(INDEX(Data_metier!$C:$C,MATCH($A20,Data_metier!$B:$B,0)),{"Non Concerné";"Niveau 1";"Niveau 2";"Niveau 3";"Niveau 4"},0)-1)&gt;(MATCH(INDEX(Data_metier!$C:$C,MATCH(C$1,Data_metier!$B:$B,0)),{"Non Concerné";"Niveau 1";"Niveau 2";"Niveau 3";"Niveau 4"},0)-1),
1/6,0)+IF((MATCH(INDEX(Data_metier!$D:$D,MATCH($A20,Data_metier!$B:$B,0)),{"Non Concerné";"Niveau 1";"Niveau 2";"Niveau 3";"Niveau 4"},0)-1)&gt;(MATCH(INDEX(Data_metier!$D:$D,MATCH(C$1,Data_metier!$B:$B,0)),{"Non Concerné";"Niveau 1";"Niveau 2";"Niveau 3";"Niveau 4"},0)-1),
1/6,0)+IF((MATCH(INDEX(Data_metier!$E:$E,MATCH($A20,Data_metier!$B:$B,0)),{"Non Concerné";"Niveau 1";"Niveau 2";"Niveau 3";"Niveau 4"},0)-1)&gt;(MATCH(INDEX(Data_metier!$E:$E,MATCH(C$1,Data_metier!$B:$B,0)),{"Non Concerné";"Niveau 1";"Niveau 2";"Niveau 3";"Niveau 4"},0)-1),
1/6,0))</f>
        <v>-1</v>
      </c>
      <c r="D20">
        <f>IF(DE_respon_transv!D20=-1,-1,
DE_respon_transv!D20+IF((MATCH(INDEX(Data_metier!$C:$C,MATCH($A20,Data_metier!$B:$B,0)),{"Non Concerné";"Niveau 1";"Niveau 2";"Niveau 3";"Niveau 4"},0)-1)&gt;(MATCH(INDEX(Data_metier!$C:$C,MATCH(D$1,Data_metier!$B:$B,0)),{"Non Concerné";"Niveau 1";"Niveau 2";"Niveau 3";"Niveau 4"},0)-1),
1/6,0)+IF((MATCH(INDEX(Data_metier!$D:$D,MATCH($A20,Data_metier!$B:$B,0)),{"Non Concerné";"Niveau 1";"Niveau 2";"Niveau 3";"Niveau 4"},0)-1)&gt;(MATCH(INDEX(Data_metier!$D:$D,MATCH(D$1,Data_metier!$B:$B,0)),{"Non Concerné";"Niveau 1";"Niveau 2";"Niveau 3";"Niveau 4"},0)-1),
1/6,0)+IF((MATCH(INDEX(Data_metier!$E:$E,MATCH($A20,Data_metier!$B:$B,0)),{"Non Concerné";"Niveau 1";"Niveau 2";"Niveau 3";"Niveau 4"},0)-1)&gt;(MATCH(INDEX(Data_metier!$E:$E,MATCH(D$1,Data_metier!$B:$B,0)),{"Non Concerné";"Niveau 1";"Niveau 2";"Niveau 3";"Niveau 4"},0)-1),
1/6,0))</f>
        <v>0.16666666666666666</v>
      </c>
      <c r="E20">
        <f>IF(DE_respon_transv!E20=-1,-1,
DE_respon_transv!E20+IF((MATCH(INDEX(Data_metier!$C:$C,MATCH($A20,Data_metier!$B:$B,0)),{"Non Concerné";"Niveau 1";"Niveau 2";"Niveau 3";"Niveau 4"},0)-1)&gt;(MATCH(INDEX(Data_metier!$C:$C,MATCH(E$1,Data_metier!$B:$B,0)),{"Non Concerné";"Niveau 1";"Niveau 2";"Niveau 3";"Niveau 4"},0)-1),
1/6,0)+IF((MATCH(INDEX(Data_metier!$D:$D,MATCH($A20,Data_metier!$B:$B,0)),{"Non Concerné";"Niveau 1";"Niveau 2";"Niveau 3";"Niveau 4"},0)-1)&gt;(MATCH(INDEX(Data_metier!$D:$D,MATCH(E$1,Data_metier!$B:$B,0)),{"Non Concerné";"Niveau 1";"Niveau 2";"Niveau 3";"Niveau 4"},0)-1),
1/6,0)+IF((MATCH(INDEX(Data_metier!$E:$E,MATCH($A20,Data_metier!$B:$B,0)),{"Non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20">
        <f>IF(DE_respon_transv!F20=-1,-1,
DE_respon_transv!F20+IF((MATCH(INDEX(Data_metier!$C:$C,MATCH($A20,Data_metier!$B:$B,0)),{"Non Concerné";"Niveau 1";"Niveau 2";"Niveau 3";"Niveau 4"},0)-1)&gt;(MATCH(INDEX(Data_metier!$C:$C,MATCH(F$1,Data_metier!$B:$B,0)),{"Non Concerné";"Niveau 1";"Niveau 2";"Niveau 3";"Niveau 4"},0)-1),
1/6,0)+IF((MATCH(INDEX(Data_metier!$D:$D,MATCH($A20,Data_metier!$B:$B,0)),{"Non Concerné";"Niveau 1";"Niveau 2";"Niveau 3";"Niveau 4"},0)-1)&gt;(MATCH(INDEX(Data_metier!$D:$D,MATCH(F$1,Data_metier!$B:$B,0)),{"Non Concerné";"Niveau 1";"Niveau 2";"Niveau 3";"Niveau 4"},0)-1),
1/6,0)+IF((MATCH(INDEX(Data_metier!$E:$E,MATCH($A20,Data_metier!$B:$B,0)),{"Non Concerné";"Niveau 1";"Niveau 2";"Niveau 3";"Niveau 4"},0)-1)&gt;(MATCH(INDEX(Data_metier!$E:$E,MATCH(F$1,Data_metier!$B:$B,0)),{"Non Concerné";"Niveau 1";"Niveau 2";"Niveau 3";"Niveau 4"},0)-1),
1/6,0))</f>
        <v>-1</v>
      </c>
      <c r="G20">
        <f>IF(DE_respon_transv!G20=-1,-1,
DE_respon_transv!G20+IF((MATCH(INDEX(Data_metier!$C:$C,MATCH($A20,Data_metier!$B:$B,0)),{"Non Concerné";"Niveau 1";"Niveau 2";"Niveau 3";"Niveau 4"},0)-1)&gt;(MATCH(INDEX(Data_metier!$C:$C,MATCH(G$1,Data_metier!$B:$B,0)),{"Non Concerné";"Niveau 1";"Niveau 2";"Niveau 3";"Niveau 4"},0)-1),
1/6,0)+IF((MATCH(INDEX(Data_metier!$D:$D,MATCH($A20,Data_metier!$B:$B,0)),{"Non Concerné";"Niveau 1";"Niveau 2";"Niveau 3";"Niveau 4"},0)-1)&gt;(MATCH(INDEX(Data_metier!$D:$D,MATCH(G$1,Data_metier!$B:$B,0)),{"Non Concerné";"Niveau 1";"Niveau 2";"Niveau 3";"Niveau 4"},0)-1),
1/6,0)+IF((MATCH(INDEX(Data_metier!$E:$E,MATCH($A20,Data_metier!$B:$B,0)),{"Non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20">
        <f>IF(DE_respon_transv!H20=-1,-1,
DE_respon_transv!H20+IF((MATCH(INDEX(Data_metier!$C:$C,MATCH($A20,Data_metier!$B:$B,0)),{"Non Concerné";"Niveau 1";"Niveau 2";"Niveau 3";"Niveau 4"},0)-1)&gt;(MATCH(INDEX(Data_metier!$C:$C,MATCH(H$1,Data_metier!$B:$B,0)),{"Non Concerné";"Niveau 1";"Niveau 2";"Niveau 3";"Niveau 4"},0)-1),
1/6,0)+IF((MATCH(INDEX(Data_metier!$D:$D,MATCH($A20,Data_metier!$B:$B,0)),{"Non Concerné";"Niveau 1";"Niveau 2";"Niveau 3";"Niveau 4"},0)-1)&gt;(MATCH(INDEX(Data_metier!$D:$D,MATCH(H$1,Data_metier!$B:$B,0)),{"Non Concerné";"Niveau 1";"Niveau 2";"Niveau 3";"Niveau 4"},0)-1),
1/6,0)+IF((MATCH(INDEX(Data_metier!$E:$E,MATCH($A20,Data_metier!$B:$B,0)),{"Non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20">
        <f>IF(DE_respon_transv!I20=-1,-1,
DE_respon_transv!I20+IF((MATCH(INDEX(Data_metier!$C:$C,MATCH($A20,Data_metier!$B:$B,0)),{"Non Concerné";"Niveau 1";"Niveau 2";"Niveau 3";"Niveau 4"},0)-1)&gt;(MATCH(INDEX(Data_metier!$C:$C,MATCH(I$1,Data_metier!$B:$B,0)),{"Non Concerné";"Niveau 1";"Niveau 2";"Niveau 3";"Niveau 4"},0)-1),
1/6,0)+IF((MATCH(INDEX(Data_metier!$D:$D,MATCH($A20,Data_metier!$B:$B,0)),{"Non Concerné";"Niveau 1";"Niveau 2";"Niveau 3";"Niveau 4"},0)-1)&gt;(MATCH(INDEX(Data_metier!$D:$D,MATCH(I$1,Data_metier!$B:$B,0)),{"Non Concerné";"Niveau 1";"Niveau 2";"Niveau 3";"Niveau 4"},0)-1),
1/6,0)+IF((MATCH(INDEX(Data_metier!$E:$E,MATCH($A20,Data_metier!$B:$B,0)),{"Non Concerné";"Niveau 1";"Niveau 2";"Niveau 3";"Niveau 4"},0)-1)&gt;(MATCH(INDEX(Data_metier!$E:$E,MATCH(I$1,Data_metier!$B:$B,0)),{"Non Concerné";"Niveau 1";"Niveau 2";"Niveau 3";"Niveau 4"},0)-1),
1/6,0))</f>
        <v>0.16666666666666666</v>
      </c>
      <c r="J20">
        <f>IF(DE_respon_transv!J20=-1,-1,
DE_respon_transv!J20+IF((MATCH(INDEX(Data_metier!$C:$C,MATCH($A20,Data_metier!$B:$B,0)),{"Non Concerné";"Niveau 1";"Niveau 2";"Niveau 3";"Niveau 4"},0)-1)&gt;(MATCH(INDEX(Data_metier!$C:$C,MATCH(J$1,Data_metier!$B:$B,0)),{"Non Concerné";"Niveau 1";"Niveau 2";"Niveau 3";"Niveau 4"},0)-1),
1/6,0)+IF((MATCH(INDEX(Data_metier!$D:$D,MATCH($A20,Data_metier!$B:$B,0)),{"Non Concerné";"Niveau 1";"Niveau 2";"Niveau 3";"Niveau 4"},0)-1)&gt;(MATCH(INDEX(Data_metier!$D:$D,MATCH(J$1,Data_metier!$B:$B,0)),{"Non Concerné";"Niveau 1";"Niveau 2";"Niveau 3";"Niveau 4"},0)-1),
1/6,0)+IF((MATCH(INDEX(Data_metier!$E:$E,MATCH($A20,Data_metier!$B:$B,0)),{"Non Concerné";"Niveau 1";"Niveau 2";"Niveau 3";"Niveau 4"},0)-1)&gt;(MATCH(INDEX(Data_metier!$E:$E,MATCH(J$1,Data_metier!$B:$B,0)),{"Non Concerné";"Niveau 1";"Niveau 2";"Niveau 3";"Niveau 4"},0)-1),
1/6,0))</f>
        <v>-1</v>
      </c>
      <c r="K20">
        <f>IF(DE_respon_transv!K20=-1,-1,
DE_respon_transv!K20+IF((MATCH(INDEX(Data_metier!$C:$C,MATCH($A20,Data_metier!$B:$B,0)),{"Non Concerné";"Niveau 1";"Niveau 2";"Niveau 3";"Niveau 4"},0)-1)&gt;(MATCH(INDEX(Data_metier!$C:$C,MATCH(K$1,Data_metier!$B:$B,0)),{"Non Concerné";"Niveau 1";"Niveau 2";"Niveau 3";"Niveau 4"},0)-1),
1/6,0)+IF((MATCH(INDEX(Data_metier!$D:$D,MATCH($A20,Data_metier!$B:$B,0)),{"Non Concerné";"Niveau 1";"Niveau 2";"Niveau 3";"Niveau 4"},0)-1)&gt;(MATCH(INDEX(Data_metier!$D:$D,MATCH(K$1,Data_metier!$B:$B,0)),{"Non Concerné";"Niveau 1";"Niveau 2";"Niveau 3";"Niveau 4"},0)-1),
1/6,0)+IF((MATCH(INDEX(Data_metier!$E:$E,MATCH($A20,Data_metier!$B:$B,0)),{"Non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20">
        <f>IF(DE_respon_transv!L20=-1,-1,
DE_respon_transv!L20+IF((MATCH(INDEX(Data_metier!$C:$C,MATCH($A20,Data_metier!$B:$B,0)),{"Non Concerné";"Niveau 1";"Niveau 2";"Niveau 3";"Niveau 4"},0)-1)&gt;(MATCH(INDEX(Data_metier!$C:$C,MATCH(L$1,Data_metier!$B:$B,0)),{"Non Concerné";"Niveau 1";"Niveau 2";"Niveau 3";"Niveau 4"},0)-1),
1/6,0)+IF((MATCH(INDEX(Data_metier!$D:$D,MATCH($A20,Data_metier!$B:$B,0)),{"Non Concerné";"Niveau 1";"Niveau 2";"Niveau 3";"Niveau 4"},0)-1)&gt;(MATCH(INDEX(Data_metier!$D:$D,MATCH(L$1,Data_metier!$B:$B,0)),{"Non Concerné";"Niveau 1";"Niveau 2";"Niveau 3";"Niveau 4"},0)-1),
1/6,0)+IF((MATCH(INDEX(Data_metier!$E:$E,MATCH($A20,Data_metier!$B:$B,0)),{"Non Concerné";"Niveau 1";"Niveau 2";"Niveau 3";"Niveau 4"},0)-1)&gt;(MATCH(INDEX(Data_metier!$E:$E,MATCH(L$1,Data_metier!$B:$B,0)),{"Non Concerné";"Niveau 1";"Niveau 2";"Niveau 3";"Niveau 4"},0)-1),
1/6,0))</f>
        <v>0</v>
      </c>
      <c r="M20">
        <f>IF(DE_respon_transv!M20=-1,-1,
DE_respon_transv!M20+IF((MATCH(INDEX(Data_metier!$C:$C,MATCH($A20,Data_metier!$B:$B,0)),{"Non Concerné";"Niveau 1";"Niveau 2";"Niveau 3";"Niveau 4"},0)-1)&gt;(MATCH(INDEX(Data_metier!$C:$C,MATCH(M$1,Data_metier!$B:$B,0)),{"Non Concerné";"Niveau 1";"Niveau 2";"Niveau 3";"Niveau 4"},0)-1),
1/6,0)+IF((MATCH(INDEX(Data_metier!$D:$D,MATCH($A20,Data_metier!$B:$B,0)),{"Non Concerné";"Niveau 1";"Niveau 2";"Niveau 3";"Niveau 4"},0)-1)&gt;(MATCH(INDEX(Data_metier!$D:$D,MATCH(M$1,Data_metier!$B:$B,0)),{"Non Concerné";"Niveau 1";"Niveau 2";"Niveau 3";"Niveau 4"},0)-1),
1/6,0)+IF((MATCH(INDEX(Data_metier!$E:$E,MATCH($A20,Data_metier!$B:$B,0)),{"Non Concerné";"Niveau 1";"Niveau 2";"Niveau 3";"Niveau 4"},0)-1)&gt;(MATCH(INDEX(Data_metier!$E:$E,MATCH(M$1,Data_metier!$B:$B,0)),{"Non Concerné";"Niveau 1";"Niveau 2";"Niveau 3";"Niveau 4"},0)-1),
1/6,0))</f>
        <v>-1</v>
      </c>
      <c r="N20">
        <f>IF(DE_respon_transv!N20=-1,-1,
DE_respon_transv!N20+IF((MATCH(INDEX(Data_metier!$C:$C,MATCH($A20,Data_metier!$B:$B,0)),{"Non Concerné";"Niveau 1";"Niveau 2";"Niveau 3";"Niveau 4"},0)-1)&gt;(MATCH(INDEX(Data_metier!$C:$C,MATCH(N$1,Data_metier!$B:$B,0)),{"Non Concerné";"Niveau 1";"Niveau 2";"Niveau 3";"Niveau 4"},0)-1),
1/6,0)+IF((MATCH(INDEX(Data_metier!$D:$D,MATCH($A20,Data_metier!$B:$B,0)),{"Non Concerné";"Niveau 1";"Niveau 2";"Niveau 3";"Niveau 4"},0)-1)&gt;(MATCH(INDEX(Data_metier!$D:$D,MATCH(N$1,Data_metier!$B:$B,0)),{"Non Concerné";"Niveau 1";"Niveau 2";"Niveau 3";"Niveau 4"},0)-1),
1/6,0)+IF((MATCH(INDEX(Data_metier!$E:$E,MATCH($A20,Data_metier!$B:$B,0)),{"Non Concerné";"Niveau 1";"Niveau 2";"Niveau 3";"Niveau 4"},0)-1)&gt;(MATCH(INDEX(Data_metier!$E:$E,MATCH(N$1,Data_metier!$B:$B,0)),{"Non Concerné";"Niveau 1";"Niveau 2";"Niveau 3";"Niveau 4"},0)-1),
1/6,0))</f>
        <v>-1</v>
      </c>
      <c r="O20">
        <f>IF(DE_respon_transv!O20=-1,-1,
DE_respon_transv!O20+IF((MATCH(INDEX(Data_metier!$C:$C,MATCH($A20,Data_metier!$B:$B,0)),{"Non Concerné";"Niveau 1";"Niveau 2";"Niveau 3";"Niveau 4"},0)-1)&gt;(MATCH(INDEX(Data_metier!$C:$C,MATCH(O$1,Data_metier!$B:$B,0)),{"Non Concerné";"Niveau 1";"Niveau 2";"Niveau 3";"Niveau 4"},0)-1),
1/6,0)+IF((MATCH(INDEX(Data_metier!$D:$D,MATCH($A20,Data_metier!$B:$B,0)),{"Non Concerné";"Niveau 1";"Niveau 2";"Niveau 3";"Niveau 4"},0)-1)&gt;(MATCH(INDEX(Data_metier!$D:$D,MATCH(O$1,Data_metier!$B:$B,0)),{"Non Concerné";"Niveau 1";"Niveau 2";"Niveau 3";"Niveau 4"},0)-1),
1/6,0)+IF((MATCH(INDEX(Data_metier!$E:$E,MATCH($A20,Data_metier!$B:$B,0)),{"Non Concerné";"Niveau 1";"Niveau 2";"Niveau 3";"Niveau 4"},0)-1)&gt;(MATCH(INDEX(Data_metier!$E:$E,MATCH(O$1,Data_metier!$B:$B,0)),{"Non Concerné";"Niveau 1";"Niveau 2";"Niveau 3";"Niveau 4"},0)-1),
1/6,0))</f>
        <v>0</v>
      </c>
      <c r="P20">
        <f>IF(DE_respon_transv!P20=-1,-1,
DE_respon_transv!P20+IF((MATCH(INDEX(Data_metier!$C:$C,MATCH($A20,Data_metier!$B:$B,0)),{"Non Concerné";"Niveau 1";"Niveau 2";"Niveau 3";"Niveau 4"},0)-1)&gt;(MATCH(INDEX(Data_metier!$C:$C,MATCH(P$1,Data_metier!$B:$B,0)),{"Non Concerné";"Niveau 1";"Niveau 2";"Niveau 3";"Niveau 4"},0)-1),
1/6,0)+IF((MATCH(INDEX(Data_metier!$D:$D,MATCH($A20,Data_metier!$B:$B,0)),{"Non Concerné";"Niveau 1";"Niveau 2";"Niveau 3";"Niveau 4"},0)-1)&gt;(MATCH(INDEX(Data_metier!$D:$D,MATCH(P$1,Data_metier!$B:$B,0)),{"Non Concerné";"Niveau 1";"Niveau 2";"Niveau 3";"Niveau 4"},0)-1),
1/6,0)+IF((MATCH(INDEX(Data_metier!$E:$E,MATCH($A20,Data_metier!$B:$B,0)),{"Non Concerné";"Niveau 1";"Niveau 2";"Niveau 3";"Niveau 4"},0)-1)&gt;(MATCH(INDEX(Data_metier!$E:$E,MATCH(P$1,Data_metier!$B:$B,0)),{"Non Concerné";"Niveau 1";"Niveau 2";"Niveau 3";"Niveau 4"},0)-1),
1/6,0))</f>
        <v>0.16666666666666666</v>
      </c>
      <c r="Q20">
        <f>IF(DE_respon_transv!Q20=-1,-1,
DE_respon_transv!Q20+IF((MATCH(INDEX(Data_metier!$C:$C,MATCH($A20,Data_metier!$B:$B,0)),{"Non Concerné";"Niveau 1";"Niveau 2";"Niveau 3";"Niveau 4"},0)-1)&gt;(MATCH(INDEX(Data_metier!$C:$C,MATCH(Q$1,Data_metier!$B:$B,0)),{"Non Concerné";"Niveau 1";"Niveau 2";"Niveau 3";"Niveau 4"},0)-1),
1/6,0)+IF((MATCH(INDEX(Data_metier!$D:$D,MATCH($A20,Data_metier!$B:$B,0)),{"Non Concerné";"Niveau 1";"Niveau 2";"Niveau 3";"Niveau 4"},0)-1)&gt;(MATCH(INDEX(Data_metier!$D:$D,MATCH(Q$1,Data_metier!$B:$B,0)),{"Non Concerné";"Niveau 1";"Niveau 2";"Niveau 3";"Niveau 4"},0)-1),
1/6,0)+IF((MATCH(INDEX(Data_metier!$E:$E,MATCH($A20,Data_metier!$B:$B,0)),{"Non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20">
        <f>IF(DE_respon_transv!R20=-1,-1,
DE_respon_transv!R20+IF((MATCH(INDEX(Data_metier!$C:$C,MATCH($A20,Data_metier!$B:$B,0)),{"Non Concerné";"Niveau 1";"Niveau 2";"Niveau 3";"Niveau 4"},0)-1)&gt;(MATCH(INDEX(Data_metier!$C:$C,MATCH(R$1,Data_metier!$B:$B,0)),{"Non Concerné";"Niveau 1";"Niveau 2";"Niveau 3";"Niveau 4"},0)-1),
1/6,0)+IF((MATCH(INDEX(Data_metier!$D:$D,MATCH($A20,Data_metier!$B:$B,0)),{"Non Concerné";"Niveau 1";"Niveau 2";"Niveau 3";"Niveau 4"},0)-1)&gt;(MATCH(INDEX(Data_metier!$D:$D,MATCH(R$1,Data_metier!$B:$B,0)),{"Non Concerné";"Niveau 1";"Niveau 2";"Niveau 3";"Niveau 4"},0)-1),
1/6,0)+IF((MATCH(INDEX(Data_metier!$E:$E,MATCH($A20,Data_metier!$B:$B,0)),{"Non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20">
        <f>IF(DE_respon_transv!S20=-1,-1,
DE_respon_transv!S20+IF((MATCH(INDEX(Data_metier!$C:$C,MATCH($A20,Data_metier!$B:$B,0)),{"Non Concerné";"Niveau 1";"Niveau 2";"Niveau 3";"Niveau 4"},0)-1)&gt;(MATCH(INDEX(Data_metier!$C:$C,MATCH(S$1,Data_metier!$B:$B,0)),{"Non Concerné";"Niveau 1";"Niveau 2";"Niveau 3";"Niveau 4"},0)-1),
1/6,0)+IF((MATCH(INDEX(Data_metier!$D:$D,MATCH($A20,Data_metier!$B:$B,0)),{"Non Concerné";"Niveau 1";"Niveau 2";"Niveau 3";"Niveau 4"},0)-1)&gt;(MATCH(INDEX(Data_metier!$D:$D,MATCH(S$1,Data_metier!$B:$B,0)),{"Non Concerné";"Niveau 1";"Niveau 2";"Niveau 3";"Niveau 4"},0)-1),
1/6,0)+IF((MATCH(INDEX(Data_metier!$E:$E,MATCH($A20,Data_metier!$B:$B,0)),{"Non Concerné";"Niveau 1";"Niveau 2";"Niveau 3";"Niveau 4"},0)-1)&gt;(MATCH(INDEX(Data_metier!$E:$E,MATCH(S$1,Data_metier!$B:$B,0)),{"Non Concerné";"Niveau 1";"Niveau 2";"Niveau 3";"Niveau 4"},0)-1),
1/6,0))</f>
        <v>0.16666666666666666</v>
      </c>
      <c r="T20">
        <f>IF(DE_respon_transv!T20=-1,-1,
DE_respon_transv!T20+IF((MATCH(INDEX(Data_metier!$C:$C,MATCH($A20,Data_metier!$B:$B,0)),{"Non Concerné";"Niveau 1";"Niveau 2";"Niveau 3";"Niveau 4"},0)-1)&gt;(MATCH(INDEX(Data_metier!$C:$C,MATCH(T$1,Data_metier!$B:$B,0)),{"Non Concerné";"Niveau 1";"Niveau 2";"Niveau 3";"Niveau 4"},0)-1),
1/6,0)+IF((MATCH(INDEX(Data_metier!$D:$D,MATCH($A20,Data_metier!$B:$B,0)),{"Non Concerné";"Niveau 1";"Niveau 2";"Niveau 3";"Niveau 4"},0)-1)&gt;(MATCH(INDEX(Data_metier!$D:$D,MATCH(T$1,Data_metier!$B:$B,0)),{"Non Concerné";"Niveau 1";"Niveau 2";"Niveau 3";"Niveau 4"},0)-1),
1/6,0)+IF((MATCH(INDEX(Data_metier!$E:$E,MATCH($A20,Data_metier!$B:$B,0)),{"Non Concerné";"Niveau 1";"Niveau 2";"Niveau 3";"Niveau 4"},0)-1)&gt;(MATCH(INDEX(Data_metier!$E:$E,MATCH(T$1,Data_metier!$B:$B,0)),{"Non Concerné";"Niveau 1";"Niveau 2";"Niveau 3";"Niveau 4"},0)-1),
1/6,0))</f>
        <v>0</v>
      </c>
      <c r="U20">
        <f>IF(DE_respon_transv!U20=-1,-1,
DE_respon_transv!U20+IF((MATCH(INDEX(Data_metier!$C:$C,MATCH($A20,Data_metier!$B:$B,0)),{"Non Concerné";"Niveau 1";"Niveau 2";"Niveau 3";"Niveau 4"},0)-1)&gt;(MATCH(INDEX(Data_metier!$C:$C,MATCH(U$1,Data_metier!$B:$B,0)),{"Non Concerné";"Niveau 1";"Niveau 2";"Niveau 3";"Niveau 4"},0)-1),
1/6,0)+IF((MATCH(INDEX(Data_metier!$D:$D,MATCH($A20,Data_metier!$B:$B,0)),{"Non Concerné";"Niveau 1";"Niveau 2";"Niveau 3";"Niveau 4"},0)-1)&gt;(MATCH(INDEX(Data_metier!$D:$D,MATCH(U$1,Data_metier!$B:$B,0)),{"Non Concerné";"Niveau 1";"Niveau 2";"Niveau 3";"Niveau 4"},0)-1),
1/6,0)+IF((MATCH(INDEX(Data_metier!$E:$E,MATCH($A20,Data_metier!$B:$B,0)),{"Non Concerné";"Niveau 1";"Niveau 2";"Niveau 3";"Niveau 4"},0)-1)&gt;(MATCH(INDEX(Data_metier!$E:$E,MATCH(U$1,Data_metier!$B:$B,0)),{"Non Concerné";"Niveau 1";"Niveau 2";"Niveau 3";"Niveau 4"},0)-1),
1/6,0))</f>
        <v>0.16666666666666666</v>
      </c>
      <c r="V20">
        <f>IF(DE_respon_transv!V20=-1,-1,
DE_respon_transv!V20+IF((MATCH(INDEX(Data_metier!$C:$C,MATCH($A20,Data_metier!$B:$B,0)),{"Non Concerné";"Niveau 1";"Niveau 2";"Niveau 3";"Niveau 4"},0)-1)&gt;(MATCH(INDEX(Data_metier!$C:$C,MATCH(V$1,Data_metier!$B:$B,0)),{"Non Concerné";"Niveau 1";"Niveau 2";"Niveau 3";"Niveau 4"},0)-1),
1/6,0)+IF((MATCH(INDEX(Data_metier!$D:$D,MATCH($A20,Data_metier!$B:$B,0)),{"Non Concerné";"Niveau 1";"Niveau 2";"Niveau 3";"Niveau 4"},0)-1)&gt;(MATCH(INDEX(Data_metier!$D:$D,MATCH(V$1,Data_metier!$B:$B,0)),{"Non Concerné";"Niveau 1";"Niveau 2";"Niveau 3";"Niveau 4"},0)-1),
1/6,0)+IF((MATCH(INDEX(Data_metier!$E:$E,MATCH($A20,Data_metier!$B:$B,0)),{"Non Concerné";"Niveau 1";"Niveau 2";"Niveau 3";"Niveau 4"},0)-1)&gt;(MATCH(INDEX(Data_metier!$E:$E,MATCH(V$1,Data_metier!$B:$B,0)),{"Non Concerné";"Niveau 1";"Niveau 2";"Niveau 3";"Niveau 4"},0)-1),
1/6,0))</f>
        <v>-1</v>
      </c>
      <c r="W20">
        <f>IF(DE_respon_transv!W20=-1,-1,
DE_respon_transv!W20+IF((MATCH(INDEX(Data_metier!$C:$C,MATCH($A20,Data_metier!$B:$B,0)),{"Non Concerné";"Niveau 1";"Niveau 2";"Niveau 3";"Niveau 4"},0)-1)&gt;(MATCH(INDEX(Data_metier!$C:$C,MATCH(W$1,Data_metier!$B:$B,0)),{"Non Concerné";"Niveau 1";"Niveau 2";"Niveau 3";"Niveau 4"},0)-1),
1/6,0)+IF((MATCH(INDEX(Data_metier!$D:$D,MATCH($A20,Data_metier!$B:$B,0)),{"Non Concerné";"Niveau 1";"Niveau 2";"Niveau 3";"Niveau 4"},0)-1)&gt;(MATCH(INDEX(Data_metier!$D:$D,MATCH(W$1,Data_metier!$B:$B,0)),{"Non Concerné";"Niveau 1";"Niveau 2";"Niveau 3";"Niveau 4"},0)-1),
1/6,0)+IF((MATCH(INDEX(Data_metier!$E:$E,MATCH($A20,Data_metier!$B:$B,0)),{"Non Concerné";"Niveau 1";"Niveau 2";"Niveau 3";"Niveau 4"},0)-1)&gt;(MATCH(INDEX(Data_metier!$E:$E,MATCH(W$1,Data_metier!$B:$B,0)),{"Non Concerné";"Niveau 1";"Niveau 2";"Niveau 3";"Niveau 4"},0)-1),
1/6,0))</f>
        <v>-1</v>
      </c>
      <c r="X20">
        <f>IF(DE_respon_transv!X20=-1,-1,
DE_respon_transv!X20+IF((MATCH(INDEX(Data_metier!$C:$C,MATCH($A20,Data_metier!$B:$B,0)),{"Non Concerné";"Niveau 1";"Niveau 2";"Niveau 3";"Niveau 4"},0)-1)&gt;(MATCH(INDEX(Data_metier!$C:$C,MATCH(X$1,Data_metier!$B:$B,0)),{"Non Concerné";"Niveau 1";"Niveau 2";"Niveau 3";"Niveau 4"},0)-1),
1/6,0)+IF((MATCH(INDEX(Data_metier!$D:$D,MATCH($A20,Data_metier!$B:$B,0)),{"Non Concerné";"Niveau 1";"Niveau 2";"Niveau 3";"Niveau 4"},0)-1)&gt;(MATCH(INDEX(Data_metier!$D:$D,MATCH(X$1,Data_metier!$B:$B,0)),{"Non Concerné";"Niveau 1";"Niveau 2";"Niveau 3";"Niveau 4"},0)-1),
1/6,0)+IF((MATCH(INDEX(Data_metier!$E:$E,MATCH($A20,Data_metier!$B:$B,0)),{"Non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20">
        <f>IF(DE_respon_transv!Y20=-1,-1,
DE_respon_transv!Y20+IF((MATCH(INDEX(Data_metier!$C:$C,MATCH($A20,Data_metier!$B:$B,0)),{"Non Concerné";"Niveau 1";"Niveau 2";"Niveau 3";"Niveau 4"},0)-1)&gt;(MATCH(INDEX(Data_metier!$C:$C,MATCH(Y$1,Data_metier!$B:$B,0)),{"Non Concerné";"Niveau 1";"Niveau 2";"Niveau 3";"Niveau 4"},0)-1),
1/6,0)+IF((MATCH(INDEX(Data_metier!$D:$D,MATCH($A20,Data_metier!$B:$B,0)),{"Non Concerné";"Niveau 1";"Niveau 2";"Niveau 3";"Niveau 4"},0)-1)&gt;(MATCH(INDEX(Data_metier!$D:$D,MATCH(Y$1,Data_metier!$B:$B,0)),{"Non Concerné";"Niveau 1";"Niveau 2";"Niveau 3";"Niveau 4"},0)-1),
1/6,0)+IF((MATCH(INDEX(Data_metier!$E:$E,MATCH($A20,Data_metier!$B:$B,0)),{"Non Concerné";"Niveau 1";"Niveau 2";"Niveau 3";"Niveau 4"},0)-1)&gt;(MATCH(INDEX(Data_metier!$E:$E,MATCH(Y$1,Data_metier!$B:$B,0)),{"Non Concerné";"Niveau 1";"Niveau 2";"Niveau 3";"Niveau 4"},0)-1),
1/6,0))</f>
        <v>0.16666666666666666</v>
      </c>
      <c r="Z20">
        <f>IF(DE_respon_transv!Z20=-1,-1,
DE_respon_transv!Z20+IF((MATCH(INDEX(Data_metier!$C:$C,MATCH($A20,Data_metier!$B:$B,0)),{"Non Concerné";"Niveau 1";"Niveau 2";"Niveau 3";"Niveau 4"},0)-1)&gt;(MATCH(INDEX(Data_metier!$C:$C,MATCH(Z$1,Data_metier!$B:$B,0)),{"Non Concerné";"Niveau 1";"Niveau 2";"Niveau 3";"Niveau 4"},0)-1),
1/6,0)+IF((MATCH(INDEX(Data_metier!$D:$D,MATCH($A20,Data_metier!$B:$B,0)),{"Non Concerné";"Niveau 1";"Niveau 2";"Niveau 3";"Niveau 4"},0)-1)&gt;(MATCH(INDEX(Data_metier!$D:$D,MATCH(Z$1,Data_metier!$B:$B,0)),{"Non Concerné";"Niveau 1";"Niveau 2";"Niveau 3";"Niveau 4"},0)-1),
1/6,0)+IF((MATCH(INDEX(Data_metier!$E:$E,MATCH($A20,Data_metier!$B:$B,0)),{"Non Concerné";"Niveau 1";"Niveau 2";"Niveau 3";"Niveau 4"},0)-1)&gt;(MATCH(INDEX(Data_metier!$E:$E,MATCH(Z$1,Data_metier!$B:$B,0)),{"Non Concerné";"Niveau 1";"Niveau 2";"Niveau 3";"Niveau 4"},0)-1),
1/6,0))</f>
        <v>0.16666666666666666</v>
      </c>
      <c r="AA20">
        <f>IF(DE_respon_transv!AA20=-1,-1,
DE_respon_transv!AA20+IF((MATCH(INDEX(Data_metier!$C:$C,MATCH($A20,Data_metier!$B:$B,0)),{"Non Concerné";"Niveau 1";"Niveau 2";"Niveau 3";"Niveau 4"},0)-1)&gt;(MATCH(INDEX(Data_metier!$C:$C,MATCH(AA$1,Data_metier!$B:$B,0)),{"Non Concerné";"Niveau 1";"Niveau 2";"Niveau 3";"Niveau 4"},0)-1),
1/6,0)+IF((MATCH(INDEX(Data_metier!$D:$D,MATCH($A20,Data_metier!$B:$B,0)),{"Non Concerné";"Niveau 1";"Niveau 2";"Niveau 3";"Niveau 4"},0)-1)&gt;(MATCH(INDEX(Data_metier!$D:$D,MATCH(AA$1,Data_metier!$B:$B,0)),{"Non Concerné";"Niveau 1";"Niveau 2";"Niveau 3";"Niveau 4"},0)-1),
1/6,0)+IF((MATCH(INDEX(Data_metier!$E:$E,MATCH($A20,Data_metier!$B:$B,0)),{"Non Concerné";"Niveau 1";"Niveau 2";"Niveau 3";"Niveau 4"},0)-1)&gt;(MATCH(INDEX(Data_metier!$E:$E,MATCH(AA$1,Data_metier!$B:$B,0)),{"Non Concerné";"Niveau 1";"Niveau 2";"Niveau 3";"Niveau 4"},0)-1),
1/6,0))</f>
        <v>0.16666666666666666</v>
      </c>
      <c r="AB20">
        <f>IF(DE_respon_transv!AB20=-1,-1,
DE_respon_transv!AB20+IF((MATCH(INDEX(Data_metier!$C:$C,MATCH($A20,Data_metier!$B:$B,0)),{"Non Concerné";"Niveau 1";"Niveau 2";"Niveau 3";"Niveau 4"},0)-1)&gt;(MATCH(INDEX(Data_metier!$C:$C,MATCH(AB$1,Data_metier!$B:$B,0)),{"Non Concerné";"Niveau 1";"Niveau 2";"Niveau 3";"Niveau 4"},0)-1),
1/6,0)+IF((MATCH(INDEX(Data_metier!$D:$D,MATCH($A20,Data_metier!$B:$B,0)),{"Non Concerné";"Niveau 1";"Niveau 2";"Niveau 3";"Niveau 4"},0)-1)&gt;(MATCH(INDEX(Data_metier!$D:$D,MATCH(AB$1,Data_metier!$B:$B,0)),{"Non Concerné";"Niveau 1";"Niveau 2";"Niveau 3";"Niveau 4"},0)-1),
1/6,0)+IF((MATCH(INDEX(Data_metier!$E:$E,MATCH($A20,Data_metier!$B:$B,0)),{"Non Concerné";"Niveau 1";"Niveau 2";"Niveau 3";"Niveau 4"},0)-1)&gt;(MATCH(INDEX(Data_metier!$E:$E,MATCH(AB$1,Data_metier!$B:$B,0)),{"Non Concerné";"Niveau 1";"Niveau 2";"Niveau 3";"Niveau 4"},0)-1),
1/6,0))</f>
        <v>-1</v>
      </c>
      <c r="AC20">
        <f>IF(DE_respon_transv!AC20=-1,-1,
DE_respon_transv!AC20+IF((MATCH(INDEX(Data_metier!$C:$C,MATCH($A20,Data_metier!$B:$B,0)),{"Non Concerné";"Niveau 1";"Niveau 2";"Niveau 3";"Niveau 4"},0)-1)&gt;(MATCH(INDEX(Data_metier!$C:$C,MATCH(AC$1,Data_metier!$B:$B,0)),{"Non Concerné";"Niveau 1";"Niveau 2";"Niveau 3";"Niveau 4"},0)-1),
1/6,0)+IF((MATCH(INDEX(Data_metier!$D:$D,MATCH($A20,Data_metier!$B:$B,0)),{"Non Concerné";"Niveau 1";"Niveau 2";"Niveau 3";"Niveau 4"},0)-1)&gt;(MATCH(INDEX(Data_metier!$D:$D,MATCH(AC$1,Data_metier!$B:$B,0)),{"Non Concerné";"Niveau 1";"Niveau 2";"Niveau 3";"Niveau 4"},0)-1),
1/6,0)+IF((MATCH(INDEX(Data_metier!$E:$E,MATCH($A20,Data_metier!$B:$B,0)),{"Non Concerné";"Niveau 1";"Niveau 2";"Niveau 3";"Niveau 4"},0)-1)&gt;(MATCH(INDEX(Data_metier!$E:$E,MATCH(AC$1,Data_metier!$B:$B,0)),{"Non Concerné";"Niveau 1";"Niveau 2";"Niveau 3";"Niveau 4"},0)-1),
1/6,0))</f>
        <v>-1</v>
      </c>
      <c r="AD20">
        <f>IF(DE_respon_transv!AD20=-1,-1,
DE_respon_transv!AD20+IF((MATCH(INDEX(Data_metier!$C:$C,MATCH($A20,Data_metier!$B:$B,0)),{"Non Concerné";"Niveau 1";"Niveau 2";"Niveau 3";"Niveau 4"},0)-1)&gt;(MATCH(INDEX(Data_metier!$C:$C,MATCH(AD$1,Data_metier!$B:$B,0)),{"Non Concerné";"Niveau 1";"Niveau 2";"Niveau 3";"Niveau 4"},0)-1),
1/6,0)+IF((MATCH(INDEX(Data_metier!$D:$D,MATCH($A20,Data_metier!$B:$B,0)),{"Non Concerné";"Niveau 1";"Niveau 2";"Niveau 3";"Niveau 4"},0)-1)&gt;(MATCH(INDEX(Data_metier!$D:$D,MATCH(AD$1,Data_metier!$B:$B,0)),{"Non Concerné";"Niveau 1";"Niveau 2";"Niveau 3";"Niveau 4"},0)-1),
1/6,0)+IF((MATCH(INDEX(Data_metier!$E:$E,MATCH($A20,Data_metier!$B:$B,0)),{"Non Concerné";"Niveau 1";"Niveau 2";"Niveau 3";"Niveau 4"},0)-1)&gt;(MATCH(INDEX(Data_metier!$E:$E,MATCH(AD$1,Data_metier!$B:$B,0)),{"Non Concerné";"Niveau 1";"Niveau 2";"Niveau 3";"Niveau 4"},0)-1),
1/6,0))</f>
        <v>-1</v>
      </c>
    </row>
    <row r="21" spans="1:30">
      <c r="A21" t="str">
        <v>Boulanger(ère)/pâtissier(ère) industriel(le)</v>
      </c>
      <c r="B21">
        <f>IF(DE_respon_transv!B21=-1,-1,
DE_respon_transv!B21+IF((MATCH(INDEX(Data_metier!$C:$C,MATCH($A21,Data_metier!$B:$B,0)),{"Non Concerné";"Niveau 1";"Niveau 2";"Niveau 3";"Niveau 4"},0)-1)&gt;(MATCH(INDEX(Data_metier!$C:$C,MATCH(B$1,Data_metier!$B:$B,0)),{"Non Concerné";"Niveau 1";"Niveau 2";"Niveau 3";"Niveau 4"},0)-1),
1/6,0)+IF((MATCH(INDEX(Data_metier!$D:$D,MATCH($A21,Data_metier!$B:$B,0)),{"Non Concerné";"Niveau 1";"Niveau 2";"Niveau 3";"Niveau 4"},0)-1)&gt;(MATCH(INDEX(Data_metier!$D:$D,MATCH(B$1,Data_metier!$B:$B,0)),{"Non Concerné";"Niveau 1";"Niveau 2";"Niveau 3";"Niveau 4"},0)-1),
1/6,0)+IF((MATCH(INDEX(Data_metier!$E:$E,MATCH($A21,Data_metier!$B:$B,0)),{"Non Concerné";"Niveau 1";"Niveau 2";"Niveau 3";"Niveau 4"},0)-1)&gt;(MATCH(INDEX(Data_metier!$E:$E,MATCH(B$1,Data_metier!$B:$B,0)),{"Non Concerné";"Niveau 1";"Niveau 2";"Niveau 3";"Niveau 4"},0)-1),
1/6,0))</f>
        <v>-1</v>
      </c>
      <c r="C21">
        <f>IF(DE_respon_transv!C21=-1,-1,
DE_respon_transv!C21+IF((MATCH(INDEX(Data_metier!$C:$C,MATCH($A21,Data_metier!$B:$B,0)),{"Non Concerné";"Niveau 1";"Niveau 2";"Niveau 3";"Niveau 4"},0)-1)&gt;(MATCH(INDEX(Data_metier!$C:$C,MATCH(C$1,Data_metier!$B:$B,0)),{"Non Concerné";"Niveau 1";"Niveau 2";"Niveau 3";"Niveau 4"},0)-1),
1/6,0)+IF((MATCH(INDEX(Data_metier!$D:$D,MATCH($A21,Data_metier!$B:$B,0)),{"Non Concerné";"Niveau 1";"Niveau 2";"Niveau 3";"Niveau 4"},0)-1)&gt;(MATCH(INDEX(Data_metier!$D:$D,MATCH(C$1,Data_metier!$B:$B,0)),{"Non Concerné";"Niveau 1";"Niveau 2";"Niveau 3";"Niveau 4"},0)-1),
1/6,0)+IF((MATCH(INDEX(Data_metier!$E:$E,MATCH($A21,Data_metier!$B:$B,0)),{"Non Concerné";"Niveau 1";"Niveau 2";"Niveau 3";"Niveau 4"},0)-1)&gt;(MATCH(INDEX(Data_metier!$E:$E,MATCH(C$1,Data_metier!$B:$B,0)),{"Non Concerné";"Niveau 1";"Niveau 2";"Niveau 3";"Niveau 4"},0)-1),
1/6,0))</f>
        <v>-1</v>
      </c>
      <c r="D21">
        <f>IF(DE_respon_transv!D21=-1,-1,
DE_respon_transv!D21+IF((MATCH(INDEX(Data_metier!$C:$C,MATCH($A21,Data_metier!$B:$B,0)),{"Non Concerné";"Niveau 1";"Niveau 2";"Niveau 3";"Niveau 4"},0)-1)&gt;(MATCH(INDEX(Data_metier!$C:$C,MATCH(D$1,Data_metier!$B:$B,0)),{"Non Concerné";"Niveau 1";"Niveau 2";"Niveau 3";"Niveau 4"},0)-1),
1/6,0)+IF((MATCH(INDEX(Data_metier!$D:$D,MATCH($A21,Data_metier!$B:$B,0)),{"Non Concerné";"Niveau 1";"Niveau 2";"Niveau 3";"Niveau 4"},0)-1)&gt;(MATCH(INDEX(Data_metier!$D:$D,MATCH(D$1,Data_metier!$B:$B,0)),{"Non Concerné";"Niveau 1";"Niveau 2";"Niveau 3";"Niveau 4"},0)-1),
1/6,0)+IF((MATCH(INDEX(Data_metier!$E:$E,MATCH($A21,Data_metier!$B:$B,0)),{"Non Concerné";"Niveau 1";"Niveau 2";"Niveau 3";"Niveau 4"},0)-1)&gt;(MATCH(INDEX(Data_metier!$E:$E,MATCH(D$1,Data_metier!$B:$B,0)),{"Non Concerné";"Niveau 1";"Niveau 2";"Niveau 3";"Niveau 4"},0)-1),
1/6,0))</f>
        <v>0</v>
      </c>
      <c r="E21">
        <f>IF(DE_respon_transv!E21=-1,-1,
DE_respon_transv!E21+IF((MATCH(INDEX(Data_metier!$C:$C,MATCH($A21,Data_metier!$B:$B,0)),{"Non Concerné";"Niveau 1";"Niveau 2";"Niveau 3";"Niveau 4"},0)-1)&gt;(MATCH(INDEX(Data_metier!$C:$C,MATCH(E$1,Data_metier!$B:$B,0)),{"Non Concerné";"Niveau 1";"Niveau 2";"Niveau 3";"Niveau 4"},0)-1),
1/6,0)+IF((MATCH(INDEX(Data_metier!$D:$D,MATCH($A21,Data_metier!$B:$B,0)),{"Non Concerné";"Niveau 1";"Niveau 2";"Niveau 3";"Niveau 4"},0)-1)&gt;(MATCH(INDEX(Data_metier!$D:$D,MATCH(E$1,Data_metier!$B:$B,0)),{"Non Concerné";"Niveau 1";"Niveau 2";"Niveau 3";"Niveau 4"},0)-1),
1/6,0)+IF((MATCH(INDEX(Data_metier!$E:$E,MATCH($A21,Data_metier!$B:$B,0)),{"Non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21">
        <f>IF(DE_respon_transv!F21=-1,-1,
DE_respon_transv!F21+IF((MATCH(INDEX(Data_metier!$C:$C,MATCH($A21,Data_metier!$B:$B,0)),{"Non Concerné";"Niveau 1";"Niveau 2";"Niveau 3";"Niveau 4"},0)-1)&gt;(MATCH(INDEX(Data_metier!$C:$C,MATCH(F$1,Data_metier!$B:$B,0)),{"Non Concerné";"Niveau 1";"Niveau 2";"Niveau 3";"Niveau 4"},0)-1),
1/6,0)+IF((MATCH(INDEX(Data_metier!$D:$D,MATCH($A21,Data_metier!$B:$B,0)),{"Non Concerné";"Niveau 1";"Niveau 2";"Niveau 3";"Niveau 4"},0)-1)&gt;(MATCH(INDEX(Data_metier!$D:$D,MATCH(F$1,Data_metier!$B:$B,0)),{"Non Concerné";"Niveau 1";"Niveau 2";"Niveau 3";"Niveau 4"},0)-1),
1/6,0)+IF((MATCH(INDEX(Data_metier!$E:$E,MATCH($A21,Data_metier!$B:$B,0)),{"Non Concerné";"Niveau 1";"Niveau 2";"Niveau 3";"Niveau 4"},0)-1)&gt;(MATCH(INDEX(Data_metier!$E:$E,MATCH(F$1,Data_metier!$B:$B,0)),{"Non Concerné";"Niveau 1";"Niveau 2";"Niveau 3";"Niveau 4"},0)-1),
1/6,0))</f>
        <v>-1</v>
      </c>
      <c r="G21">
        <f>IF(DE_respon_transv!G21=-1,-1,
DE_respon_transv!G21+IF((MATCH(INDEX(Data_metier!$C:$C,MATCH($A21,Data_metier!$B:$B,0)),{"Non Concerné";"Niveau 1";"Niveau 2";"Niveau 3";"Niveau 4"},0)-1)&gt;(MATCH(INDEX(Data_metier!$C:$C,MATCH(G$1,Data_metier!$B:$B,0)),{"Non Concerné";"Niveau 1";"Niveau 2";"Niveau 3";"Niveau 4"},0)-1),
1/6,0)+IF((MATCH(INDEX(Data_metier!$D:$D,MATCH($A21,Data_metier!$B:$B,0)),{"Non Concerné";"Niveau 1";"Niveau 2";"Niveau 3";"Niveau 4"},0)-1)&gt;(MATCH(INDEX(Data_metier!$D:$D,MATCH(G$1,Data_metier!$B:$B,0)),{"Non Concerné";"Niveau 1";"Niveau 2";"Niveau 3";"Niveau 4"},0)-1),
1/6,0)+IF((MATCH(INDEX(Data_metier!$E:$E,MATCH($A21,Data_metier!$B:$B,0)),{"Non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21">
        <f>IF(DE_respon_transv!H21=-1,-1,
DE_respon_transv!H21+IF((MATCH(INDEX(Data_metier!$C:$C,MATCH($A21,Data_metier!$B:$B,0)),{"Non Concerné";"Niveau 1";"Niveau 2";"Niveau 3";"Niveau 4"},0)-1)&gt;(MATCH(INDEX(Data_metier!$C:$C,MATCH(H$1,Data_metier!$B:$B,0)),{"Non Concerné";"Niveau 1";"Niveau 2";"Niveau 3";"Niveau 4"},0)-1),
1/6,0)+IF((MATCH(INDEX(Data_metier!$D:$D,MATCH($A21,Data_metier!$B:$B,0)),{"Non Concerné";"Niveau 1";"Niveau 2";"Niveau 3";"Niveau 4"},0)-1)&gt;(MATCH(INDEX(Data_metier!$D:$D,MATCH(H$1,Data_metier!$B:$B,0)),{"Non Concerné";"Niveau 1";"Niveau 2";"Niveau 3";"Niveau 4"},0)-1),
1/6,0)+IF((MATCH(INDEX(Data_metier!$E:$E,MATCH($A21,Data_metier!$B:$B,0)),{"Non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21">
        <f>IF(DE_respon_transv!I21=-1,-1,
DE_respon_transv!I21+IF((MATCH(INDEX(Data_metier!$C:$C,MATCH($A21,Data_metier!$B:$B,0)),{"Non Concerné";"Niveau 1";"Niveau 2";"Niveau 3";"Niveau 4"},0)-1)&gt;(MATCH(INDEX(Data_metier!$C:$C,MATCH(I$1,Data_metier!$B:$B,0)),{"Non Concerné";"Niveau 1";"Niveau 2";"Niveau 3";"Niveau 4"},0)-1),
1/6,0)+IF((MATCH(INDEX(Data_metier!$D:$D,MATCH($A21,Data_metier!$B:$B,0)),{"Non Concerné";"Niveau 1";"Niveau 2";"Niveau 3";"Niveau 4"},0)-1)&gt;(MATCH(INDEX(Data_metier!$D:$D,MATCH(I$1,Data_metier!$B:$B,0)),{"Non Concerné";"Niveau 1";"Niveau 2";"Niveau 3";"Niveau 4"},0)-1),
1/6,0)+IF((MATCH(INDEX(Data_metier!$E:$E,MATCH($A21,Data_metier!$B:$B,0)),{"Non Concerné";"Niveau 1";"Niveau 2";"Niveau 3";"Niveau 4"},0)-1)&gt;(MATCH(INDEX(Data_metier!$E:$E,MATCH(I$1,Data_metier!$B:$B,0)),{"Non Concerné";"Niveau 1";"Niveau 2";"Niveau 3";"Niveau 4"},0)-1),
1/6,0))</f>
        <v>0</v>
      </c>
      <c r="J21">
        <f>IF(DE_respon_transv!J21=-1,-1,
DE_respon_transv!J21+IF((MATCH(INDEX(Data_metier!$C:$C,MATCH($A21,Data_metier!$B:$B,0)),{"Non Concerné";"Niveau 1";"Niveau 2";"Niveau 3";"Niveau 4"},0)-1)&gt;(MATCH(INDEX(Data_metier!$C:$C,MATCH(J$1,Data_metier!$B:$B,0)),{"Non Concerné";"Niveau 1";"Niveau 2";"Niveau 3";"Niveau 4"},0)-1),
1/6,0)+IF((MATCH(INDEX(Data_metier!$D:$D,MATCH($A21,Data_metier!$B:$B,0)),{"Non Concerné";"Niveau 1";"Niveau 2";"Niveau 3";"Niveau 4"},0)-1)&gt;(MATCH(INDEX(Data_metier!$D:$D,MATCH(J$1,Data_metier!$B:$B,0)),{"Non Concerné";"Niveau 1";"Niveau 2";"Niveau 3";"Niveau 4"},0)-1),
1/6,0)+IF((MATCH(INDEX(Data_metier!$E:$E,MATCH($A21,Data_metier!$B:$B,0)),{"Non Concerné";"Niveau 1";"Niveau 2";"Niveau 3";"Niveau 4"},0)-1)&gt;(MATCH(INDEX(Data_metier!$E:$E,MATCH(J$1,Data_metier!$B:$B,0)),{"Non Concerné";"Niveau 1";"Niveau 2";"Niveau 3";"Niveau 4"},0)-1),
1/6,0))</f>
        <v>-1</v>
      </c>
      <c r="K21">
        <f>IF(DE_respon_transv!K21=-1,-1,
DE_respon_transv!K21+IF((MATCH(INDEX(Data_metier!$C:$C,MATCH($A21,Data_metier!$B:$B,0)),{"Non Concerné";"Niveau 1";"Niveau 2";"Niveau 3";"Niveau 4"},0)-1)&gt;(MATCH(INDEX(Data_metier!$C:$C,MATCH(K$1,Data_metier!$B:$B,0)),{"Non Concerné";"Niveau 1";"Niveau 2";"Niveau 3";"Niveau 4"},0)-1),
1/6,0)+IF((MATCH(INDEX(Data_metier!$D:$D,MATCH($A21,Data_metier!$B:$B,0)),{"Non Concerné";"Niveau 1";"Niveau 2";"Niveau 3";"Niveau 4"},0)-1)&gt;(MATCH(INDEX(Data_metier!$D:$D,MATCH(K$1,Data_metier!$B:$B,0)),{"Non Concerné";"Niveau 1";"Niveau 2";"Niveau 3";"Niveau 4"},0)-1),
1/6,0)+IF((MATCH(INDEX(Data_metier!$E:$E,MATCH($A21,Data_metier!$B:$B,0)),{"Non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21">
        <f>IF(DE_respon_transv!L21=-1,-1,
DE_respon_transv!L21+IF((MATCH(INDEX(Data_metier!$C:$C,MATCH($A21,Data_metier!$B:$B,0)),{"Non Concerné";"Niveau 1";"Niveau 2";"Niveau 3";"Niveau 4"},0)-1)&gt;(MATCH(INDEX(Data_metier!$C:$C,MATCH(L$1,Data_metier!$B:$B,0)),{"Non Concerné";"Niveau 1";"Niveau 2";"Niveau 3";"Niveau 4"},0)-1),
1/6,0)+IF((MATCH(INDEX(Data_metier!$D:$D,MATCH($A21,Data_metier!$B:$B,0)),{"Non Concerné";"Niveau 1";"Niveau 2";"Niveau 3";"Niveau 4"},0)-1)&gt;(MATCH(INDEX(Data_metier!$D:$D,MATCH(L$1,Data_metier!$B:$B,0)),{"Non Concerné";"Niveau 1";"Niveau 2";"Niveau 3";"Niveau 4"},0)-1),
1/6,0)+IF((MATCH(INDEX(Data_metier!$E:$E,MATCH($A21,Data_metier!$B:$B,0)),{"Non Concerné";"Niveau 1";"Niveau 2";"Niveau 3";"Niveau 4"},0)-1)&gt;(MATCH(INDEX(Data_metier!$E:$E,MATCH(L$1,Data_metier!$B:$B,0)),{"Non Concerné";"Niveau 1";"Niveau 2";"Niveau 3";"Niveau 4"},0)-1),
1/6,0))</f>
        <v>0</v>
      </c>
      <c r="M21">
        <f>IF(DE_respon_transv!M21=-1,-1,
DE_respon_transv!M21+IF((MATCH(INDEX(Data_metier!$C:$C,MATCH($A21,Data_metier!$B:$B,0)),{"Non Concerné";"Niveau 1";"Niveau 2";"Niveau 3";"Niveau 4"},0)-1)&gt;(MATCH(INDEX(Data_metier!$C:$C,MATCH(M$1,Data_metier!$B:$B,0)),{"Non Concerné";"Niveau 1";"Niveau 2";"Niveau 3";"Niveau 4"},0)-1),
1/6,0)+IF((MATCH(INDEX(Data_metier!$D:$D,MATCH($A21,Data_metier!$B:$B,0)),{"Non Concerné";"Niveau 1";"Niveau 2";"Niveau 3";"Niveau 4"},0)-1)&gt;(MATCH(INDEX(Data_metier!$D:$D,MATCH(M$1,Data_metier!$B:$B,0)),{"Non Concerné";"Niveau 1";"Niveau 2";"Niveau 3";"Niveau 4"},0)-1),
1/6,0)+IF((MATCH(INDEX(Data_metier!$E:$E,MATCH($A21,Data_metier!$B:$B,0)),{"Non Concerné";"Niveau 1";"Niveau 2";"Niveau 3";"Niveau 4"},0)-1)&gt;(MATCH(INDEX(Data_metier!$E:$E,MATCH(M$1,Data_metier!$B:$B,0)),{"Non Concerné";"Niveau 1";"Niveau 2";"Niveau 3";"Niveau 4"},0)-1),
1/6,0))</f>
        <v>-1</v>
      </c>
      <c r="N21">
        <f>IF(DE_respon_transv!N21=-1,-1,
DE_respon_transv!N21+IF((MATCH(INDEX(Data_metier!$C:$C,MATCH($A21,Data_metier!$B:$B,0)),{"Non Concerné";"Niveau 1";"Niveau 2";"Niveau 3";"Niveau 4"},0)-1)&gt;(MATCH(INDEX(Data_metier!$C:$C,MATCH(N$1,Data_metier!$B:$B,0)),{"Non Concerné";"Niveau 1";"Niveau 2";"Niveau 3";"Niveau 4"},0)-1),
1/6,0)+IF((MATCH(INDEX(Data_metier!$D:$D,MATCH($A21,Data_metier!$B:$B,0)),{"Non Concerné";"Niveau 1";"Niveau 2";"Niveau 3";"Niveau 4"},0)-1)&gt;(MATCH(INDEX(Data_metier!$D:$D,MATCH(N$1,Data_metier!$B:$B,0)),{"Non Concerné";"Niveau 1";"Niveau 2";"Niveau 3";"Niveau 4"},0)-1),
1/6,0)+IF((MATCH(INDEX(Data_metier!$E:$E,MATCH($A21,Data_metier!$B:$B,0)),{"Non Concerné";"Niveau 1";"Niveau 2";"Niveau 3";"Niveau 4"},0)-1)&gt;(MATCH(INDEX(Data_metier!$E:$E,MATCH(N$1,Data_metier!$B:$B,0)),{"Non Concerné";"Niveau 1";"Niveau 2";"Niveau 3";"Niveau 4"},0)-1),
1/6,0))</f>
        <v>-1</v>
      </c>
      <c r="O21">
        <f>IF(DE_respon_transv!O21=-1,-1,
DE_respon_transv!O21+IF((MATCH(INDEX(Data_metier!$C:$C,MATCH($A21,Data_metier!$B:$B,0)),{"Non Concerné";"Niveau 1";"Niveau 2";"Niveau 3";"Niveau 4"},0)-1)&gt;(MATCH(INDEX(Data_metier!$C:$C,MATCH(O$1,Data_metier!$B:$B,0)),{"Non Concerné";"Niveau 1";"Niveau 2";"Niveau 3";"Niveau 4"},0)-1),
1/6,0)+IF((MATCH(INDEX(Data_metier!$D:$D,MATCH($A21,Data_metier!$B:$B,0)),{"Non Concerné";"Niveau 1";"Niveau 2";"Niveau 3";"Niveau 4"},0)-1)&gt;(MATCH(INDEX(Data_metier!$D:$D,MATCH(O$1,Data_metier!$B:$B,0)),{"Non Concerné";"Niveau 1";"Niveau 2";"Niveau 3";"Niveau 4"},0)-1),
1/6,0)+IF((MATCH(INDEX(Data_metier!$E:$E,MATCH($A21,Data_metier!$B:$B,0)),{"Non Concerné";"Niveau 1";"Niveau 2";"Niveau 3";"Niveau 4"},0)-1)&gt;(MATCH(INDEX(Data_metier!$E:$E,MATCH(O$1,Data_metier!$B:$B,0)),{"Non Concerné";"Niveau 1";"Niveau 2";"Niveau 3";"Niveau 4"},0)-1),
1/6,0))</f>
        <v>0</v>
      </c>
      <c r="P21">
        <f>IF(DE_respon_transv!P21=-1,-1,
DE_respon_transv!P21+IF((MATCH(INDEX(Data_metier!$C:$C,MATCH($A21,Data_metier!$B:$B,0)),{"Non Concerné";"Niveau 1";"Niveau 2";"Niveau 3";"Niveau 4"},0)-1)&gt;(MATCH(INDEX(Data_metier!$C:$C,MATCH(P$1,Data_metier!$B:$B,0)),{"Non Concerné";"Niveau 1";"Niveau 2";"Niveau 3";"Niveau 4"},0)-1),
1/6,0)+IF((MATCH(INDEX(Data_metier!$D:$D,MATCH($A21,Data_metier!$B:$B,0)),{"Non Concerné";"Niveau 1";"Niveau 2";"Niveau 3";"Niveau 4"},0)-1)&gt;(MATCH(INDEX(Data_metier!$D:$D,MATCH(P$1,Data_metier!$B:$B,0)),{"Non Concerné";"Niveau 1";"Niveau 2";"Niveau 3";"Niveau 4"},0)-1),
1/6,0)+IF((MATCH(INDEX(Data_metier!$E:$E,MATCH($A21,Data_metier!$B:$B,0)),{"Non Concerné";"Niveau 1";"Niveau 2";"Niveau 3";"Niveau 4"},0)-1)&gt;(MATCH(INDEX(Data_metier!$E:$E,MATCH(P$1,Data_metier!$B:$B,0)),{"Non Concerné";"Niveau 1";"Niveau 2";"Niveau 3";"Niveau 4"},0)-1),
1/6,0))</f>
        <v>0</v>
      </c>
      <c r="Q21">
        <f>IF(DE_respon_transv!Q21=-1,-1,
DE_respon_transv!Q21+IF((MATCH(INDEX(Data_metier!$C:$C,MATCH($A21,Data_metier!$B:$B,0)),{"Non Concerné";"Niveau 1";"Niveau 2";"Niveau 3";"Niveau 4"},0)-1)&gt;(MATCH(INDEX(Data_metier!$C:$C,MATCH(Q$1,Data_metier!$B:$B,0)),{"Non Concerné";"Niveau 1";"Niveau 2";"Niveau 3";"Niveau 4"},0)-1),
1/6,0)+IF((MATCH(INDEX(Data_metier!$D:$D,MATCH($A21,Data_metier!$B:$B,0)),{"Non Concerné";"Niveau 1";"Niveau 2";"Niveau 3";"Niveau 4"},0)-1)&gt;(MATCH(INDEX(Data_metier!$D:$D,MATCH(Q$1,Data_metier!$B:$B,0)),{"Non Concerné";"Niveau 1";"Niveau 2";"Niveau 3";"Niveau 4"},0)-1),
1/6,0)+IF((MATCH(INDEX(Data_metier!$E:$E,MATCH($A21,Data_metier!$B:$B,0)),{"Non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21">
        <f>IF(DE_respon_transv!R21=-1,-1,
DE_respon_transv!R21+IF((MATCH(INDEX(Data_metier!$C:$C,MATCH($A21,Data_metier!$B:$B,0)),{"Non Concerné";"Niveau 1";"Niveau 2";"Niveau 3";"Niveau 4"},0)-1)&gt;(MATCH(INDEX(Data_metier!$C:$C,MATCH(R$1,Data_metier!$B:$B,0)),{"Non Concerné";"Niveau 1";"Niveau 2";"Niveau 3";"Niveau 4"},0)-1),
1/6,0)+IF((MATCH(INDEX(Data_metier!$D:$D,MATCH($A21,Data_metier!$B:$B,0)),{"Non Concerné";"Niveau 1";"Niveau 2";"Niveau 3";"Niveau 4"},0)-1)&gt;(MATCH(INDEX(Data_metier!$D:$D,MATCH(R$1,Data_metier!$B:$B,0)),{"Non Concerné";"Niveau 1";"Niveau 2";"Niveau 3";"Niveau 4"},0)-1),
1/6,0)+IF((MATCH(INDEX(Data_metier!$E:$E,MATCH($A21,Data_metier!$B:$B,0)),{"Non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21">
        <f>IF(DE_respon_transv!S21=-1,-1,
DE_respon_transv!S21+IF((MATCH(INDEX(Data_metier!$C:$C,MATCH($A21,Data_metier!$B:$B,0)),{"Non Concerné";"Niveau 1";"Niveau 2";"Niveau 3";"Niveau 4"},0)-1)&gt;(MATCH(INDEX(Data_metier!$C:$C,MATCH(S$1,Data_metier!$B:$B,0)),{"Non Concerné";"Niveau 1";"Niveau 2";"Niveau 3";"Niveau 4"},0)-1),
1/6,0)+IF((MATCH(INDEX(Data_metier!$D:$D,MATCH($A21,Data_metier!$B:$B,0)),{"Non Concerné";"Niveau 1";"Niveau 2";"Niveau 3";"Niveau 4"},0)-1)&gt;(MATCH(INDEX(Data_metier!$D:$D,MATCH(S$1,Data_metier!$B:$B,0)),{"Non Concerné";"Niveau 1";"Niveau 2";"Niveau 3";"Niveau 4"},0)-1),
1/6,0)+IF((MATCH(INDEX(Data_metier!$E:$E,MATCH($A21,Data_metier!$B:$B,0)),{"Non Concerné";"Niveau 1";"Niveau 2";"Niveau 3";"Niveau 4"},0)-1)&gt;(MATCH(INDEX(Data_metier!$E:$E,MATCH(S$1,Data_metier!$B:$B,0)),{"Non Concerné";"Niveau 1";"Niveau 2";"Niveau 3";"Niveau 4"},0)-1),
1/6,0))</f>
        <v>0</v>
      </c>
      <c r="T21">
        <f>IF(DE_respon_transv!T21=-1,-1,
DE_respon_transv!T21+IF((MATCH(INDEX(Data_metier!$C:$C,MATCH($A21,Data_metier!$B:$B,0)),{"Non Concerné";"Niveau 1";"Niveau 2";"Niveau 3";"Niveau 4"},0)-1)&gt;(MATCH(INDEX(Data_metier!$C:$C,MATCH(T$1,Data_metier!$B:$B,0)),{"Non Concerné";"Niveau 1";"Niveau 2";"Niveau 3";"Niveau 4"},0)-1),
1/6,0)+IF((MATCH(INDEX(Data_metier!$D:$D,MATCH($A21,Data_metier!$B:$B,0)),{"Non Concerné";"Niveau 1";"Niveau 2";"Niveau 3";"Niveau 4"},0)-1)&gt;(MATCH(INDEX(Data_metier!$D:$D,MATCH(T$1,Data_metier!$B:$B,0)),{"Non Concerné";"Niveau 1";"Niveau 2";"Niveau 3";"Niveau 4"},0)-1),
1/6,0)+IF((MATCH(INDEX(Data_metier!$E:$E,MATCH($A21,Data_metier!$B:$B,0)),{"Non Concerné";"Niveau 1";"Niveau 2";"Niveau 3";"Niveau 4"},0)-1)&gt;(MATCH(INDEX(Data_metier!$E:$E,MATCH(T$1,Data_metier!$B:$B,0)),{"Non Concerné";"Niveau 1";"Niveau 2";"Niveau 3";"Niveau 4"},0)-1),
1/6,0))</f>
        <v>0</v>
      </c>
      <c r="U21">
        <f>IF(DE_respon_transv!U21=-1,-1,
DE_respon_transv!U21+IF((MATCH(INDEX(Data_metier!$C:$C,MATCH($A21,Data_metier!$B:$B,0)),{"Non Concerné";"Niveau 1";"Niveau 2";"Niveau 3";"Niveau 4"},0)-1)&gt;(MATCH(INDEX(Data_metier!$C:$C,MATCH(U$1,Data_metier!$B:$B,0)),{"Non Concerné";"Niveau 1";"Niveau 2";"Niveau 3";"Niveau 4"},0)-1),
1/6,0)+IF((MATCH(INDEX(Data_metier!$D:$D,MATCH($A21,Data_metier!$B:$B,0)),{"Non Concerné";"Niveau 1";"Niveau 2";"Niveau 3";"Niveau 4"},0)-1)&gt;(MATCH(INDEX(Data_metier!$D:$D,MATCH(U$1,Data_metier!$B:$B,0)),{"Non Concerné";"Niveau 1";"Niveau 2";"Niveau 3";"Niveau 4"},0)-1),
1/6,0)+IF((MATCH(INDEX(Data_metier!$E:$E,MATCH($A21,Data_metier!$B:$B,0)),{"Non Concerné";"Niveau 1";"Niveau 2";"Niveau 3";"Niveau 4"},0)-1)&gt;(MATCH(INDEX(Data_metier!$E:$E,MATCH(U$1,Data_metier!$B:$B,0)),{"Non Concerné";"Niveau 1";"Niveau 2";"Niveau 3";"Niveau 4"},0)-1),
1/6,0))</f>
        <v>0</v>
      </c>
      <c r="V21">
        <f>IF(DE_respon_transv!V21=-1,-1,
DE_respon_transv!V21+IF((MATCH(INDEX(Data_metier!$C:$C,MATCH($A21,Data_metier!$B:$B,0)),{"Non Concerné";"Niveau 1";"Niveau 2";"Niveau 3";"Niveau 4"},0)-1)&gt;(MATCH(INDEX(Data_metier!$C:$C,MATCH(V$1,Data_metier!$B:$B,0)),{"Non Concerné";"Niveau 1";"Niveau 2";"Niveau 3";"Niveau 4"},0)-1),
1/6,0)+IF((MATCH(INDEX(Data_metier!$D:$D,MATCH($A21,Data_metier!$B:$B,0)),{"Non Concerné";"Niveau 1";"Niveau 2";"Niveau 3";"Niveau 4"},0)-1)&gt;(MATCH(INDEX(Data_metier!$D:$D,MATCH(V$1,Data_metier!$B:$B,0)),{"Non Concerné";"Niveau 1";"Niveau 2";"Niveau 3";"Niveau 4"},0)-1),
1/6,0)+IF((MATCH(INDEX(Data_metier!$E:$E,MATCH($A21,Data_metier!$B:$B,0)),{"Non Concerné";"Niveau 1";"Niveau 2";"Niveau 3";"Niveau 4"},0)-1)&gt;(MATCH(INDEX(Data_metier!$E:$E,MATCH(V$1,Data_metier!$B:$B,0)),{"Non Concerné";"Niveau 1";"Niveau 2";"Niveau 3";"Niveau 4"},0)-1),
1/6,0))</f>
        <v>-1</v>
      </c>
      <c r="W21">
        <f>IF(DE_respon_transv!W21=-1,-1,
DE_respon_transv!W21+IF((MATCH(INDEX(Data_metier!$C:$C,MATCH($A21,Data_metier!$B:$B,0)),{"Non Concerné";"Niveau 1";"Niveau 2";"Niveau 3";"Niveau 4"},0)-1)&gt;(MATCH(INDEX(Data_metier!$C:$C,MATCH(W$1,Data_metier!$B:$B,0)),{"Non Concerné";"Niveau 1";"Niveau 2";"Niveau 3";"Niveau 4"},0)-1),
1/6,0)+IF((MATCH(INDEX(Data_metier!$D:$D,MATCH($A21,Data_metier!$B:$B,0)),{"Non Concerné";"Niveau 1";"Niveau 2";"Niveau 3";"Niveau 4"},0)-1)&gt;(MATCH(INDEX(Data_metier!$D:$D,MATCH(W$1,Data_metier!$B:$B,0)),{"Non Concerné";"Niveau 1";"Niveau 2";"Niveau 3";"Niveau 4"},0)-1),
1/6,0)+IF((MATCH(INDEX(Data_metier!$E:$E,MATCH($A21,Data_metier!$B:$B,0)),{"Non Concerné";"Niveau 1";"Niveau 2";"Niveau 3";"Niveau 4"},0)-1)&gt;(MATCH(INDEX(Data_metier!$E:$E,MATCH(W$1,Data_metier!$B:$B,0)),{"Non Concerné";"Niveau 1";"Niveau 2";"Niveau 3";"Niveau 4"},0)-1),
1/6,0))</f>
        <v>-1</v>
      </c>
      <c r="X21">
        <f>IF(DE_respon_transv!X21=-1,-1,
DE_respon_transv!X21+IF((MATCH(INDEX(Data_metier!$C:$C,MATCH($A21,Data_metier!$B:$B,0)),{"Non Concerné";"Niveau 1";"Niveau 2";"Niveau 3";"Niveau 4"},0)-1)&gt;(MATCH(INDEX(Data_metier!$C:$C,MATCH(X$1,Data_metier!$B:$B,0)),{"Non Concerné";"Niveau 1";"Niveau 2";"Niveau 3";"Niveau 4"},0)-1),
1/6,0)+IF((MATCH(INDEX(Data_metier!$D:$D,MATCH($A21,Data_metier!$B:$B,0)),{"Non Concerné";"Niveau 1";"Niveau 2";"Niveau 3";"Niveau 4"},0)-1)&gt;(MATCH(INDEX(Data_metier!$D:$D,MATCH(X$1,Data_metier!$B:$B,0)),{"Non Concerné";"Niveau 1";"Niveau 2";"Niveau 3";"Niveau 4"},0)-1),
1/6,0)+IF((MATCH(INDEX(Data_metier!$E:$E,MATCH($A21,Data_metier!$B:$B,0)),{"Non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21">
        <f>IF(DE_respon_transv!Y21=-1,-1,
DE_respon_transv!Y21+IF((MATCH(INDEX(Data_metier!$C:$C,MATCH($A21,Data_metier!$B:$B,0)),{"Non Concerné";"Niveau 1";"Niveau 2";"Niveau 3";"Niveau 4"},0)-1)&gt;(MATCH(INDEX(Data_metier!$C:$C,MATCH(Y$1,Data_metier!$B:$B,0)),{"Non Concerné";"Niveau 1";"Niveau 2";"Niveau 3";"Niveau 4"},0)-1),
1/6,0)+IF((MATCH(INDEX(Data_metier!$D:$D,MATCH($A21,Data_metier!$B:$B,0)),{"Non Concerné";"Niveau 1";"Niveau 2";"Niveau 3";"Niveau 4"},0)-1)&gt;(MATCH(INDEX(Data_metier!$D:$D,MATCH(Y$1,Data_metier!$B:$B,0)),{"Non Concerné";"Niveau 1";"Niveau 2";"Niveau 3";"Niveau 4"},0)-1),
1/6,0)+IF((MATCH(INDEX(Data_metier!$E:$E,MATCH($A21,Data_metier!$B:$B,0)),{"Non Concerné";"Niveau 1";"Niveau 2";"Niveau 3";"Niveau 4"},0)-1)&gt;(MATCH(INDEX(Data_metier!$E:$E,MATCH(Y$1,Data_metier!$B:$B,0)),{"Non Concerné";"Niveau 1";"Niveau 2";"Niveau 3";"Niveau 4"},0)-1),
1/6,0))</f>
        <v>0</v>
      </c>
      <c r="Z21">
        <f>IF(DE_respon_transv!Z21=-1,-1,
DE_respon_transv!Z21+IF((MATCH(INDEX(Data_metier!$C:$C,MATCH($A21,Data_metier!$B:$B,0)),{"Non Concerné";"Niveau 1";"Niveau 2";"Niveau 3";"Niveau 4"},0)-1)&gt;(MATCH(INDEX(Data_metier!$C:$C,MATCH(Z$1,Data_metier!$B:$B,0)),{"Non Concerné";"Niveau 1";"Niveau 2";"Niveau 3";"Niveau 4"},0)-1),
1/6,0)+IF((MATCH(INDEX(Data_metier!$D:$D,MATCH($A21,Data_metier!$B:$B,0)),{"Non Concerné";"Niveau 1";"Niveau 2";"Niveau 3";"Niveau 4"},0)-1)&gt;(MATCH(INDEX(Data_metier!$D:$D,MATCH(Z$1,Data_metier!$B:$B,0)),{"Non Concerné";"Niveau 1";"Niveau 2";"Niveau 3";"Niveau 4"},0)-1),
1/6,0)+IF((MATCH(INDEX(Data_metier!$E:$E,MATCH($A21,Data_metier!$B:$B,0)),{"Non Concerné";"Niveau 1";"Niveau 2";"Niveau 3";"Niveau 4"},0)-1)&gt;(MATCH(INDEX(Data_metier!$E:$E,MATCH(Z$1,Data_metier!$B:$B,0)),{"Non Concerné";"Niveau 1";"Niveau 2";"Niveau 3";"Niveau 4"},0)-1),
1/6,0))</f>
        <v>0</v>
      </c>
      <c r="AA21">
        <f>IF(DE_respon_transv!AA21=-1,-1,
DE_respon_transv!AA21+IF((MATCH(INDEX(Data_metier!$C:$C,MATCH($A21,Data_metier!$B:$B,0)),{"Non Concerné";"Niveau 1";"Niveau 2";"Niveau 3";"Niveau 4"},0)-1)&gt;(MATCH(INDEX(Data_metier!$C:$C,MATCH(AA$1,Data_metier!$B:$B,0)),{"Non Concerné";"Niveau 1";"Niveau 2";"Niveau 3";"Niveau 4"},0)-1),
1/6,0)+IF((MATCH(INDEX(Data_metier!$D:$D,MATCH($A21,Data_metier!$B:$B,0)),{"Non Concerné";"Niveau 1";"Niveau 2";"Niveau 3";"Niveau 4"},0)-1)&gt;(MATCH(INDEX(Data_metier!$D:$D,MATCH(AA$1,Data_metier!$B:$B,0)),{"Non Concerné";"Niveau 1";"Niveau 2";"Niveau 3";"Niveau 4"},0)-1),
1/6,0)+IF((MATCH(INDEX(Data_metier!$E:$E,MATCH($A21,Data_metier!$B:$B,0)),{"Non Concerné";"Niveau 1";"Niveau 2";"Niveau 3";"Niveau 4"},0)-1)&gt;(MATCH(INDEX(Data_metier!$E:$E,MATCH(AA$1,Data_metier!$B:$B,0)),{"Non Concerné";"Niveau 1";"Niveau 2";"Niveau 3";"Niveau 4"},0)-1),
1/6,0))</f>
        <v>0</v>
      </c>
      <c r="AB21">
        <f>IF(DE_respon_transv!AB21=-1,-1,
DE_respon_transv!AB21+IF((MATCH(INDEX(Data_metier!$C:$C,MATCH($A21,Data_metier!$B:$B,0)),{"Non Concerné";"Niveau 1";"Niveau 2";"Niveau 3";"Niveau 4"},0)-1)&gt;(MATCH(INDEX(Data_metier!$C:$C,MATCH(AB$1,Data_metier!$B:$B,0)),{"Non Concerné";"Niveau 1";"Niveau 2";"Niveau 3";"Niveau 4"},0)-1),
1/6,0)+IF((MATCH(INDEX(Data_metier!$D:$D,MATCH($A21,Data_metier!$B:$B,0)),{"Non Concerné";"Niveau 1";"Niveau 2";"Niveau 3";"Niveau 4"},0)-1)&gt;(MATCH(INDEX(Data_metier!$D:$D,MATCH(AB$1,Data_metier!$B:$B,0)),{"Non Concerné";"Niveau 1";"Niveau 2";"Niveau 3";"Niveau 4"},0)-1),
1/6,0)+IF((MATCH(INDEX(Data_metier!$E:$E,MATCH($A21,Data_metier!$B:$B,0)),{"Non Concerné";"Niveau 1";"Niveau 2";"Niveau 3";"Niveau 4"},0)-1)&gt;(MATCH(INDEX(Data_metier!$E:$E,MATCH(AB$1,Data_metier!$B:$B,0)),{"Non Concerné";"Niveau 1";"Niveau 2";"Niveau 3";"Niveau 4"},0)-1),
1/6,0))</f>
        <v>-1</v>
      </c>
      <c r="AC21">
        <f>IF(DE_respon_transv!AC21=-1,-1,
DE_respon_transv!AC21+IF((MATCH(INDEX(Data_metier!$C:$C,MATCH($A21,Data_metier!$B:$B,0)),{"Non Concerné";"Niveau 1";"Niveau 2";"Niveau 3";"Niveau 4"},0)-1)&gt;(MATCH(INDEX(Data_metier!$C:$C,MATCH(AC$1,Data_metier!$B:$B,0)),{"Non Concerné";"Niveau 1";"Niveau 2";"Niveau 3";"Niveau 4"},0)-1),
1/6,0)+IF((MATCH(INDEX(Data_metier!$D:$D,MATCH($A21,Data_metier!$B:$B,0)),{"Non Concerné";"Niveau 1";"Niveau 2";"Niveau 3";"Niveau 4"},0)-1)&gt;(MATCH(INDEX(Data_metier!$D:$D,MATCH(AC$1,Data_metier!$B:$B,0)),{"Non Concerné";"Niveau 1";"Niveau 2";"Niveau 3";"Niveau 4"},0)-1),
1/6,0)+IF((MATCH(INDEX(Data_metier!$E:$E,MATCH($A21,Data_metier!$B:$B,0)),{"Non Concerné";"Niveau 1";"Niveau 2";"Niveau 3";"Niveau 4"},0)-1)&gt;(MATCH(INDEX(Data_metier!$E:$E,MATCH(AC$1,Data_metier!$B:$B,0)),{"Non Concerné";"Niveau 1";"Niveau 2";"Niveau 3";"Niveau 4"},0)-1),
1/6,0))</f>
        <v>-1</v>
      </c>
      <c r="AD21">
        <f>IF(DE_respon_transv!AD21=-1,-1,
DE_respon_transv!AD21+IF((MATCH(INDEX(Data_metier!$C:$C,MATCH($A21,Data_metier!$B:$B,0)),{"Non Concerné";"Niveau 1";"Niveau 2";"Niveau 3";"Niveau 4"},0)-1)&gt;(MATCH(INDEX(Data_metier!$C:$C,MATCH(AD$1,Data_metier!$B:$B,0)),{"Non Concerné";"Niveau 1";"Niveau 2";"Niveau 3";"Niveau 4"},0)-1),
1/6,0)+IF((MATCH(INDEX(Data_metier!$D:$D,MATCH($A21,Data_metier!$B:$B,0)),{"Non Concerné";"Niveau 1";"Niveau 2";"Niveau 3";"Niveau 4"},0)-1)&gt;(MATCH(INDEX(Data_metier!$D:$D,MATCH(AD$1,Data_metier!$B:$B,0)),{"Non Concerné";"Niveau 1";"Niveau 2";"Niveau 3";"Niveau 4"},0)-1),
1/6,0)+IF((MATCH(INDEX(Data_metier!$E:$E,MATCH($A21,Data_metier!$B:$B,0)),{"Non Concerné";"Niveau 1";"Niveau 2";"Niveau 3";"Niveau 4"},0)-1)&gt;(MATCH(INDEX(Data_metier!$E:$E,MATCH(AD$1,Data_metier!$B:$B,0)),{"Non Concerné";"Niveau 1";"Niveau 2";"Niveau 3";"Niveau 4"},0)-1),
1/6,0))</f>
        <v>-1</v>
      </c>
    </row>
    <row r="22" spans="1:30">
      <c r="A22" t="str">
        <v>Conducteur(trice) de ligne(s)de production alimentaire (fabrication/conditionnement)</v>
      </c>
      <c r="B22">
        <f>IF(DE_respon_transv!B22=-1,-1,
DE_respon_transv!B22+IF((MATCH(INDEX(Data_metier!$C:$C,MATCH($A22,Data_metier!$B:$B,0)),{"Non Concerné";"Niveau 1";"Niveau 2";"Niveau 3";"Niveau 4"},0)-1)&gt;(MATCH(INDEX(Data_metier!$C:$C,MATCH(B$1,Data_metier!$B:$B,0)),{"Non Concerné";"Niveau 1";"Niveau 2";"Niveau 3";"Niveau 4"},0)-1),
1/6,0)+IF((MATCH(INDEX(Data_metier!$D:$D,MATCH($A22,Data_metier!$B:$B,0)),{"Non Concerné";"Niveau 1";"Niveau 2";"Niveau 3";"Niveau 4"},0)-1)&gt;(MATCH(INDEX(Data_metier!$D:$D,MATCH(B$1,Data_metier!$B:$B,0)),{"Non Concerné";"Niveau 1";"Niveau 2";"Niveau 3";"Niveau 4"},0)-1),
1/6,0)+IF((MATCH(INDEX(Data_metier!$E:$E,MATCH($A22,Data_metier!$B:$B,0)),{"Non Concerné";"Niveau 1";"Niveau 2";"Niveau 3";"Niveau 4"},0)-1)&gt;(MATCH(INDEX(Data_metier!$E:$E,MATCH(B$1,Data_metier!$B:$B,0)),{"Non Concerné";"Niveau 1";"Niveau 2";"Niveau 3";"Niveau 4"},0)-1),
1/6,0))</f>
        <v>0.5</v>
      </c>
      <c r="C22">
        <f>IF(DE_respon_transv!C22=-1,-1,
DE_respon_transv!C22+IF((MATCH(INDEX(Data_metier!$C:$C,MATCH($A22,Data_metier!$B:$B,0)),{"Non Concerné";"Niveau 1";"Niveau 2";"Niveau 3";"Niveau 4"},0)-1)&gt;(MATCH(INDEX(Data_metier!$C:$C,MATCH(C$1,Data_metier!$B:$B,0)),{"Non Concerné";"Niveau 1";"Niveau 2";"Niveau 3";"Niveau 4"},0)-1),
1/6,0)+IF((MATCH(INDEX(Data_metier!$D:$D,MATCH($A22,Data_metier!$B:$B,0)),{"Non Concerné";"Niveau 1";"Niveau 2";"Niveau 3";"Niveau 4"},0)-1)&gt;(MATCH(INDEX(Data_metier!$D:$D,MATCH(C$1,Data_metier!$B:$B,0)),{"Non Concerné";"Niveau 1";"Niveau 2";"Niveau 3";"Niveau 4"},0)-1),
1/6,0)+IF((MATCH(INDEX(Data_metier!$E:$E,MATCH($A22,Data_metier!$B:$B,0)),{"Non Concerné";"Niveau 1";"Niveau 2";"Niveau 3";"Niveau 4"},0)-1)&gt;(MATCH(INDEX(Data_metier!$E:$E,MATCH(C$1,Data_metier!$B:$B,0)),{"Non Concerné";"Niveau 1";"Niveau 2";"Niveau 3";"Niveau 4"},0)-1),
1/6,0))</f>
        <v>0.16666666666666666</v>
      </c>
      <c r="D22">
        <f>IF(DE_respon_transv!D22=-1,-1,
DE_respon_transv!D22+IF((MATCH(INDEX(Data_metier!$C:$C,MATCH($A22,Data_metier!$B:$B,0)),{"Non Concerné";"Niveau 1";"Niveau 2";"Niveau 3";"Niveau 4"},0)-1)&gt;(MATCH(INDEX(Data_metier!$C:$C,MATCH(D$1,Data_metier!$B:$B,0)),{"Non Concerné";"Niveau 1";"Niveau 2";"Niveau 3";"Niveau 4"},0)-1),
1/6,0)+IF((MATCH(INDEX(Data_metier!$D:$D,MATCH($A22,Data_metier!$B:$B,0)),{"Non Concerné";"Niveau 1";"Niveau 2";"Niveau 3";"Niveau 4"},0)-1)&gt;(MATCH(INDEX(Data_metier!$D:$D,MATCH(D$1,Data_metier!$B:$B,0)),{"Non Concerné";"Niveau 1";"Niveau 2";"Niveau 3";"Niveau 4"},0)-1),
1/6,0)+IF((MATCH(INDEX(Data_metier!$E:$E,MATCH($A22,Data_metier!$B:$B,0)),{"Non Concerné";"Niveau 1";"Niveau 2";"Niveau 3";"Niveau 4"},0)-1)&gt;(MATCH(INDEX(Data_metier!$E:$E,MATCH(D$1,Data_metier!$B:$B,0)),{"Non Concerné";"Niveau 1";"Niveau 2";"Niveau 3";"Niveau 4"},0)-1),
1/6,0))</f>
        <v>1.5000000000000002</v>
      </c>
      <c r="E22">
        <f>IF(DE_respon_transv!E22=-1,-1,
DE_respon_transv!E22+IF((MATCH(INDEX(Data_metier!$C:$C,MATCH($A22,Data_metier!$B:$B,0)),{"Non Concerné";"Niveau 1";"Niveau 2";"Niveau 3";"Niveau 4"},0)-1)&gt;(MATCH(INDEX(Data_metier!$C:$C,MATCH(E$1,Data_metier!$B:$B,0)),{"Non Concerné";"Niveau 1";"Niveau 2";"Niveau 3";"Niveau 4"},0)-1),
1/6,0)+IF((MATCH(INDEX(Data_metier!$D:$D,MATCH($A22,Data_metier!$B:$B,0)),{"Non Concerné";"Niveau 1";"Niveau 2";"Niveau 3";"Niveau 4"},0)-1)&gt;(MATCH(INDEX(Data_metier!$D:$D,MATCH(E$1,Data_metier!$B:$B,0)),{"Non Concerné";"Niveau 1";"Niveau 2";"Niveau 3";"Niveau 4"},0)-1),
1/6,0)+IF((MATCH(INDEX(Data_metier!$E:$E,MATCH($A22,Data_metier!$B:$B,0)),{"Non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22">
        <f>IF(DE_respon_transv!F22=-1,-1,
DE_respon_transv!F22+IF((MATCH(INDEX(Data_metier!$C:$C,MATCH($A22,Data_metier!$B:$B,0)),{"Non Concerné";"Niveau 1";"Niveau 2";"Niveau 3";"Niveau 4"},0)-1)&gt;(MATCH(INDEX(Data_metier!$C:$C,MATCH(F$1,Data_metier!$B:$B,0)),{"Non Concerné";"Niveau 1";"Niveau 2";"Niveau 3";"Niveau 4"},0)-1),
1/6,0)+IF((MATCH(INDEX(Data_metier!$D:$D,MATCH($A22,Data_metier!$B:$B,0)),{"Non Concerné";"Niveau 1";"Niveau 2";"Niveau 3";"Niveau 4"},0)-1)&gt;(MATCH(INDEX(Data_metier!$D:$D,MATCH(F$1,Data_metier!$B:$B,0)),{"Non Concerné";"Niveau 1";"Niveau 2";"Niveau 3";"Niveau 4"},0)-1),
1/6,0)+IF((MATCH(INDEX(Data_metier!$E:$E,MATCH($A22,Data_metier!$B:$B,0)),{"Non Concerné";"Niveau 1";"Niveau 2";"Niveau 3";"Niveau 4"},0)-1)&gt;(MATCH(INDEX(Data_metier!$E:$E,MATCH(F$1,Data_metier!$B:$B,0)),{"Non Concerné";"Niveau 1";"Niveau 2";"Niveau 3";"Niveau 4"},0)-1),
1/6,0))</f>
        <v>-1</v>
      </c>
      <c r="G22">
        <f>IF(DE_respon_transv!G22=-1,-1,
DE_respon_transv!G22+IF((MATCH(INDEX(Data_metier!$C:$C,MATCH($A22,Data_metier!$B:$B,0)),{"Non Concerné";"Niveau 1";"Niveau 2";"Niveau 3";"Niveau 4"},0)-1)&gt;(MATCH(INDEX(Data_metier!$C:$C,MATCH(G$1,Data_metier!$B:$B,0)),{"Non Concerné";"Niveau 1";"Niveau 2";"Niveau 3";"Niveau 4"},0)-1),
1/6,0)+IF((MATCH(INDEX(Data_metier!$D:$D,MATCH($A22,Data_metier!$B:$B,0)),{"Non Concerné";"Niveau 1";"Niveau 2";"Niveau 3";"Niveau 4"},0)-1)&gt;(MATCH(INDEX(Data_metier!$D:$D,MATCH(G$1,Data_metier!$B:$B,0)),{"Non Concerné";"Niveau 1";"Niveau 2";"Niveau 3";"Niveau 4"},0)-1),
1/6,0)+IF((MATCH(INDEX(Data_metier!$E:$E,MATCH($A22,Data_metier!$B:$B,0)),{"Non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22">
        <f>IF(DE_respon_transv!H22=-1,-1,
DE_respon_transv!H22+IF((MATCH(INDEX(Data_metier!$C:$C,MATCH($A22,Data_metier!$B:$B,0)),{"Non Concerné";"Niveau 1";"Niveau 2";"Niveau 3";"Niveau 4"},0)-1)&gt;(MATCH(INDEX(Data_metier!$C:$C,MATCH(H$1,Data_metier!$B:$B,0)),{"Non Concerné";"Niveau 1";"Niveau 2";"Niveau 3";"Niveau 4"},0)-1),
1/6,0)+IF((MATCH(INDEX(Data_metier!$D:$D,MATCH($A22,Data_metier!$B:$B,0)),{"Non Concerné";"Niveau 1";"Niveau 2";"Niveau 3";"Niveau 4"},0)-1)&gt;(MATCH(INDEX(Data_metier!$D:$D,MATCH(H$1,Data_metier!$B:$B,0)),{"Non Concerné";"Niveau 1";"Niveau 2";"Niveau 3";"Niveau 4"},0)-1),
1/6,0)+IF((MATCH(INDEX(Data_metier!$E:$E,MATCH($A22,Data_metier!$B:$B,0)),{"Non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22">
        <f>IF(DE_respon_transv!I22=-1,-1,
DE_respon_transv!I22+IF((MATCH(INDEX(Data_metier!$C:$C,MATCH($A22,Data_metier!$B:$B,0)),{"Non Concerné";"Niveau 1";"Niveau 2";"Niveau 3";"Niveau 4"},0)-1)&gt;(MATCH(INDEX(Data_metier!$C:$C,MATCH(I$1,Data_metier!$B:$B,0)),{"Non Concerné";"Niveau 1";"Niveau 2";"Niveau 3";"Niveau 4"},0)-1),
1/6,0)+IF((MATCH(INDEX(Data_metier!$D:$D,MATCH($A22,Data_metier!$B:$B,0)),{"Non Concerné";"Niveau 1";"Niveau 2";"Niveau 3";"Niveau 4"},0)-1)&gt;(MATCH(INDEX(Data_metier!$D:$D,MATCH(I$1,Data_metier!$B:$B,0)),{"Non Concerné";"Niveau 1";"Niveau 2";"Niveau 3";"Niveau 4"},0)-1),
1/6,0)+IF((MATCH(INDEX(Data_metier!$E:$E,MATCH($A22,Data_metier!$B:$B,0)),{"Non Concerné";"Niveau 1";"Niveau 2";"Niveau 3";"Niveau 4"},0)-1)&gt;(MATCH(INDEX(Data_metier!$E:$E,MATCH(I$1,Data_metier!$B:$B,0)),{"Non Concerné";"Niveau 1";"Niveau 2";"Niveau 3";"Niveau 4"},0)-1),
1/6,0))</f>
        <v>1.5000000000000002</v>
      </c>
      <c r="J22">
        <f>IF(DE_respon_transv!J22=-1,-1,
DE_respon_transv!J22+IF((MATCH(INDEX(Data_metier!$C:$C,MATCH($A22,Data_metier!$B:$B,0)),{"Non Concerné";"Niveau 1";"Niveau 2";"Niveau 3";"Niveau 4"},0)-1)&gt;(MATCH(INDEX(Data_metier!$C:$C,MATCH(J$1,Data_metier!$B:$B,0)),{"Non Concerné";"Niveau 1";"Niveau 2";"Niveau 3";"Niveau 4"},0)-1),
1/6,0)+IF((MATCH(INDEX(Data_metier!$D:$D,MATCH($A22,Data_metier!$B:$B,0)),{"Non Concerné";"Niveau 1";"Niveau 2";"Niveau 3";"Niveau 4"},0)-1)&gt;(MATCH(INDEX(Data_metier!$D:$D,MATCH(J$1,Data_metier!$B:$B,0)),{"Non Concerné";"Niveau 1";"Niveau 2";"Niveau 3";"Niveau 4"},0)-1),
1/6,0)+IF((MATCH(INDEX(Data_metier!$E:$E,MATCH($A22,Data_metier!$B:$B,0)),{"Non Concerné";"Niveau 1";"Niveau 2";"Niveau 3";"Niveau 4"},0)-1)&gt;(MATCH(INDEX(Data_metier!$E:$E,MATCH(J$1,Data_metier!$B:$B,0)),{"Non Concerné";"Niveau 1";"Niveau 2";"Niveau 3";"Niveau 4"},0)-1),
1/6,0))</f>
        <v>-1</v>
      </c>
      <c r="K22">
        <f>IF(DE_respon_transv!K22=-1,-1,
DE_respon_transv!K22+IF((MATCH(INDEX(Data_metier!$C:$C,MATCH($A22,Data_metier!$B:$B,0)),{"Non Concerné";"Niveau 1";"Niveau 2";"Niveau 3";"Niveau 4"},0)-1)&gt;(MATCH(INDEX(Data_metier!$C:$C,MATCH(K$1,Data_metier!$B:$B,0)),{"Non Concerné";"Niveau 1";"Niveau 2";"Niveau 3";"Niveau 4"},0)-1),
1/6,0)+IF((MATCH(INDEX(Data_metier!$D:$D,MATCH($A22,Data_metier!$B:$B,0)),{"Non Concerné";"Niveau 1";"Niveau 2";"Niveau 3";"Niveau 4"},0)-1)&gt;(MATCH(INDEX(Data_metier!$D:$D,MATCH(K$1,Data_metier!$B:$B,0)),{"Non Concerné";"Niveau 1";"Niveau 2";"Niveau 3";"Niveau 4"},0)-1),
1/6,0)+IF((MATCH(INDEX(Data_metier!$E:$E,MATCH($A22,Data_metier!$B:$B,0)),{"Non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22">
        <f>IF(DE_respon_transv!L22=-1,-1,
DE_respon_transv!L22+IF((MATCH(INDEX(Data_metier!$C:$C,MATCH($A22,Data_metier!$B:$B,0)),{"Non Concerné";"Niveau 1";"Niveau 2";"Niveau 3";"Niveau 4"},0)-1)&gt;(MATCH(INDEX(Data_metier!$C:$C,MATCH(L$1,Data_metier!$B:$B,0)),{"Non Concerné";"Niveau 1";"Niveau 2";"Niveau 3";"Niveau 4"},0)-1),
1/6,0)+IF((MATCH(INDEX(Data_metier!$D:$D,MATCH($A22,Data_metier!$B:$B,0)),{"Non Concerné";"Niveau 1";"Niveau 2";"Niveau 3";"Niveau 4"},0)-1)&gt;(MATCH(INDEX(Data_metier!$D:$D,MATCH(L$1,Data_metier!$B:$B,0)),{"Non Concerné";"Niveau 1";"Niveau 2";"Niveau 3";"Niveau 4"},0)-1),
1/6,0)+IF((MATCH(INDEX(Data_metier!$E:$E,MATCH($A22,Data_metier!$B:$B,0)),{"Non Concerné";"Niveau 1";"Niveau 2";"Niveau 3";"Niveau 4"},0)-1)&gt;(MATCH(INDEX(Data_metier!$E:$E,MATCH(L$1,Data_metier!$B:$B,0)),{"Non Concerné";"Niveau 1";"Niveau 2";"Niveau 3";"Niveau 4"},0)-1),
1/6,0))</f>
        <v>1</v>
      </c>
      <c r="M22">
        <f>IF(DE_respon_transv!M22=-1,-1,
DE_respon_transv!M22+IF((MATCH(INDEX(Data_metier!$C:$C,MATCH($A22,Data_metier!$B:$B,0)),{"Non Concerné";"Niveau 1";"Niveau 2";"Niveau 3";"Niveau 4"},0)-1)&gt;(MATCH(INDEX(Data_metier!$C:$C,MATCH(M$1,Data_metier!$B:$B,0)),{"Non Concerné";"Niveau 1";"Niveau 2";"Niveau 3";"Niveau 4"},0)-1),
1/6,0)+IF((MATCH(INDEX(Data_metier!$D:$D,MATCH($A22,Data_metier!$B:$B,0)),{"Non Concerné";"Niveau 1";"Niveau 2";"Niveau 3";"Niveau 4"},0)-1)&gt;(MATCH(INDEX(Data_metier!$D:$D,MATCH(M$1,Data_metier!$B:$B,0)),{"Non Concerné";"Niveau 1";"Niveau 2";"Niveau 3";"Niveau 4"},0)-1),
1/6,0)+IF((MATCH(INDEX(Data_metier!$E:$E,MATCH($A22,Data_metier!$B:$B,0)),{"Non Concerné";"Niveau 1";"Niveau 2";"Niveau 3";"Niveau 4"},0)-1)&gt;(MATCH(INDEX(Data_metier!$E:$E,MATCH(M$1,Data_metier!$B:$B,0)),{"Non Concerné";"Niveau 1";"Niveau 2";"Niveau 3";"Niveau 4"},0)-1),
1/6,0))</f>
        <v>0.33333333333333331</v>
      </c>
      <c r="N22">
        <f>IF(DE_respon_transv!N22=-1,-1,
DE_respon_transv!N22+IF((MATCH(INDEX(Data_metier!$C:$C,MATCH($A22,Data_metier!$B:$B,0)),{"Non Concerné";"Niveau 1";"Niveau 2";"Niveau 3";"Niveau 4"},0)-1)&gt;(MATCH(INDEX(Data_metier!$C:$C,MATCH(N$1,Data_metier!$B:$B,0)),{"Non Concerné";"Niveau 1";"Niveau 2";"Niveau 3";"Niveau 4"},0)-1),
1/6,0)+IF((MATCH(INDEX(Data_metier!$D:$D,MATCH($A22,Data_metier!$B:$B,0)),{"Non Concerné";"Niveau 1";"Niveau 2";"Niveau 3";"Niveau 4"},0)-1)&gt;(MATCH(INDEX(Data_metier!$D:$D,MATCH(N$1,Data_metier!$B:$B,0)),{"Non Concerné";"Niveau 1";"Niveau 2";"Niveau 3";"Niveau 4"},0)-1),
1/6,0)+IF((MATCH(INDEX(Data_metier!$E:$E,MATCH($A22,Data_metier!$B:$B,0)),{"Non Concerné";"Niveau 1";"Niveau 2";"Niveau 3";"Niveau 4"},0)-1)&gt;(MATCH(INDEX(Data_metier!$E:$E,MATCH(N$1,Data_metier!$B:$B,0)),{"Non Concerné";"Niveau 1";"Niveau 2";"Niveau 3";"Niveau 4"},0)-1),
1/6,0))</f>
        <v>-1</v>
      </c>
      <c r="O22">
        <f>IF(DE_respon_transv!O22=-1,-1,
DE_respon_transv!O22+IF((MATCH(INDEX(Data_metier!$C:$C,MATCH($A22,Data_metier!$B:$B,0)),{"Non Concerné";"Niveau 1";"Niveau 2";"Niveau 3";"Niveau 4"},0)-1)&gt;(MATCH(INDEX(Data_metier!$C:$C,MATCH(O$1,Data_metier!$B:$B,0)),{"Non Concerné";"Niveau 1";"Niveau 2";"Niveau 3";"Niveau 4"},0)-1),
1/6,0)+IF((MATCH(INDEX(Data_metier!$D:$D,MATCH($A22,Data_metier!$B:$B,0)),{"Non Concerné";"Niveau 1";"Niveau 2";"Niveau 3";"Niveau 4"},0)-1)&gt;(MATCH(INDEX(Data_metier!$D:$D,MATCH(O$1,Data_metier!$B:$B,0)),{"Non Concerné";"Niveau 1";"Niveau 2";"Niveau 3";"Niveau 4"},0)-1),
1/6,0)+IF((MATCH(INDEX(Data_metier!$E:$E,MATCH($A22,Data_metier!$B:$B,0)),{"Non Concerné";"Niveau 1";"Niveau 2";"Niveau 3";"Niveau 4"},0)-1)&gt;(MATCH(INDEX(Data_metier!$E:$E,MATCH(O$1,Data_metier!$B:$B,0)),{"Non Concerné";"Niveau 1";"Niveau 2";"Niveau 3";"Niveau 4"},0)-1),
1/6,0))</f>
        <v>1</v>
      </c>
      <c r="P22">
        <f>IF(DE_respon_transv!P22=-1,-1,
DE_respon_transv!P22+IF((MATCH(INDEX(Data_metier!$C:$C,MATCH($A22,Data_metier!$B:$B,0)),{"Non Concerné";"Niveau 1";"Niveau 2";"Niveau 3";"Niveau 4"},0)-1)&gt;(MATCH(INDEX(Data_metier!$C:$C,MATCH(P$1,Data_metier!$B:$B,0)),{"Non Concerné";"Niveau 1";"Niveau 2";"Niveau 3";"Niveau 4"},0)-1),
1/6,0)+IF((MATCH(INDEX(Data_metier!$D:$D,MATCH($A22,Data_metier!$B:$B,0)),{"Non Concerné";"Niveau 1";"Niveau 2";"Niveau 3";"Niveau 4"},0)-1)&gt;(MATCH(INDEX(Data_metier!$D:$D,MATCH(P$1,Data_metier!$B:$B,0)),{"Non Concerné";"Niveau 1";"Niveau 2";"Niveau 3";"Niveau 4"},0)-1),
1/6,0)+IF((MATCH(INDEX(Data_metier!$E:$E,MATCH($A22,Data_metier!$B:$B,0)),{"Non Concerné";"Niveau 1";"Niveau 2";"Niveau 3";"Niveau 4"},0)-1)&gt;(MATCH(INDEX(Data_metier!$E:$E,MATCH(P$1,Data_metier!$B:$B,0)),{"Non Concerné";"Niveau 1";"Niveau 2";"Niveau 3";"Niveau 4"},0)-1),
1/6,0))</f>
        <v>1.5000000000000002</v>
      </c>
      <c r="Q22">
        <f>IF(DE_respon_transv!Q22=-1,-1,
DE_respon_transv!Q22+IF((MATCH(INDEX(Data_metier!$C:$C,MATCH($A22,Data_metier!$B:$B,0)),{"Non Concerné";"Niveau 1";"Niveau 2";"Niveau 3";"Niveau 4"},0)-1)&gt;(MATCH(INDEX(Data_metier!$C:$C,MATCH(Q$1,Data_metier!$B:$B,0)),{"Non Concerné";"Niveau 1";"Niveau 2";"Niveau 3";"Niveau 4"},0)-1),
1/6,0)+IF((MATCH(INDEX(Data_metier!$D:$D,MATCH($A22,Data_metier!$B:$B,0)),{"Non Concerné";"Niveau 1";"Niveau 2";"Niveau 3";"Niveau 4"},0)-1)&gt;(MATCH(INDEX(Data_metier!$D:$D,MATCH(Q$1,Data_metier!$B:$B,0)),{"Non Concerné";"Niveau 1";"Niveau 2";"Niveau 3";"Niveau 4"},0)-1),
1/6,0)+IF((MATCH(INDEX(Data_metier!$E:$E,MATCH($A22,Data_metier!$B:$B,0)),{"Non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22">
        <f>IF(DE_respon_transv!R22=-1,-1,
DE_respon_transv!R22+IF((MATCH(INDEX(Data_metier!$C:$C,MATCH($A22,Data_metier!$B:$B,0)),{"Non Concerné";"Niveau 1";"Niveau 2";"Niveau 3";"Niveau 4"},0)-1)&gt;(MATCH(INDEX(Data_metier!$C:$C,MATCH(R$1,Data_metier!$B:$B,0)),{"Non Concerné";"Niveau 1";"Niveau 2";"Niveau 3";"Niveau 4"},0)-1),
1/6,0)+IF((MATCH(INDEX(Data_metier!$D:$D,MATCH($A22,Data_metier!$B:$B,0)),{"Non Concerné";"Niveau 1";"Niveau 2";"Niveau 3";"Niveau 4"},0)-1)&gt;(MATCH(INDEX(Data_metier!$D:$D,MATCH(R$1,Data_metier!$B:$B,0)),{"Non Concerné";"Niveau 1";"Niveau 2";"Niveau 3";"Niveau 4"},0)-1),
1/6,0)+IF((MATCH(INDEX(Data_metier!$E:$E,MATCH($A22,Data_metier!$B:$B,0)),{"Non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22">
        <f>IF(DE_respon_transv!S22=-1,-1,
DE_respon_transv!S22+IF((MATCH(INDEX(Data_metier!$C:$C,MATCH($A22,Data_metier!$B:$B,0)),{"Non Concerné";"Niveau 1";"Niveau 2";"Niveau 3";"Niveau 4"},0)-1)&gt;(MATCH(INDEX(Data_metier!$C:$C,MATCH(S$1,Data_metier!$B:$B,0)),{"Non Concerné";"Niveau 1";"Niveau 2";"Niveau 3";"Niveau 4"},0)-1),
1/6,0)+IF((MATCH(INDEX(Data_metier!$D:$D,MATCH($A22,Data_metier!$B:$B,0)),{"Non Concerné";"Niveau 1";"Niveau 2";"Niveau 3";"Niveau 4"},0)-1)&gt;(MATCH(INDEX(Data_metier!$D:$D,MATCH(S$1,Data_metier!$B:$B,0)),{"Non Concerné";"Niveau 1";"Niveau 2";"Niveau 3";"Niveau 4"},0)-1),
1/6,0)+IF((MATCH(INDEX(Data_metier!$E:$E,MATCH($A22,Data_metier!$B:$B,0)),{"Non Concerné";"Niveau 1";"Niveau 2";"Niveau 3";"Niveau 4"},0)-1)&gt;(MATCH(INDEX(Data_metier!$E:$E,MATCH(S$1,Data_metier!$B:$B,0)),{"Non Concerné";"Niveau 1";"Niveau 2";"Niveau 3";"Niveau 4"},0)-1),
1/6,0))</f>
        <v>1.5000000000000002</v>
      </c>
      <c r="T22">
        <f>IF(DE_respon_transv!T22=-1,-1,
DE_respon_transv!T22+IF((MATCH(INDEX(Data_metier!$C:$C,MATCH($A22,Data_metier!$B:$B,0)),{"Non Concerné";"Niveau 1";"Niveau 2";"Niveau 3";"Niveau 4"},0)-1)&gt;(MATCH(INDEX(Data_metier!$C:$C,MATCH(T$1,Data_metier!$B:$B,0)),{"Non Concerné";"Niveau 1";"Niveau 2";"Niveau 3";"Niveau 4"},0)-1),
1/6,0)+IF((MATCH(INDEX(Data_metier!$D:$D,MATCH($A22,Data_metier!$B:$B,0)),{"Non Concerné";"Niveau 1";"Niveau 2";"Niveau 3";"Niveau 4"},0)-1)&gt;(MATCH(INDEX(Data_metier!$D:$D,MATCH(T$1,Data_metier!$B:$B,0)),{"Non Concerné";"Niveau 1";"Niveau 2";"Niveau 3";"Niveau 4"},0)-1),
1/6,0)+IF((MATCH(INDEX(Data_metier!$E:$E,MATCH($A22,Data_metier!$B:$B,0)),{"Non Concerné";"Niveau 1";"Niveau 2";"Niveau 3";"Niveau 4"},0)-1)&gt;(MATCH(INDEX(Data_metier!$E:$E,MATCH(T$1,Data_metier!$B:$B,0)),{"Non Concerné";"Niveau 1";"Niveau 2";"Niveau 3";"Niveau 4"},0)-1),
1/6,0))</f>
        <v>1.3333333333333335</v>
      </c>
      <c r="U22">
        <f>IF(DE_respon_transv!U22=-1,-1,
DE_respon_transv!U22+IF((MATCH(INDEX(Data_metier!$C:$C,MATCH($A22,Data_metier!$B:$B,0)),{"Non Concerné";"Niveau 1";"Niveau 2";"Niveau 3";"Niveau 4"},0)-1)&gt;(MATCH(INDEX(Data_metier!$C:$C,MATCH(U$1,Data_metier!$B:$B,0)),{"Non Concerné";"Niveau 1";"Niveau 2";"Niveau 3";"Niveau 4"},0)-1),
1/6,0)+IF((MATCH(INDEX(Data_metier!$D:$D,MATCH($A22,Data_metier!$B:$B,0)),{"Non Concerné";"Niveau 1";"Niveau 2";"Niveau 3";"Niveau 4"},0)-1)&gt;(MATCH(INDEX(Data_metier!$D:$D,MATCH(U$1,Data_metier!$B:$B,0)),{"Non Concerné";"Niveau 1";"Niveau 2";"Niveau 3";"Niveau 4"},0)-1),
1/6,0)+IF((MATCH(INDEX(Data_metier!$E:$E,MATCH($A22,Data_metier!$B:$B,0)),{"Non Concerné";"Niveau 1";"Niveau 2";"Niveau 3";"Niveau 4"},0)-1)&gt;(MATCH(INDEX(Data_metier!$E:$E,MATCH(U$1,Data_metier!$B:$B,0)),{"Non Concerné";"Niveau 1";"Niveau 2";"Niveau 3";"Niveau 4"},0)-1),
1/6,0))</f>
        <v>1.5000000000000002</v>
      </c>
      <c r="V22">
        <f>IF(DE_respon_transv!V22=-1,-1,
DE_respon_transv!V22+IF((MATCH(INDEX(Data_metier!$C:$C,MATCH($A22,Data_metier!$B:$B,0)),{"Non Concerné";"Niveau 1";"Niveau 2";"Niveau 3";"Niveau 4"},0)-1)&gt;(MATCH(INDEX(Data_metier!$C:$C,MATCH(V$1,Data_metier!$B:$B,0)),{"Non Concerné";"Niveau 1";"Niveau 2";"Niveau 3";"Niveau 4"},0)-1),
1/6,0)+IF((MATCH(INDEX(Data_metier!$D:$D,MATCH($A22,Data_metier!$B:$B,0)),{"Non Concerné";"Niveau 1";"Niveau 2";"Niveau 3";"Niveau 4"},0)-1)&gt;(MATCH(INDEX(Data_metier!$D:$D,MATCH(V$1,Data_metier!$B:$B,0)),{"Non Concerné";"Niveau 1";"Niveau 2";"Niveau 3";"Niveau 4"},0)-1),
1/6,0)+IF((MATCH(INDEX(Data_metier!$E:$E,MATCH($A22,Data_metier!$B:$B,0)),{"Non Concerné";"Niveau 1";"Niveau 2";"Niveau 3";"Niveau 4"},0)-1)&gt;(MATCH(INDEX(Data_metier!$E:$E,MATCH(V$1,Data_metier!$B:$B,0)),{"Non Concerné";"Niveau 1";"Niveau 2";"Niveau 3";"Niveau 4"},0)-1),
1/6,0))</f>
        <v>0</v>
      </c>
      <c r="W22">
        <f>IF(DE_respon_transv!W22=-1,-1,
DE_respon_transv!W22+IF((MATCH(INDEX(Data_metier!$C:$C,MATCH($A22,Data_metier!$B:$B,0)),{"Non Concerné";"Niveau 1";"Niveau 2";"Niveau 3";"Niveau 4"},0)-1)&gt;(MATCH(INDEX(Data_metier!$C:$C,MATCH(W$1,Data_metier!$B:$B,0)),{"Non Concerné";"Niveau 1";"Niveau 2";"Niveau 3";"Niveau 4"},0)-1),
1/6,0)+IF((MATCH(INDEX(Data_metier!$D:$D,MATCH($A22,Data_metier!$B:$B,0)),{"Non Concerné";"Niveau 1";"Niveau 2";"Niveau 3";"Niveau 4"},0)-1)&gt;(MATCH(INDEX(Data_metier!$D:$D,MATCH(W$1,Data_metier!$B:$B,0)),{"Non Concerné";"Niveau 1";"Niveau 2";"Niveau 3";"Niveau 4"},0)-1),
1/6,0)+IF((MATCH(INDEX(Data_metier!$E:$E,MATCH($A22,Data_metier!$B:$B,0)),{"Non Concerné";"Niveau 1";"Niveau 2";"Niveau 3";"Niveau 4"},0)-1)&gt;(MATCH(INDEX(Data_metier!$E:$E,MATCH(W$1,Data_metier!$B:$B,0)),{"Non Concerné";"Niveau 1";"Niveau 2";"Niveau 3";"Niveau 4"},0)-1),
1/6,0))</f>
        <v>0</v>
      </c>
      <c r="X22">
        <f>IF(DE_respon_transv!X22=-1,-1,
DE_respon_transv!X22+IF((MATCH(INDEX(Data_metier!$C:$C,MATCH($A22,Data_metier!$B:$B,0)),{"Non Concerné";"Niveau 1";"Niveau 2";"Niveau 3";"Niveau 4"},0)-1)&gt;(MATCH(INDEX(Data_metier!$C:$C,MATCH(X$1,Data_metier!$B:$B,0)),{"Non Concerné";"Niveau 1";"Niveau 2";"Niveau 3";"Niveau 4"},0)-1),
1/6,0)+IF((MATCH(INDEX(Data_metier!$D:$D,MATCH($A22,Data_metier!$B:$B,0)),{"Non Concerné";"Niveau 1";"Niveau 2";"Niveau 3";"Niveau 4"},0)-1)&gt;(MATCH(INDEX(Data_metier!$D:$D,MATCH(X$1,Data_metier!$B:$B,0)),{"Non Concerné";"Niveau 1";"Niveau 2";"Niveau 3";"Niveau 4"},0)-1),
1/6,0)+IF((MATCH(INDEX(Data_metier!$E:$E,MATCH($A22,Data_metier!$B:$B,0)),{"Non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22">
        <f>IF(DE_respon_transv!Y22=-1,-1,
DE_respon_transv!Y22+IF((MATCH(INDEX(Data_metier!$C:$C,MATCH($A22,Data_metier!$B:$B,0)),{"Non Concerné";"Niveau 1";"Niveau 2";"Niveau 3";"Niveau 4"},0)-1)&gt;(MATCH(INDEX(Data_metier!$C:$C,MATCH(Y$1,Data_metier!$B:$B,0)),{"Non Concerné";"Niveau 1";"Niveau 2";"Niveau 3";"Niveau 4"},0)-1),
1/6,0)+IF((MATCH(INDEX(Data_metier!$D:$D,MATCH($A22,Data_metier!$B:$B,0)),{"Non Concerné";"Niveau 1";"Niveau 2";"Niveau 3";"Niveau 4"},0)-1)&gt;(MATCH(INDEX(Data_metier!$D:$D,MATCH(Y$1,Data_metier!$B:$B,0)),{"Non Concerné";"Niveau 1";"Niveau 2";"Niveau 3";"Niveau 4"},0)-1),
1/6,0)+IF((MATCH(INDEX(Data_metier!$E:$E,MATCH($A22,Data_metier!$B:$B,0)),{"Non Concerné";"Niveau 1";"Niveau 2";"Niveau 3";"Niveau 4"},0)-1)&gt;(MATCH(INDEX(Data_metier!$E:$E,MATCH(Y$1,Data_metier!$B:$B,0)),{"Non Concerné";"Niveau 1";"Niveau 2";"Niveau 3";"Niveau 4"},0)-1),
1/6,0))</f>
        <v>1.5000000000000002</v>
      </c>
      <c r="Z22">
        <f>IF(DE_respon_transv!Z22=-1,-1,
DE_respon_transv!Z22+IF((MATCH(INDEX(Data_metier!$C:$C,MATCH($A22,Data_metier!$B:$B,0)),{"Non Concerné";"Niveau 1";"Niveau 2";"Niveau 3";"Niveau 4"},0)-1)&gt;(MATCH(INDEX(Data_metier!$C:$C,MATCH(Z$1,Data_metier!$B:$B,0)),{"Non Concerné";"Niveau 1";"Niveau 2";"Niveau 3";"Niveau 4"},0)-1),
1/6,0)+IF((MATCH(INDEX(Data_metier!$D:$D,MATCH($A22,Data_metier!$B:$B,0)),{"Non Concerné";"Niveau 1";"Niveau 2";"Niveau 3";"Niveau 4"},0)-1)&gt;(MATCH(INDEX(Data_metier!$D:$D,MATCH(Z$1,Data_metier!$B:$B,0)),{"Non Concerné";"Niveau 1";"Niveau 2";"Niveau 3";"Niveau 4"},0)-1),
1/6,0)+IF((MATCH(INDEX(Data_metier!$E:$E,MATCH($A22,Data_metier!$B:$B,0)),{"Non Concerné";"Niveau 1";"Niveau 2";"Niveau 3";"Niveau 4"},0)-1)&gt;(MATCH(INDEX(Data_metier!$E:$E,MATCH(Z$1,Data_metier!$B:$B,0)),{"Non Concerné";"Niveau 1";"Niveau 2";"Niveau 3";"Niveau 4"},0)-1),
1/6,0))</f>
        <v>1.5000000000000002</v>
      </c>
      <c r="AA22">
        <f>IF(DE_respon_transv!AA22=-1,-1,
DE_respon_transv!AA22+IF((MATCH(INDEX(Data_metier!$C:$C,MATCH($A22,Data_metier!$B:$B,0)),{"Non Concerné";"Niveau 1";"Niveau 2";"Niveau 3";"Niveau 4"},0)-1)&gt;(MATCH(INDEX(Data_metier!$C:$C,MATCH(AA$1,Data_metier!$B:$B,0)),{"Non Concerné";"Niveau 1";"Niveau 2";"Niveau 3";"Niveau 4"},0)-1),
1/6,0)+IF((MATCH(INDEX(Data_metier!$D:$D,MATCH($A22,Data_metier!$B:$B,0)),{"Non Concerné";"Niveau 1";"Niveau 2";"Niveau 3";"Niveau 4"},0)-1)&gt;(MATCH(INDEX(Data_metier!$D:$D,MATCH(AA$1,Data_metier!$B:$B,0)),{"Non Concerné";"Niveau 1";"Niveau 2";"Niveau 3";"Niveau 4"},0)-1),
1/6,0)+IF((MATCH(INDEX(Data_metier!$E:$E,MATCH($A22,Data_metier!$B:$B,0)),{"Non Concerné";"Niveau 1";"Niveau 2";"Niveau 3";"Niveau 4"},0)-1)&gt;(MATCH(INDEX(Data_metier!$E:$E,MATCH(AA$1,Data_metier!$B:$B,0)),{"Non Concerné";"Niveau 1";"Niveau 2";"Niveau 3";"Niveau 4"},0)-1),
1/6,0))</f>
        <v>1.5000000000000002</v>
      </c>
      <c r="AB22">
        <f>IF(DE_respon_transv!AB22=-1,-1,
DE_respon_transv!AB22+IF((MATCH(INDEX(Data_metier!$C:$C,MATCH($A22,Data_metier!$B:$B,0)),{"Non Concerné";"Niveau 1";"Niveau 2";"Niveau 3";"Niveau 4"},0)-1)&gt;(MATCH(INDEX(Data_metier!$C:$C,MATCH(AB$1,Data_metier!$B:$B,0)),{"Non Concerné";"Niveau 1";"Niveau 2";"Niveau 3";"Niveau 4"},0)-1),
1/6,0)+IF((MATCH(INDEX(Data_metier!$D:$D,MATCH($A22,Data_metier!$B:$B,0)),{"Non Concerné";"Niveau 1";"Niveau 2";"Niveau 3";"Niveau 4"},0)-1)&gt;(MATCH(INDEX(Data_metier!$D:$D,MATCH(AB$1,Data_metier!$B:$B,0)),{"Non Concerné";"Niveau 1";"Niveau 2";"Niveau 3";"Niveau 4"},0)-1),
1/6,0)+IF((MATCH(INDEX(Data_metier!$E:$E,MATCH($A22,Data_metier!$B:$B,0)),{"Non Concerné";"Niveau 1";"Niveau 2";"Niveau 3";"Niveau 4"},0)-1)&gt;(MATCH(INDEX(Data_metier!$E:$E,MATCH(AB$1,Data_metier!$B:$B,0)),{"Non Concerné";"Niveau 1";"Niveau 2";"Niveau 3";"Niveau 4"},0)-1),
1/6,0))</f>
        <v>0.16666666666666666</v>
      </c>
      <c r="AC22">
        <f>IF(DE_respon_transv!AC22=-1,-1,
DE_respon_transv!AC22+IF((MATCH(INDEX(Data_metier!$C:$C,MATCH($A22,Data_metier!$B:$B,0)),{"Non Concerné";"Niveau 1";"Niveau 2";"Niveau 3";"Niveau 4"},0)-1)&gt;(MATCH(INDEX(Data_metier!$C:$C,MATCH(AC$1,Data_metier!$B:$B,0)),{"Non Concerné";"Niveau 1";"Niveau 2";"Niveau 3";"Niveau 4"},0)-1),
1/6,0)+IF((MATCH(INDEX(Data_metier!$D:$D,MATCH($A22,Data_metier!$B:$B,0)),{"Non Concerné";"Niveau 1";"Niveau 2";"Niveau 3";"Niveau 4"},0)-1)&gt;(MATCH(INDEX(Data_metier!$D:$D,MATCH(AC$1,Data_metier!$B:$B,0)),{"Non Concerné";"Niveau 1";"Niveau 2";"Niveau 3";"Niveau 4"},0)-1),
1/6,0)+IF((MATCH(INDEX(Data_metier!$E:$E,MATCH($A22,Data_metier!$B:$B,0)),{"Non Concerné";"Niveau 1";"Niveau 2";"Niveau 3";"Niveau 4"},0)-1)&gt;(MATCH(INDEX(Data_metier!$E:$E,MATCH(AC$1,Data_metier!$B:$B,0)),{"Non Concerné";"Niveau 1";"Niveau 2";"Niveau 3";"Niveau 4"},0)-1),
1/6,0))</f>
        <v>0.16666666666666666</v>
      </c>
      <c r="AD22">
        <f>IF(DE_respon_transv!AD22=-1,-1,
DE_respon_transv!AD22+IF((MATCH(INDEX(Data_metier!$C:$C,MATCH($A22,Data_metier!$B:$B,0)),{"Non Concerné";"Niveau 1";"Niveau 2";"Niveau 3";"Niveau 4"},0)-1)&gt;(MATCH(INDEX(Data_metier!$C:$C,MATCH(AD$1,Data_metier!$B:$B,0)),{"Non Concerné";"Niveau 1";"Niveau 2";"Niveau 3";"Niveau 4"},0)-1),
1/6,0)+IF((MATCH(INDEX(Data_metier!$D:$D,MATCH($A22,Data_metier!$B:$B,0)),{"Non Concerné";"Niveau 1";"Niveau 2";"Niveau 3";"Niveau 4"},0)-1)&gt;(MATCH(INDEX(Data_metier!$D:$D,MATCH(AD$1,Data_metier!$B:$B,0)),{"Non Concerné";"Niveau 1";"Niveau 2";"Niveau 3";"Niveau 4"},0)-1),
1/6,0)+IF((MATCH(INDEX(Data_metier!$E:$E,MATCH($A22,Data_metier!$B:$B,0)),{"Non Concerné";"Niveau 1";"Niveau 2";"Niveau 3";"Niveau 4"},0)-1)&gt;(MATCH(INDEX(Data_metier!$E:$E,MATCH(AD$1,Data_metier!$B:$B,0)),{"Non Concerné";"Niveau 1";"Niveau 2";"Niveau 3";"Niveau 4"},0)-1),
1/6,0))</f>
        <v>-1</v>
      </c>
    </row>
    <row r="23" spans="1:30">
      <c r="A23" t="str">
        <v>Conducteur(trice) de process de production alimentaire</v>
      </c>
      <c r="B23">
        <f>IF(DE_respon_transv!B23=-1,-1,
DE_respon_transv!B23+IF((MATCH(INDEX(Data_metier!$C:$C,MATCH($A23,Data_metier!$B:$B,0)),{"Non Concerné";"Niveau 1";"Niveau 2";"Niveau 3";"Niveau 4"},0)-1)&gt;(MATCH(INDEX(Data_metier!$C:$C,MATCH(B$1,Data_metier!$B:$B,0)),{"Non Concerné";"Niveau 1";"Niveau 2";"Niveau 3";"Niveau 4"},0)-1),
1/6,0)+IF((MATCH(INDEX(Data_metier!$D:$D,MATCH($A23,Data_metier!$B:$B,0)),{"Non Concerné";"Niveau 1";"Niveau 2";"Niveau 3";"Niveau 4"},0)-1)&gt;(MATCH(INDEX(Data_metier!$D:$D,MATCH(B$1,Data_metier!$B:$B,0)),{"Non Concerné";"Niveau 1";"Niveau 2";"Niveau 3";"Niveau 4"},0)-1),
1/6,0)+IF((MATCH(INDEX(Data_metier!$E:$E,MATCH($A23,Data_metier!$B:$B,0)),{"Non Concerné";"Niveau 1";"Niveau 2";"Niveau 3";"Niveau 4"},0)-1)&gt;(MATCH(INDEX(Data_metier!$E:$E,MATCH(B$1,Data_metier!$B:$B,0)),{"Non Concerné";"Niveau 1";"Niveau 2";"Niveau 3";"Niveau 4"},0)-1),
1/6,0))</f>
        <v>0.99999999999999989</v>
      </c>
      <c r="C23">
        <f>IF(DE_respon_transv!C23=-1,-1,
DE_respon_transv!C23+IF((MATCH(INDEX(Data_metier!$C:$C,MATCH($A23,Data_metier!$B:$B,0)),{"Non Concerné";"Niveau 1";"Niveau 2";"Niveau 3";"Niveau 4"},0)-1)&gt;(MATCH(INDEX(Data_metier!$C:$C,MATCH(C$1,Data_metier!$B:$B,0)),{"Non Concerné";"Niveau 1";"Niveau 2";"Niveau 3";"Niveau 4"},0)-1),
1/6,0)+IF((MATCH(INDEX(Data_metier!$D:$D,MATCH($A23,Data_metier!$B:$B,0)),{"Non Concerné";"Niveau 1";"Niveau 2";"Niveau 3";"Niveau 4"},0)-1)&gt;(MATCH(INDEX(Data_metier!$D:$D,MATCH(C$1,Data_metier!$B:$B,0)),{"Non Concerné";"Niveau 1";"Niveau 2";"Niveau 3";"Niveau 4"},0)-1),
1/6,0)+IF((MATCH(INDEX(Data_metier!$E:$E,MATCH($A23,Data_metier!$B:$B,0)),{"Non Concerné";"Niveau 1";"Niveau 2";"Niveau 3";"Niveau 4"},0)-1)&gt;(MATCH(INDEX(Data_metier!$E:$E,MATCH(C$1,Data_metier!$B:$B,0)),{"Non Concerné";"Niveau 1";"Niveau 2";"Niveau 3";"Niveau 4"},0)-1),
1/6,0))</f>
        <v>0.66666666666666663</v>
      </c>
      <c r="D23">
        <f>IF(DE_respon_transv!D23=-1,-1,
DE_respon_transv!D23+IF((MATCH(INDEX(Data_metier!$C:$C,MATCH($A23,Data_metier!$B:$B,0)),{"Non Concerné";"Niveau 1";"Niveau 2";"Niveau 3";"Niveau 4"},0)-1)&gt;(MATCH(INDEX(Data_metier!$C:$C,MATCH(D$1,Data_metier!$B:$B,0)),{"Non Concerné";"Niveau 1";"Niveau 2";"Niveau 3";"Niveau 4"},0)-1),
1/6,0)+IF((MATCH(INDEX(Data_metier!$D:$D,MATCH($A23,Data_metier!$B:$B,0)),{"Non Concerné";"Niveau 1";"Niveau 2";"Niveau 3";"Niveau 4"},0)-1)&gt;(MATCH(INDEX(Data_metier!$D:$D,MATCH(D$1,Data_metier!$B:$B,0)),{"Non Concerné";"Niveau 1";"Niveau 2";"Niveau 3";"Niveau 4"},0)-1),
1/6,0)+IF((MATCH(INDEX(Data_metier!$E:$E,MATCH($A23,Data_metier!$B:$B,0)),{"Non Concerné";"Niveau 1";"Niveau 2";"Niveau 3";"Niveau 4"},0)-1)&gt;(MATCH(INDEX(Data_metier!$E:$E,MATCH(D$1,Data_metier!$B:$B,0)),{"Non Concerné";"Niveau 1";"Niveau 2";"Niveau 3";"Niveau 4"},0)-1),
1/6,0))</f>
        <v>2</v>
      </c>
      <c r="E23">
        <f>IF(DE_respon_transv!E23=-1,-1,
DE_respon_transv!E23+IF((MATCH(INDEX(Data_metier!$C:$C,MATCH($A23,Data_metier!$B:$B,0)),{"Non Concerné";"Niveau 1";"Niveau 2";"Niveau 3";"Niveau 4"},0)-1)&gt;(MATCH(INDEX(Data_metier!$C:$C,MATCH(E$1,Data_metier!$B:$B,0)),{"Non Concerné";"Niveau 1";"Niveau 2";"Niveau 3";"Niveau 4"},0)-1),
1/6,0)+IF((MATCH(INDEX(Data_metier!$D:$D,MATCH($A23,Data_metier!$B:$B,0)),{"Non Concerné";"Niveau 1";"Niveau 2";"Niveau 3";"Niveau 4"},0)-1)&gt;(MATCH(INDEX(Data_metier!$D:$D,MATCH(E$1,Data_metier!$B:$B,0)),{"Non Concerné";"Niveau 1";"Niveau 2";"Niveau 3";"Niveau 4"},0)-1),
1/6,0)+IF((MATCH(INDEX(Data_metier!$E:$E,MATCH($A23,Data_metier!$B:$B,0)),{"Non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23">
        <f>IF(DE_respon_transv!F23=-1,-1,
DE_respon_transv!F23+IF((MATCH(INDEX(Data_metier!$C:$C,MATCH($A23,Data_metier!$B:$B,0)),{"Non Concerné";"Niveau 1";"Niveau 2";"Niveau 3";"Niveau 4"},0)-1)&gt;(MATCH(INDEX(Data_metier!$C:$C,MATCH(F$1,Data_metier!$B:$B,0)),{"Non Concerné";"Niveau 1";"Niveau 2";"Niveau 3";"Niveau 4"},0)-1),
1/6,0)+IF((MATCH(INDEX(Data_metier!$D:$D,MATCH($A23,Data_metier!$B:$B,0)),{"Non Concerné";"Niveau 1";"Niveau 2";"Niveau 3";"Niveau 4"},0)-1)&gt;(MATCH(INDEX(Data_metier!$D:$D,MATCH(F$1,Data_metier!$B:$B,0)),{"Non Concerné";"Niveau 1";"Niveau 2";"Niveau 3";"Niveau 4"},0)-1),
1/6,0)+IF((MATCH(INDEX(Data_metier!$E:$E,MATCH($A23,Data_metier!$B:$B,0)),{"Non Concerné";"Niveau 1";"Niveau 2";"Niveau 3";"Niveau 4"},0)-1)&gt;(MATCH(INDEX(Data_metier!$E:$E,MATCH(F$1,Data_metier!$B:$B,0)),{"Non Concerné";"Niveau 1";"Niveau 2";"Niveau 3";"Niveau 4"},0)-1),
1/6,0))</f>
        <v>-0.5</v>
      </c>
      <c r="G23">
        <f>IF(DE_respon_transv!G23=-1,-1,
DE_respon_transv!G23+IF((MATCH(INDEX(Data_metier!$C:$C,MATCH($A23,Data_metier!$B:$B,0)),{"Non Concerné";"Niveau 1";"Niveau 2";"Niveau 3";"Niveau 4"},0)-1)&gt;(MATCH(INDEX(Data_metier!$C:$C,MATCH(G$1,Data_metier!$B:$B,0)),{"Non Concerné";"Niveau 1";"Niveau 2";"Niveau 3";"Niveau 4"},0)-1),
1/6,0)+IF((MATCH(INDEX(Data_metier!$D:$D,MATCH($A23,Data_metier!$B:$B,0)),{"Non Concerné";"Niveau 1";"Niveau 2";"Niveau 3";"Niveau 4"},0)-1)&gt;(MATCH(INDEX(Data_metier!$D:$D,MATCH(G$1,Data_metier!$B:$B,0)),{"Non Concerné";"Niveau 1";"Niveau 2";"Niveau 3";"Niveau 4"},0)-1),
1/6,0)+IF((MATCH(INDEX(Data_metier!$E:$E,MATCH($A23,Data_metier!$B:$B,0)),{"Non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23">
        <f>IF(DE_respon_transv!H23=-1,-1,
DE_respon_transv!H23+IF((MATCH(INDEX(Data_metier!$C:$C,MATCH($A23,Data_metier!$B:$B,0)),{"Non Concerné";"Niveau 1";"Niveau 2";"Niveau 3";"Niveau 4"},0)-1)&gt;(MATCH(INDEX(Data_metier!$C:$C,MATCH(H$1,Data_metier!$B:$B,0)),{"Non Concerné";"Niveau 1";"Niveau 2";"Niveau 3";"Niveau 4"},0)-1),
1/6,0)+IF((MATCH(INDEX(Data_metier!$D:$D,MATCH($A23,Data_metier!$B:$B,0)),{"Non Concerné";"Niveau 1";"Niveau 2";"Niveau 3";"Niveau 4"},0)-1)&gt;(MATCH(INDEX(Data_metier!$D:$D,MATCH(H$1,Data_metier!$B:$B,0)),{"Non Concerné";"Niveau 1";"Niveau 2";"Niveau 3";"Niveau 4"},0)-1),
1/6,0)+IF((MATCH(INDEX(Data_metier!$E:$E,MATCH($A23,Data_metier!$B:$B,0)),{"Non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23">
        <f>IF(DE_respon_transv!I23=-1,-1,
DE_respon_transv!I23+IF((MATCH(INDEX(Data_metier!$C:$C,MATCH($A23,Data_metier!$B:$B,0)),{"Non Concerné";"Niveau 1";"Niveau 2";"Niveau 3";"Niveau 4"},0)-1)&gt;(MATCH(INDEX(Data_metier!$C:$C,MATCH(I$1,Data_metier!$B:$B,0)),{"Non Concerné";"Niveau 1";"Niveau 2";"Niveau 3";"Niveau 4"},0)-1),
1/6,0)+IF((MATCH(INDEX(Data_metier!$D:$D,MATCH($A23,Data_metier!$B:$B,0)),{"Non Concerné";"Niveau 1";"Niveau 2";"Niveau 3";"Niveau 4"},0)-1)&gt;(MATCH(INDEX(Data_metier!$D:$D,MATCH(I$1,Data_metier!$B:$B,0)),{"Non Concerné";"Niveau 1";"Niveau 2";"Niveau 3";"Niveau 4"},0)-1),
1/6,0)+IF((MATCH(INDEX(Data_metier!$E:$E,MATCH($A23,Data_metier!$B:$B,0)),{"Non Concerné";"Niveau 1";"Niveau 2";"Niveau 3";"Niveau 4"},0)-1)&gt;(MATCH(INDEX(Data_metier!$E:$E,MATCH(I$1,Data_metier!$B:$B,0)),{"Non Concerné";"Niveau 1";"Niveau 2";"Niveau 3";"Niveau 4"},0)-1),
1/6,0))</f>
        <v>2</v>
      </c>
      <c r="J23">
        <f>IF(DE_respon_transv!J23=-1,-1,
DE_respon_transv!J23+IF((MATCH(INDEX(Data_metier!$C:$C,MATCH($A23,Data_metier!$B:$B,0)),{"Non Concerné";"Niveau 1";"Niveau 2";"Niveau 3";"Niveau 4"},0)-1)&gt;(MATCH(INDEX(Data_metier!$C:$C,MATCH(J$1,Data_metier!$B:$B,0)),{"Non Concerné";"Niveau 1";"Niveau 2";"Niveau 3";"Niveau 4"},0)-1),
1/6,0)+IF((MATCH(INDEX(Data_metier!$D:$D,MATCH($A23,Data_metier!$B:$B,0)),{"Non Concerné";"Niveau 1";"Niveau 2";"Niveau 3";"Niveau 4"},0)-1)&gt;(MATCH(INDEX(Data_metier!$D:$D,MATCH(J$1,Data_metier!$B:$B,0)),{"Non Concerné";"Niveau 1";"Niveau 2";"Niveau 3";"Niveau 4"},0)-1),
1/6,0)+IF((MATCH(INDEX(Data_metier!$E:$E,MATCH($A23,Data_metier!$B:$B,0)),{"Non Concerné";"Niveau 1";"Niveau 2";"Niveau 3";"Niveau 4"},0)-1)&gt;(MATCH(INDEX(Data_metier!$E:$E,MATCH(J$1,Data_metier!$B:$B,0)),{"Non Concerné";"Niveau 1";"Niveau 2";"Niveau 3";"Niveau 4"},0)-1),
1/6,0))</f>
        <v>-0.5</v>
      </c>
      <c r="K23">
        <f>IF(DE_respon_transv!K23=-1,-1,
DE_respon_transv!K23+IF((MATCH(INDEX(Data_metier!$C:$C,MATCH($A23,Data_metier!$B:$B,0)),{"Non Concerné";"Niveau 1";"Niveau 2";"Niveau 3";"Niveau 4"},0)-1)&gt;(MATCH(INDEX(Data_metier!$C:$C,MATCH(K$1,Data_metier!$B:$B,0)),{"Non Concerné";"Niveau 1";"Niveau 2";"Niveau 3";"Niveau 4"},0)-1),
1/6,0)+IF((MATCH(INDEX(Data_metier!$D:$D,MATCH($A23,Data_metier!$B:$B,0)),{"Non Concerné";"Niveau 1";"Niveau 2";"Niveau 3";"Niveau 4"},0)-1)&gt;(MATCH(INDEX(Data_metier!$D:$D,MATCH(K$1,Data_metier!$B:$B,0)),{"Non Concerné";"Niveau 1";"Niveau 2";"Niveau 3";"Niveau 4"},0)-1),
1/6,0)+IF((MATCH(INDEX(Data_metier!$E:$E,MATCH($A23,Data_metier!$B:$B,0)),{"Non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23">
        <f>IF(DE_respon_transv!L23=-1,-1,
DE_respon_transv!L23+IF((MATCH(INDEX(Data_metier!$C:$C,MATCH($A23,Data_metier!$B:$B,0)),{"Non Concerné";"Niveau 1";"Niveau 2";"Niveau 3";"Niveau 4"},0)-1)&gt;(MATCH(INDEX(Data_metier!$C:$C,MATCH(L$1,Data_metier!$B:$B,0)),{"Non Concerné";"Niveau 1";"Niveau 2";"Niveau 3";"Niveau 4"},0)-1),
1/6,0)+IF((MATCH(INDEX(Data_metier!$D:$D,MATCH($A23,Data_metier!$B:$B,0)),{"Non Concerné";"Niveau 1";"Niveau 2";"Niveau 3";"Niveau 4"},0)-1)&gt;(MATCH(INDEX(Data_metier!$D:$D,MATCH(L$1,Data_metier!$B:$B,0)),{"Non Concerné";"Niveau 1";"Niveau 2";"Niveau 3";"Niveau 4"},0)-1),
1/6,0)+IF((MATCH(INDEX(Data_metier!$E:$E,MATCH($A23,Data_metier!$B:$B,0)),{"Non Concerné";"Niveau 1";"Niveau 2";"Niveau 3";"Niveau 4"},0)-1)&gt;(MATCH(INDEX(Data_metier!$E:$E,MATCH(L$1,Data_metier!$B:$B,0)),{"Non Concerné";"Niveau 1";"Niveau 2";"Niveau 3";"Niveau 4"},0)-1),
1/6,0))</f>
        <v>1.5</v>
      </c>
      <c r="M23">
        <f>IF(DE_respon_transv!M23=-1,-1,
DE_respon_transv!M23+IF((MATCH(INDEX(Data_metier!$C:$C,MATCH($A23,Data_metier!$B:$B,0)),{"Non Concerné";"Niveau 1";"Niveau 2";"Niveau 3";"Niveau 4"},0)-1)&gt;(MATCH(INDEX(Data_metier!$C:$C,MATCH(M$1,Data_metier!$B:$B,0)),{"Non Concerné";"Niveau 1";"Niveau 2";"Niveau 3";"Niveau 4"},0)-1),
1/6,0)+IF((MATCH(INDEX(Data_metier!$D:$D,MATCH($A23,Data_metier!$B:$B,0)),{"Non Concerné";"Niveau 1";"Niveau 2";"Niveau 3";"Niveau 4"},0)-1)&gt;(MATCH(INDEX(Data_metier!$D:$D,MATCH(M$1,Data_metier!$B:$B,0)),{"Non Concerné";"Niveau 1";"Niveau 2";"Niveau 3";"Niveau 4"},0)-1),
1/6,0)+IF((MATCH(INDEX(Data_metier!$E:$E,MATCH($A23,Data_metier!$B:$B,0)),{"Non Concerné";"Niveau 1";"Niveau 2";"Niveau 3";"Niveau 4"},0)-1)&gt;(MATCH(INDEX(Data_metier!$E:$E,MATCH(M$1,Data_metier!$B:$B,0)),{"Non Concerné";"Niveau 1";"Niveau 2";"Niveau 3";"Niveau 4"},0)-1),
1/6,0))</f>
        <v>0.83333333333333326</v>
      </c>
      <c r="N23">
        <f>IF(DE_respon_transv!N23=-1,-1,
DE_respon_transv!N23+IF((MATCH(INDEX(Data_metier!$C:$C,MATCH($A23,Data_metier!$B:$B,0)),{"Non Concerné";"Niveau 1";"Niveau 2";"Niveau 3";"Niveau 4"},0)-1)&gt;(MATCH(INDEX(Data_metier!$C:$C,MATCH(N$1,Data_metier!$B:$B,0)),{"Non Concerné";"Niveau 1";"Niveau 2";"Niveau 3";"Niveau 4"},0)-1),
1/6,0)+IF((MATCH(INDEX(Data_metier!$D:$D,MATCH($A23,Data_metier!$B:$B,0)),{"Non Concerné";"Niveau 1";"Niveau 2";"Niveau 3";"Niveau 4"},0)-1)&gt;(MATCH(INDEX(Data_metier!$D:$D,MATCH(N$1,Data_metier!$B:$B,0)),{"Non Concerné";"Niveau 1";"Niveau 2";"Niveau 3";"Niveau 4"},0)-1),
1/6,0)+IF((MATCH(INDEX(Data_metier!$E:$E,MATCH($A23,Data_metier!$B:$B,0)),{"Non Concerné";"Niveau 1";"Niveau 2";"Niveau 3";"Niveau 4"},0)-1)&gt;(MATCH(INDEX(Data_metier!$E:$E,MATCH(N$1,Data_metier!$B:$B,0)),{"Non Concerné";"Niveau 1";"Niveau 2";"Niveau 3";"Niveau 4"},0)-1),
1/6,0))</f>
        <v>-1</v>
      </c>
      <c r="O23">
        <f>IF(DE_respon_transv!O23=-1,-1,
DE_respon_transv!O23+IF((MATCH(INDEX(Data_metier!$C:$C,MATCH($A23,Data_metier!$B:$B,0)),{"Non Concerné";"Niveau 1";"Niveau 2";"Niveau 3";"Niveau 4"},0)-1)&gt;(MATCH(INDEX(Data_metier!$C:$C,MATCH(O$1,Data_metier!$B:$B,0)),{"Non Concerné";"Niveau 1";"Niveau 2";"Niveau 3";"Niveau 4"},0)-1),
1/6,0)+IF((MATCH(INDEX(Data_metier!$D:$D,MATCH($A23,Data_metier!$B:$B,0)),{"Non Concerné";"Niveau 1";"Niveau 2";"Niveau 3";"Niveau 4"},0)-1)&gt;(MATCH(INDEX(Data_metier!$D:$D,MATCH(O$1,Data_metier!$B:$B,0)),{"Non Concerné";"Niveau 1";"Niveau 2";"Niveau 3";"Niveau 4"},0)-1),
1/6,0)+IF((MATCH(INDEX(Data_metier!$E:$E,MATCH($A23,Data_metier!$B:$B,0)),{"Non Concerné";"Niveau 1";"Niveau 2";"Niveau 3";"Niveau 4"},0)-1)&gt;(MATCH(INDEX(Data_metier!$E:$E,MATCH(O$1,Data_metier!$B:$B,0)),{"Non Concerné";"Niveau 1";"Niveau 2";"Niveau 3";"Niveau 4"},0)-1),
1/6,0))</f>
        <v>1.5</v>
      </c>
      <c r="P23">
        <f>IF(DE_respon_transv!P23=-1,-1,
DE_respon_transv!P23+IF((MATCH(INDEX(Data_metier!$C:$C,MATCH($A23,Data_metier!$B:$B,0)),{"Non Concerné";"Niveau 1";"Niveau 2";"Niveau 3";"Niveau 4"},0)-1)&gt;(MATCH(INDEX(Data_metier!$C:$C,MATCH(P$1,Data_metier!$B:$B,0)),{"Non Concerné";"Niveau 1";"Niveau 2";"Niveau 3";"Niveau 4"},0)-1),
1/6,0)+IF((MATCH(INDEX(Data_metier!$D:$D,MATCH($A23,Data_metier!$B:$B,0)),{"Non Concerné";"Niveau 1";"Niveau 2";"Niveau 3";"Niveau 4"},0)-1)&gt;(MATCH(INDEX(Data_metier!$D:$D,MATCH(P$1,Data_metier!$B:$B,0)),{"Non Concerné";"Niveau 1";"Niveau 2";"Niveau 3";"Niveau 4"},0)-1),
1/6,0)+IF((MATCH(INDEX(Data_metier!$E:$E,MATCH($A23,Data_metier!$B:$B,0)),{"Non Concerné";"Niveau 1";"Niveau 2";"Niveau 3";"Niveau 4"},0)-1)&gt;(MATCH(INDEX(Data_metier!$E:$E,MATCH(P$1,Data_metier!$B:$B,0)),{"Non Concerné";"Niveau 1";"Niveau 2";"Niveau 3";"Niveau 4"},0)-1),
1/6,0))</f>
        <v>2</v>
      </c>
      <c r="Q23">
        <f>IF(DE_respon_transv!Q23=-1,-1,
DE_respon_transv!Q23+IF((MATCH(INDEX(Data_metier!$C:$C,MATCH($A23,Data_metier!$B:$B,0)),{"Non Concerné";"Niveau 1";"Niveau 2";"Niveau 3";"Niveau 4"},0)-1)&gt;(MATCH(INDEX(Data_metier!$C:$C,MATCH(Q$1,Data_metier!$B:$B,0)),{"Non Concerné";"Niveau 1";"Niveau 2";"Niveau 3";"Niveau 4"},0)-1),
1/6,0)+IF((MATCH(INDEX(Data_metier!$D:$D,MATCH($A23,Data_metier!$B:$B,0)),{"Non Concerné";"Niveau 1";"Niveau 2";"Niveau 3";"Niveau 4"},0)-1)&gt;(MATCH(INDEX(Data_metier!$D:$D,MATCH(Q$1,Data_metier!$B:$B,0)),{"Non Concerné";"Niveau 1";"Niveau 2";"Niveau 3";"Niveau 4"},0)-1),
1/6,0)+IF((MATCH(INDEX(Data_metier!$E:$E,MATCH($A23,Data_metier!$B:$B,0)),{"Non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23">
        <f>IF(DE_respon_transv!R23=-1,-1,
DE_respon_transv!R23+IF((MATCH(INDEX(Data_metier!$C:$C,MATCH($A23,Data_metier!$B:$B,0)),{"Non Concerné";"Niveau 1";"Niveau 2";"Niveau 3";"Niveau 4"},0)-1)&gt;(MATCH(INDEX(Data_metier!$C:$C,MATCH(R$1,Data_metier!$B:$B,0)),{"Non Concerné";"Niveau 1";"Niveau 2";"Niveau 3";"Niveau 4"},0)-1),
1/6,0)+IF((MATCH(INDEX(Data_metier!$D:$D,MATCH($A23,Data_metier!$B:$B,0)),{"Non Concerné";"Niveau 1";"Niveau 2";"Niveau 3";"Niveau 4"},0)-1)&gt;(MATCH(INDEX(Data_metier!$D:$D,MATCH(R$1,Data_metier!$B:$B,0)),{"Non Concerné";"Niveau 1";"Niveau 2";"Niveau 3";"Niveau 4"},0)-1),
1/6,0)+IF((MATCH(INDEX(Data_metier!$E:$E,MATCH($A23,Data_metier!$B:$B,0)),{"Non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23">
        <f>IF(DE_respon_transv!S23=-1,-1,
DE_respon_transv!S23+IF((MATCH(INDEX(Data_metier!$C:$C,MATCH($A23,Data_metier!$B:$B,0)),{"Non Concerné";"Niveau 1";"Niveau 2";"Niveau 3";"Niveau 4"},0)-1)&gt;(MATCH(INDEX(Data_metier!$C:$C,MATCH(S$1,Data_metier!$B:$B,0)),{"Non Concerné";"Niveau 1";"Niveau 2";"Niveau 3";"Niveau 4"},0)-1),
1/6,0)+IF((MATCH(INDEX(Data_metier!$D:$D,MATCH($A23,Data_metier!$B:$B,0)),{"Non Concerné";"Niveau 1";"Niveau 2";"Niveau 3";"Niveau 4"},0)-1)&gt;(MATCH(INDEX(Data_metier!$D:$D,MATCH(S$1,Data_metier!$B:$B,0)),{"Non Concerné";"Niveau 1";"Niveau 2";"Niveau 3";"Niveau 4"},0)-1),
1/6,0)+IF((MATCH(INDEX(Data_metier!$E:$E,MATCH($A23,Data_metier!$B:$B,0)),{"Non Concerné";"Niveau 1";"Niveau 2";"Niveau 3";"Niveau 4"},0)-1)&gt;(MATCH(INDEX(Data_metier!$E:$E,MATCH(S$1,Data_metier!$B:$B,0)),{"Non Concerné";"Niveau 1";"Niveau 2";"Niveau 3";"Niveau 4"},0)-1),
1/6,0))</f>
        <v>2</v>
      </c>
      <c r="T23">
        <f>IF(DE_respon_transv!T23=-1,-1,
DE_respon_transv!T23+IF((MATCH(INDEX(Data_metier!$C:$C,MATCH($A23,Data_metier!$B:$B,0)),{"Non Concerné";"Niveau 1";"Niveau 2";"Niveau 3";"Niveau 4"},0)-1)&gt;(MATCH(INDEX(Data_metier!$C:$C,MATCH(T$1,Data_metier!$B:$B,0)),{"Non Concerné";"Niveau 1";"Niveau 2";"Niveau 3";"Niveau 4"},0)-1),
1/6,0)+IF((MATCH(INDEX(Data_metier!$D:$D,MATCH($A23,Data_metier!$B:$B,0)),{"Non Concerné";"Niveau 1";"Niveau 2";"Niveau 3";"Niveau 4"},0)-1)&gt;(MATCH(INDEX(Data_metier!$D:$D,MATCH(T$1,Data_metier!$B:$B,0)),{"Non Concerné";"Niveau 1";"Niveau 2";"Niveau 3";"Niveau 4"},0)-1),
1/6,0)+IF((MATCH(INDEX(Data_metier!$E:$E,MATCH($A23,Data_metier!$B:$B,0)),{"Non Concerné";"Niveau 1";"Niveau 2";"Niveau 3";"Niveau 4"},0)-1)&gt;(MATCH(INDEX(Data_metier!$E:$E,MATCH(T$1,Data_metier!$B:$B,0)),{"Non Concerné";"Niveau 1";"Niveau 2";"Niveau 3";"Niveau 4"},0)-1),
1/6,0))</f>
        <v>1.8333333333333335</v>
      </c>
      <c r="U23">
        <f>IF(DE_respon_transv!U23=-1,-1,
DE_respon_transv!U23+IF((MATCH(INDEX(Data_metier!$C:$C,MATCH($A23,Data_metier!$B:$B,0)),{"Non Concerné";"Niveau 1";"Niveau 2";"Niveau 3";"Niveau 4"},0)-1)&gt;(MATCH(INDEX(Data_metier!$C:$C,MATCH(U$1,Data_metier!$B:$B,0)),{"Non Concerné";"Niveau 1";"Niveau 2";"Niveau 3";"Niveau 4"},0)-1),
1/6,0)+IF((MATCH(INDEX(Data_metier!$D:$D,MATCH($A23,Data_metier!$B:$B,0)),{"Non Concerné";"Niveau 1";"Niveau 2";"Niveau 3";"Niveau 4"},0)-1)&gt;(MATCH(INDEX(Data_metier!$D:$D,MATCH(U$1,Data_metier!$B:$B,0)),{"Non Concerné";"Niveau 1";"Niveau 2";"Niveau 3";"Niveau 4"},0)-1),
1/6,0)+IF((MATCH(INDEX(Data_metier!$E:$E,MATCH($A23,Data_metier!$B:$B,0)),{"Non Concerné";"Niveau 1";"Niveau 2";"Niveau 3";"Niveau 4"},0)-1)&gt;(MATCH(INDEX(Data_metier!$E:$E,MATCH(U$1,Data_metier!$B:$B,0)),{"Non Concerné";"Niveau 1";"Niveau 2";"Niveau 3";"Niveau 4"},0)-1),
1/6,0))</f>
        <v>2</v>
      </c>
      <c r="V23">
        <f>IF(DE_respon_transv!V23=-1,-1,
DE_respon_transv!V23+IF((MATCH(INDEX(Data_metier!$C:$C,MATCH($A23,Data_metier!$B:$B,0)),{"Non Concerné";"Niveau 1";"Niveau 2";"Niveau 3";"Niveau 4"},0)-1)&gt;(MATCH(INDEX(Data_metier!$C:$C,MATCH(V$1,Data_metier!$B:$B,0)),{"Non Concerné";"Niveau 1";"Niveau 2";"Niveau 3";"Niveau 4"},0)-1),
1/6,0)+IF((MATCH(INDEX(Data_metier!$D:$D,MATCH($A23,Data_metier!$B:$B,0)),{"Non Concerné";"Niveau 1";"Niveau 2";"Niveau 3";"Niveau 4"},0)-1)&gt;(MATCH(INDEX(Data_metier!$D:$D,MATCH(V$1,Data_metier!$B:$B,0)),{"Non Concerné";"Niveau 1";"Niveau 2";"Niveau 3";"Niveau 4"},0)-1),
1/6,0)+IF((MATCH(INDEX(Data_metier!$E:$E,MATCH($A23,Data_metier!$B:$B,0)),{"Non Concerné";"Niveau 1";"Niveau 2";"Niveau 3";"Niveau 4"},0)-1)&gt;(MATCH(INDEX(Data_metier!$E:$E,MATCH(V$1,Data_metier!$B:$B,0)),{"Non Concerné";"Niveau 1";"Niveau 2";"Niveau 3";"Niveau 4"},0)-1),
1/6,0))</f>
        <v>0.5</v>
      </c>
      <c r="W23">
        <f>IF(DE_respon_transv!W23=-1,-1,
DE_respon_transv!W23+IF((MATCH(INDEX(Data_metier!$C:$C,MATCH($A23,Data_metier!$B:$B,0)),{"Non Concerné";"Niveau 1";"Niveau 2";"Niveau 3";"Niveau 4"},0)-1)&gt;(MATCH(INDEX(Data_metier!$C:$C,MATCH(W$1,Data_metier!$B:$B,0)),{"Non Concerné";"Niveau 1";"Niveau 2";"Niveau 3";"Niveau 4"},0)-1),
1/6,0)+IF((MATCH(INDEX(Data_metier!$D:$D,MATCH($A23,Data_metier!$B:$B,0)),{"Non Concerné";"Niveau 1";"Niveau 2";"Niveau 3";"Niveau 4"},0)-1)&gt;(MATCH(INDEX(Data_metier!$D:$D,MATCH(W$1,Data_metier!$B:$B,0)),{"Non Concerné";"Niveau 1";"Niveau 2";"Niveau 3";"Niveau 4"},0)-1),
1/6,0)+IF((MATCH(INDEX(Data_metier!$E:$E,MATCH($A23,Data_metier!$B:$B,0)),{"Non Concerné";"Niveau 1";"Niveau 2";"Niveau 3";"Niveau 4"},0)-1)&gt;(MATCH(INDEX(Data_metier!$E:$E,MATCH(W$1,Data_metier!$B:$B,0)),{"Non Concerné";"Niveau 1";"Niveau 2";"Niveau 3";"Niveau 4"},0)-1),
1/6,0))</f>
        <v>0</v>
      </c>
      <c r="X23">
        <f>IF(DE_respon_transv!X23=-1,-1,
DE_respon_transv!X23+IF((MATCH(INDEX(Data_metier!$C:$C,MATCH($A23,Data_metier!$B:$B,0)),{"Non Concerné";"Niveau 1";"Niveau 2";"Niveau 3";"Niveau 4"},0)-1)&gt;(MATCH(INDEX(Data_metier!$C:$C,MATCH(X$1,Data_metier!$B:$B,0)),{"Non Concerné";"Niveau 1";"Niveau 2";"Niveau 3";"Niveau 4"},0)-1),
1/6,0)+IF((MATCH(INDEX(Data_metier!$D:$D,MATCH($A23,Data_metier!$B:$B,0)),{"Non Concerné";"Niveau 1";"Niveau 2";"Niveau 3";"Niveau 4"},0)-1)&gt;(MATCH(INDEX(Data_metier!$D:$D,MATCH(X$1,Data_metier!$B:$B,0)),{"Non Concerné";"Niveau 1";"Niveau 2";"Niveau 3";"Niveau 4"},0)-1),
1/6,0)+IF((MATCH(INDEX(Data_metier!$E:$E,MATCH($A23,Data_metier!$B:$B,0)),{"Non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23">
        <f>IF(DE_respon_transv!Y23=-1,-1,
DE_respon_transv!Y23+IF((MATCH(INDEX(Data_metier!$C:$C,MATCH($A23,Data_metier!$B:$B,0)),{"Non Concerné";"Niveau 1";"Niveau 2";"Niveau 3";"Niveau 4"},0)-1)&gt;(MATCH(INDEX(Data_metier!$C:$C,MATCH(Y$1,Data_metier!$B:$B,0)),{"Non Concerné";"Niveau 1";"Niveau 2";"Niveau 3";"Niveau 4"},0)-1),
1/6,0)+IF((MATCH(INDEX(Data_metier!$D:$D,MATCH($A23,Data_metier!$B:$B,0)),{"Non Concerné";"Niveau 1";"Niveau 2";"Niveau 3";"Niveau 4"},0)-1)&gt;(MATCH(INDEX(Data_metier!$D:$D,MATCH(Y$1,Data_metier!$B:$B,0)),{"Non Concerné";"Niveau 1";"Niveau 2";"Niveau 3";"Niveau 4"},0)-1),
1/6,0)+IF((MATCH(INDEX(Data_metier!$E:$E,MATCH($A23,Data_metier!$B:$B,0)),{"Non Concerné";"Niveau 1";"Niveau 2";"Niveau 3";"Niveau 4"},0)-1)&gt;(MATCH(INDEX(Data_metier!$E:$E,MATCH(Y$1,Data_metier!$B:$B,0)),{"Non Concerné";"Niveau 1";"Niveau 2";"Niveau 3";"Niveau 4"},0)-1),
1/6,0))</f>
        <v>2</v>
      </c>
      <c r="Z23">
        <f>IF(DE_respon_transv!Z23=-1,-1,
DE_respon_transv!Z23+IF((MATCH(INDEX(Data_metier!$C:$C,MATCH($A23,Data_metier!$B:$B,0)),{"Non Concerné";"Niveau 1";"Niveau 2";"Niveau 3";"Niveau 4"},0)-1)&gt;(MATCH(INDEX(Data_metier!$C:$C,MATCH(Z$1,Data_metier!$B:$B,0)),{"Non Concerné";"Niveau 1";"Niveau 2";"Niveau 3";"Niveau 4"},0)-1),
1/6,0)+IF((MATCH(INDEX(Data_metier!$D:$D,MATCH($A23,Data_metier!$B:$B,0)),{"Non Concerné";"Niveau 1";"Niveau 2";"Niveau 3";"Niveau 4"},0)-1)&gt;(MATCH(INDEX(Data_metier!$D:$D,MATCH(Z$1,Data_metier!$B:$B,0)),{"Non Concerné";"Niveau 1";"Niveau 2";"Niveau 3";"Niveau 4"},0)-1),
1/6,0)+IF((MATCH(INDEX(Data_metier!$E:$E,MATCH($A23,Data_metier!$B:$B,0)),{"Non Concerné";"Niveau 1";"Niveau 2";"Niveau 3";"Niveau 4"},0)-1)&gt;(MATCH(INDEX(Data_metier!$E:$E,MATCH(Z$1,Data_metier!$B:$B,0)),{"Non Concerné";"Niveau 1";"Niveau 2";"Niveau 3";"Niveau 4"},0)-1),
1/6,0))</f>
        <v>2</v>
      </c>
      <c r="AA23">
        <f>IF(DE_respon_transv!AA23=-1,-1,
DE_respon_transv!AA23+IF((MATCH(INDEX(Data_metier!$C:$C,MATCH($A23,Data_metier!$B:$B,0)),{"Non Concerné";"Niveau 1";"Niveau 2";"Niveau 3";"Niveau 4"},0)-1)&gt;(MATCH(INDEX(Data_metier!$C:$C,MATCH(AA$1,Data_metier!$B:$B,0)),{"Non Concerné";"Niveau 1";"Niveau 2";"Niveau 3";"Niveau 4"},0)-1),
1/6,0)+IF((MATCH(INDEX(Data_metier!$D:$D,MATCH($A23,Data_metier!$B:$B,0)),{"Non Concerné";"Niveau 1";"Niveau 2";"Niveau 3";"Niveau 4"},0)-1)&gt;(MATCH(INDEX(Data_metier!$D:$D,MATCH(AA$1,Data_metier!$B:$B,0)),{"Non Concerné";"Niveau 1";"Niveau 2";"Niveau 3";"Niveau 4"},0)-1),
1/6,0)+IF((MATCH(INDEX(Data_metier!$E:$E,MATCH($A23,Data_metier!$B:$B,0)),{"Non Concerné";"Niveau 1";"Niveau 2";"Niveau 3";"Niveau 4"},0)-1)&gt;(MATCH(INDEX(Data_metier!$E:$E,MATCH(AA$1,Data_metier!$B:$B,0)),{"Non Concerné";"Niveau 1";"Niveau 2";"Niveau 3";"Niveau 4"},0)-1),
1/6,0))</f>
        <v>2</v>
      </c>
      <c r="AB23">
        <f>IF(DE_respon_transv!AB23=-1,-1,
DE_respon_transv!AB23+IF((MATCH(INDEX(Data_metier!$C:$C,MATCH($A23,Data_metier!$B:$B,0)),{"Non Concerné";"Niveau 1";"Niveau 2";"Niveau 3";"Niveau 4"},0)-1)&gt;(MATCH(INDEX(Data_metier!$C:$C,MATCH(AB$1,Data_metier!$B:$B,0)),{"Non Concerné";"Niveau 1";"Niveau 2";"Niveau 3";"Niveau 4"},0)-1),
1/6,0)+IF((MATCH(INDEX(Data_metier!$D:$D,MATCH($A23,Data_metier!$B:$B,0)),{"Non Concerné";"Niveau 1";"Niveau 2";"Niveau 3";"Niveau 4"},0)-1)&gt;(MATCH(INDEX(Data_metier!$D:$D,MATCH(AB$1,Data_metier!$B:$B,0)),{"Non Concerné";"Niveau 1";"Niveau 2";"Niveau 3";"Niveau 4"},0)-1),
1/6,0)+IF((MATCH(INDEX(Data_metier!$E:$E,MATCH($A23,Data_metier!$B:$B,0)),{"Non Concerné";"Niveau 1";"Niveau 2";"Niveau 3";"Niveau 4"},0)-1)&gt;(MATCH(INDEX(Data_metier!$E:$E,MATCH(AB$1,Data_metier!$B:$B,0)),{"Non Concerné";"Niveau 1";"Niveau 2";"Niveau 3";"Niveau 4"},0)-1),
1/6,0))</f>
        <v>0.66666666666666663</v>
      </c>
      <c r="AC23">
        <f>IF(DE_respon_transv!AC23=-1,-1,
DE_respon_transv!AC23+IF((MATCH(INDEX(Data_metier!$C:$C,MATCH($A23,Data_metier!$B:$B,0)),{"Non Concerné";"Niveau 1";"Niveau 2";"Niveau 3";"Niveau 4"},0)-1)&gt;(MATCH(INDEX(Data_metier!$C:$C,MATCH(AC$1,Data_metier!$B:$B,0)),{"Non Concerné";"Niveau 1";"Niveau 2";"Niveau 3";"Niveau 4"},0)-1),
1/6,0)+IF((MATCH(INDEX(Data_metier!$D:$D,MATCH($A23,Data_metier!$B:$B,0)),{"Non Concerné";"Niveau 1";"Niveau 2";"Niveau 3";"Niveau 4"},0)-1)&gt;(MATCH(INDEX(Data_metier!$D:$D,MATCH(AC$1,Data_metier!$B:$B,0)),{"Non Concerné";"Niveau 1";"Niveau 2";"Niveau 3";"Niveau 4"},0)-1),
1/6,0)+IF((MATCH(INDEX(Data_metier!$E:$E,MATCH($A23,Data_metier!$B:$B,0)),{"Non Concerné";"Niveau 1";"Niveau 2";"Niveau 3";"Niveau 4"},0)-1)&gt;(MATCH(INDEX(Data_metier!$E:$E,MATCH(AC$1,Data_metier!$B:$B,0)),{"Non Concerné";"Niveau 1";"Niveau 2";"Niveau 3";"Niveau 4"},0)-1),
1/6,0))</f>
        <v>0.66666666666666663</v>
      </c>
      <c r="AD23">
        <f>IF(DE_respon_transv!AD23=-1,-1,
DE_respon_transv!AD23+IF((MATCH(INDEX(Data_metier!$C:$C,MATCH($A23,Data_metier!$B:$B,0)),{"Non Concerné";"Niveau 1";"Niveau 2";"Niveau 3";"Niveau 4"},0)-1)&gt;(MATCH(INDEX(Data_metier!$C:$C,MATCH(AD$1,Data_metier!$B:$B,0)),{"Non Concerné";"Niveau 1";"Niveau 2";"Niveau 3";"Niveau 4"},0)-1),
1/6,0)+IF((MATCH(INDEX(Data_metier!$D:$D,MATCH($A23,Data_metier!$B:$B,0)),{"Non Concerné";"Niveau 1";"Niveau 2";"Niveau 3";"Niveau 4"},0)-1)&gt;(MATCH(INDEX(Data_metier!$D:$D,MATCH(AD$1,Data_metier!$B:$B,0)),{"Non Concerné";"Niveau 1";"Niveau 2";"Niveau 3";"Niveau 4"},0)-1),
1/6,0)+IF((MATCH(INDEX(Data_metier!$E:$E,MATCH($A23,Data_metier!$B:$B,0)),{"Non Concerné";"Niveau 1";"Niveau 2";"Niveau 3";"Niveau 4"},0)-1)&gt;(MATCH(INDEX(Data_metier!$E:$E,MATCH(AD$1,Data_metier!$B:$B,0)),{"Non Concerné";"Niveau 1";"Niveau 2";"Niveau 3";"Niveau 4"},0)-1),
1/6,0))</f>
        <v>-0.33333333333333337</v>
      </c>
    </row>
    <row r="24" spans="1:30">
      <c r="A24" t="str">
        <v>Responsable de plateforme/ d’exploitation logistique</v>
      </c>
      <c r="B24">
        <f>IF(DE_respon_transv!B24=-1,-1,
DE_respon_transv!B24+IF((MATCH(INDEX(Data_metier!$C:$C,MATCH($A24,Data_metier!$B:$B,0)),{"Non Concerné";"Niveau 1";"Niveau 2";"Niveau 3";"Niveau 4"},0)-1)&gt;(MATCH(INDEX(Data_metier!$C:$C,MATCH(B$1,Data_metier!$B:$B,0)),{"Non Concerné";"Niveau 1";"Niveau 2";"Niveau 3";"Niveau 4"},0)-1),
1/6,0)+IF((MATCH(INDEX(Data_metier!$D:$D,MATCH($A24,Data_metier!$B:$B,0)),{"Non Concerné";"Niveau 1";"Niveau 2";"Niveau 3";"Niveau 4"},0)-1)&gt;(MATCH(INDEX(Data_metier!$D:$D,MATCH(B$1,Data_metier!$B:$B,0)),{"Non Concerné";"Niveau 1";"Niveau 2";"Niveau 3";"Niveau 4"},0)-1),
1/6,0)+IF((MATCH(INDEX(Data_metier!$E:$E,MATCH($A24,Data_metier!$B:$B,0)),{"Non Concerné";"Niveau 1";"Niveau 2";"Niveau 3";"Niveau 4"},0)-1)&gt;(MATCH(INDEX(Data_metier!$E:$E,MATCH(B$1,Data_metier!$B:$B,0)),{"Non Concerné";"Niveau 1";"Niveau 2";"Niveau 3";"Niveau 4"},0)-1),
1/6,0))</f>
        <v>2.9999999999999996</v>
      </c>
      <c r="C24">
        <f>IF(DE_respon_transv!C24=-1,-1,
DE_respon_transv!C24+IF((MATCH(INDEX(Data_metier!$C:$C,MATCH($A24,Data_metier!$B:$B,0)),{"Non Concerné";"Niveau 1";"Niveau 2";"Niveau 3";"Niveau 4"},0)-1)&gt;(MATCH(INDEX(Data_metier!$C:$C,MATCH(C$1,Data_metier!$B:$B,0)),{"Non Concerné";"Niveau 1";"Niveau 2";"Niveau 3";"Niveau 4"},0)-1),
1/6,0)+IF((MATCH(INDEX(Data_metier!$D:$D,MATCH($A24,Data_metier!$B:$B,0)),{"Non Concerné";"Niveau 1";"Niveau 2";"Niveau 3";"Niveau 4"},0)-1)&gt;(MATCH(INDEX(Data_metier!$D:$D,MATCH(C$1,Data_metier!$B:$B,0)),{"Non Concerné";"Niveau 1";"Niveau 2";"Niveau 3";"Niveau 4"},0)-1),
1/6,0)+IF((MATCH(INDEX(Data_metier!$E:$E,MATCH($A24,Data_metier!$B:$B,0)),{"Non Concerné";"Niveau 1";"Niveau 2";"Niveau 3";"Niveau 4"},0)-1)&gt;(MATCH(INDEX(Data_metier!$E:$E,MATCH(C$1,Data_metier!$B:$B,0)),{"Non Concerné";"Niveau 1";"Niveau 2";"Niveau 3";"Niveau 4"},0)-1),
1/6,0))</f>
        <v>2.9999999999999996</v>
      </c>
      <c r="D24">
        <f>IF(DE_respon_transv!D24=-1,-1,
DE_respon_transv!D24+IF((MATCH(INDEX(Data_metier!$C:$C,MATCH($A24,Data_metier!$B:$B,0)),{"Non Concerné";"Niveau 1";"Niveau 2";"Niveau 3";"Niveau 4"},0)-1)&gt;(MATCH(INDEX(Data_metier!$C:$C,MATCH(D$1,Data_metier!$B:$B,0)),{"Non Concerné";"Niveau 1";"Niveau 2";"Niveau 3";"Niveau 4"},0)-1),
1/6,0)+IF((MATCH(INDEX(Data_metier!$D:$D,MATCH($A24,Data_metier!$B:$B,0)),{"Non Concerné";"Niveau 1";"Niveau 2";"Niveau 3";"Niveau 4"},0)-1)&gt;(MATCH(INDEX(Data_metier!$D:$D,MATCH(D$1,Data_metier!$B:$B,0)),{"Non Concerné";"Niveau 1";"Niveau 2";"Niveau 3";"Niveau 4"},0)-1),
1/6,0)+IF((MATCH(INDEX(Data_metier!$E:$E,MATCH($A24,Data_metier!$B:$B,0)),{"Non Concerné";"Niveau 1";"Niveau 2";"Niveau 3";"Niveau 4"},0)-1)&gt;(MATCH(INDEX(Data_metier!$E:$E,MATCH(D$1,Data_metier!$B:$B,0)),{"Non Concerné";"Niveau 1";"Niveau 2";"Niveau 3";"Niveau 4"},0)-1),
1/6,0))</f>
        <v>2.9999999999999996</v>
      </c>
      <c r="E24">
        <f>IF(DE_respon_transv!E24=-1,-1,
DE_respon_transv!E24+IF((MATCH(INDEX(Data_metier!$C:$C,MATCH($A24,Data_metier!$B:$B,0)),{"Non Concerné";"Niveau 1";"Niveau 2";"Niveau 3";"Niveau 4"},0)-1)&gt;(MATCH(INDEX(Data_metier!$C:$C,MATCH(E$1,Data_metier!$B:$B,0)),{"Non Concerné";"Niveau 1";"Niveau 2";"Niveau 3";"Niveau 4"},0)-1),
1/6,0)+IF((MATCH(INDEX(Data_metier!$D:$D,MATCH($A24,Data_metier!$B:$B,0)),{"Non Concerné";"Niveau 1";"Niveau 2";"Niveau 3";"Niveau 4"},0)-1)&gt;(MATCH(INDEX(Data_metier!$D:$D,MATCH(E$1,Data_metier!$B:$B,0)),{"Non Concerné";"Niveau 1";"Niveau 2";"Niveau 3";"Niveau 4"},0)-1),
1/6,0)+IF((MATCH(INDEX(Data_metier!$E:$E,MATCH($A24,Data_metier!$B:$B,0)),{"Non Concerné";"Niveau 1";"Niveau 2";"Niveau 3";"Niveau 4"},0)-1)&gt;(MATCH(INDEX(Data_metier!$E:$E,MATCH(E$1,Data_metier!$B:$B,0)),{"Non Concerné";"Niveau 1";"Niveau 2";"Niveau 3";"Niveau 4"},0)-1),
1/6,0))</f>
        <v>1.5000000000000002</v>
      </c>
      <c r="F24">
        <f>IF(DE_respon_transv!F24=-1,-1,
DE_respon_transv!F24+IF((MATCH(INDEX(Data_metier!$C:$C,MATCH($A24,Data_metier!$B:$B,0)),{"Non Concerné";"Niveau 1";"Niveau 2";"Niveau 3";"Niveau 4"},0)-1)&gt;(MATCH(INDEX(Data_metier!$C:$C,MATCH(F$1,Data_metier!$B:$B,0)),{"Non Concerné";"Niveau 1";"Niveau 2";"Niveau 3";"Niveau 4"},0)-1),
1/6,0)+IF((MATCH(INDEX(Data_metier!$D:$D,MATCH($A24,Data_metier!$B:$B,0)),{"Non Concerné";"Niveau 1";"Niveau 2";"Niveau 3";"Niveau 4"},0)-1)&gt;(MATCH(INDEX(Data_metier!$D:$D,MATCH(F$1,Data_metier!$B:$B,0)),{"Non Concerné";"Niveau 1";"Niveau 2";"Niveau 3";"Niveau 4"},0)-1),
1/6,0)+IF((MATCH(INDEX(Data_metier!$E:$E,MATCH($A24,Data_metier!$B:$B,0)),{"Non Concerné";"Niveau 1";"Niveau 2";"Niveau 3";"Niveau 4"},0)-1)&gt;(MATCH(INDEX(Data_metier!$E:$E,MATCH(F$1,Data_metier!$B:$B,0)),{"Non Concerné";"Niveau 1";"Niveau 2";"Niveau 3";"Niveau 4"},0)-1),
1/6,0))</f>
        <v>0.99999999999999989</v>
      </c>
      <c r="G24">
        <f>IF(DE_respon_transv!G24=-1,-1,
DE_respon_transv!G24+IF((MATCH(INDEX(Data_metier!$C:$C,MATCH($A24,Data_metier!$B:$B,0)),{"Non Concerné";"Niveau 1";"Niveau 2";"Niveau 3";"Niveau 4"},0)-1)&gt;(MATCH(INDEX(Data_metier!$C:$C,MATCH(G$1,Data_metier!$B:$B,0)),{"Non Concerné";"Niveau 1";"Niveau 2";"Niveau 3";"Niveau 4"},0)-1),
1/6,0)+IF((MATCH(INDEX(Data_metier!$D:$D,MATCH($A24,Data_metier!$B:$B,0)),{"Non Concerné";"Niveau 1";"Niveau 2";"Niveau 3";"Niveau 4"},0)-1)&gt;(MATCH(INDEX(Data_metier!$D:$D,MATCH(G$1,Data_metier!$B:$B,0)),{"Non Concerné";"Niveau 1";"Niveau 2";"Niveau 3";"Niveau 4"},0)-1),
1/6,0)+IF((MATCH(INDEX(Data_metier!$E:$E,MATCH($A24,Data_metier!$B:$B,0)),{"Non Concerné";"Niveau 1";"Niveau 2";"Niveau 3";"Niveau 4"},0)-1)&gt;(MATCH(INDEX(Data_metier!$E:$E,MATCH(G$1,Data_metier!$B:$B,0)),{"Non Concerné";"Niveau 1";"Niveau 2";"Niveau 3";"Niveau 4"},0)-1),
1/6,0))</f>
        <v>0.5</v>
      </c>
      <c r="H24">
        <f>IF(DE_respon_transv!H24=-1,-1,
DE_respon_transv!H24+IF((MATCH(INDEX(Data_metier!$C:$C,MATCH($A24,Data_metier!$B:$B,0)),{"Non Concerné";"Niveau 1";"Niveau 2";"Niveau 3";"Niveau 4"},0)-1)&gt;(MATCH(INDEX(Data_metier!$C:$C,MATCH(H$1,Data_metier!$B:$B,0)),{"Non Concerné";"Niveau 1";"Niveau 2";"Niveau 3";"Niveau 4"},0)-1),
1/6,0)+IF((MATCH(INDEX(Data_metier!$D:$D,MATCH($A24,Data_metier!$B:$B,0)),{"Non Concerné";"Niveau 1";"Niveau 2";"Niveau 3";"Niveau 4"},0)-1)&gt;(MATCH(INDEX(Data_metier!$D:$D,MATCH(H$1,Data_metier!$B:$B,0)),{"Non Concerné";"Niveau 1";"Niveau 2";"Niveau 3";"Niveau 4"},0)-1),
1/6,0)+IF((MATCH(INDEX(Data_metier!$E:$E,MATCH($A24,Data_metier!$B:$B,0)),{"Non Concerné";"Niveau 1";"Niveau 2";"Niveau 3";"Niveau 4"},0)-1)&gt;(MATCH(INDEX(Data_metier!$E:$E,MATCH(H$1,Data_metier!$B:$B,0)),{"Non Concerné";"Niveau 1";"Niveau 2";"Niveau 3";"Niveau 4"},0)-1),
1/6,0))</f>
        <v>0.5</v>
      </c>
      <c r="I24">
        <f>IF(DE_respon_transv!I24=-1,-1,
DE_respon_transv!I24+IF((MATCH(INDEX(Data_metier!$C:$C,MATCH($A24,Data_metier!$B:$B,0)),{"Non Concerné";"Niveau 1";"Niveau 2";"Niveau 3";"Niveau 4"},0)-1)&gt;(MATCH(INDEX(Data_metier!$C:$C,MATCH(I$1,Data_metier!$B:$B,0)),{"Non Concerné";"Niveau 1";"Niveau 2";"Niveau 3";"Niveau 4"},0)-1),
1/6,0)+IF((MATCH(INDEX(Data_metier!$D:$D,MATCH($A24,Data_metier!$B:$B,0)),{"Non Concerné";"Niveau 1";"Niveau 2";"Niveau 3";"Niveau 4"},0)-1)&gt;(MATCH(INDEX(Data_metier!$D:$D,MATCH(I$1,Data_metier!$B:$B,0)),{"Non Concerné";"Niveau 1";"Niveau 2";"Niveau 3";"Niveau 4"},0)-1),
1/6,0)+IF((MATCH(INDEX(Data_metier!$E:$E,MATCH($A24,Data_metier!$B:$B,0)),{"Non Concerné";"Niveau 1";"Niveau 2";"Niveau 3";"Niveau 4"},0)-1)&gt;(MATCH(INDEX(Data_metier!$E:$E,MATCH(I$1,Data_metier!$B:$B,0)),{"Non Concerné";"Niveau 1";"Niveau 2";"Niveau 3";"Niveau 4"},0)-1),
1/6,0))</f>
        <v>2.9999999999999996</v>
      </c>
      <c r="J24">
        <f>IF(DE_respon_transv!J24=-1,-1,
DE_respon_transv!J24+IF((MATCH(INDEX(Data_metier!$C:$C,MATCH($A24,Data_metier!$B:$B,0)),{"Non Concerné";"Niveau 1";"Niveau 2";"Niveau 3";"Niveau 4"},0)-1)&gt;(MATCH(INDEX(Data_metier!$C:$C,MATCH(J$1,Data_metier!$B:$B,0)),{"Non Concerné";"Niveau 1";"Niveau 2";"Niveau 3";"Niveau 4"},0)-1),
1/6,0)+IF((MATCH(INDEX(Data_metier!$D:$D,MATCH($A24,Data_metier!$B:$B,0)),{"Non Concerné";"Niveau 1";"Niveau 2";"Niveau 3";"Niveau 4"},0)-1)&gt;(MATCH(INDEX(Data_metier!$D:$D,MATCH(J$1,Data_metier!$B:$B,0)),{"Non Concerné";"Niveau 1";"Niveau 2";"Niveau 3";"Niveau 4"},0)-1),
1/6,0)+IF((MATCH(INDEX(Data_metier!$E:$E,MATCH($A24,Data_metier!$B:$B,0)),{"Non Concerné";"Niveau 1";"Niveau 2";"Niveau 3";"Niveau 4"},0)-1)&gt;(MATCH(INDEX(Data_metier!$E:$E,MATCH(J$1,Data_metier!$B:$B,0)),{"Non Concerné";"Niveau 1";"Niveau 2";"Niveau 3";"Niveau 4"},0)-1),
1/6,0))</f>
        <v>2</v>
      </c>
      <c r="K24">
        <f>IF(DE_respon_transv!K24=-1,-1,
DE_respon_transv!K24+IF((MATCH(INDEX(Data_metier!$C:$C,MATCH($A24,Data_metier!$B:$B,0)),{"Non Concerné";"Niveau 1";"Niveau 2";"Niveau 3";"Niveau 4"},0)-1)&gt;(MATCH(INDEX(Data_metier!$C:$C,MATCH(K$1,Data_metier!$B:$B,0)),{"Non Concerné";"Niveau 1";"Niveau 2";"Niveau 3";"Niveau 4"},0)-1),
1/6,0)+IF((MATCH(INDEX(Data_metier!$D:$D,MATCH($A24,Data_metier!$B:$B,0)),{"Non Concerné";"Niveau 1";"Niveau 2";"Niveau 3";"Niveau 4"},0)-1)&gt;(MATCH(INDEX(Data_metier!$D:$D,MATCH(K$1,Data_metier!$B:$B,0)),{"Non Concerné";"Niveau 1";"Niveau 2";"Niveau 3";"Niveau 4"},0)-1),
1/6,0)+IF((MATCH(INDEX(Data_metier!$E:$E,MATCH($A24,Data_metier!$B:$B,0)),{"Non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24">
        <f>IF(DE_respon_transv!L24=-1,-1,
DE_respon_transv!L24+IF((MATCH(INDEX(Data_metier!$C:$C,MATCH($A24,Data_metier!$B:$B,0)),{"Non Concerné";"Niveau 1";"Niveau 2";"Niveau 3";"Niveau 4"},0)-1)&gt;(MATCH(INDEX(Data_metier!$C:$C,MATCH(L$1,Data_metier!$B:$B,0)),{"Non Concerné";"Niveau 1";"Niveau 2";"Niveau 3";"Niveau 4"},0)-1),
1/6,0)+IF((MATCH(INDEX(Data_metier!$D:$D,MATCH($A24,Data_metier!$B:$B,0)),{"Non Concerné";"Niveau 1";"Niveau 2";"Niveau 3";"Niveau 4"},0)-1)&gt;(MATCH(INDEX(Data_metier!$D:$D,MATCH(L$1,Data_metier!$B:$B,0)),{"Non Concerné";"Niveau 1";"Niveau 2";"Niveau 3";"Niveau 4"},0)-1),
1/6,0)+IF((MATCH(INDEX(Data_metier!$E:$E,MATCH($A24,Data_metier!$B:$B,0)),{"Non Concerné";"Niveau 1";"Niveau 2";"Niveau 3";"Niveau 4"},0)-1)&gt;(MATCH(INDEX(Data_metier!$E:$E,MATCH(L$1,Data_metier!$B:$B,0)),{"Non Concerné";"Niveau 1";"Niveau 2";"Niveau 3";"Niveau 4"},0)-1),
1/6,0))</f>
        <v>2.9999999999999996</v>
      </c>
      <c r="M24">
        <f>IF(DE_respon_transv!M24=-1,-1,
DE_respon_transv!M24+IF((MATCH(INDEX(Data_metier!$C:$C,MATCH($A24,Data_metier!$B:$B,0)),{"Non Concerné";"Niveau 1";"Niveau 2";"Niveau 3";"Niveau 4"},0)-1)&gt;(MATCH(INDEX(Data_metier!$C:$C,MATCH(M$1,Data_metier!$B:$B,0)),{"Non Concerné";"Niveau 1";"Niveau 2";"Niveau 3";"Niveau 4"},0)-1),
1/6,0)+IF((MATCH(INDEX(Data_metier!$D:$D,MATCH($A24,Data_metier!$B:$B,0)),{"Non Concerné";"Niveau 1";"Niveau 2";"Niveau 3";"Niveau 4"},0)-1)&gt;(MATCH(INDEX(Data_metier!$D:$D,MATCH(M$1,Data_metier!$B:$B,0)),{"Non Concerné";"Niveau 1";"Niveau 2";"Niveau 3";"Niveau 4"},0)-1),
1/6,0)+IF((MATCH(INDEX(Data_metier!$E:$E,MATCH($A24,Data_metier!$B:$B,0)),{"Non Concerné";"Niveau 1";"Niveau 2";"Niveau 3";"Niveau 4"},0)-1)&gt;(MATCH(INDEX(Data_metier!$E:$E,MATCH(M$1,Data_metier!$B:$B,0)),{"Non Concerné";"Niveau 1";"Niveau 2";"Niveau 3";"Niveau 4"},0)-1),
1/6,0))</f>
        <v>2.9999999999999996</v>
      </c>
      <c r="N24">
        <f>IF(DE_respon_transv!N24=-1,-1,
DE_respon_transv!N24+IF((MATCH(INDEX(Data_metier!$C:$C,MATCH($A24,Data_metier!$B:$B,0)),{"Non Concerné";"Niveau 1";"Niveau 2";"Niveau 3";"Niveau 4"},0)-1)&gt;(MATCH(INDEX(Data_metier!$C:$C,MATCH(N$1,Data_metier!$B:$B,0)),{"Non Concerné";"Niveau 1";"Niveau 2";"Niveau 3";"Niveau 4"},0)-1),
1/6,0)+IF((MATCH(INDEX(Data_metier!$D:$D,MATCH($A24,Data_metier!$B:$B,0)),{"Non Concerné";"Niveau 1";"Niveau 2";"Niveau 3";"Niveau 4"},0)-1)&gt;(MATCH(INDEX(Data_metier!$D:$D,MATCH(N$1,Data_metier!$B:$B,0)),{"Non Concerné";"Niveau 1";"Niveau 2";"Niveau 3";"Niveau 4"},0)-1),
1/6,0)+IF((MATCH(INDEX(Data_metier!$E:$E,MATCH($A24,Data_metier!$B:$B,0)),{"Non Concerné";"Niveau 1";"Niveau 2";"Niveau 3";"Niveau 4"},0)-1)&gt;(MATCH(INDEX(Data_metier!$E:$E,MATCH(N$1,Data_metier!$B:$B,0)),{"Non Concerné";"Niveau 1";"Niveau 2";"Niveau 3";"Niveau 4"},0)-1),
1/6,0))</f>
        <v>1.5000000000000002</v>
      </c>
      <c r="O24">
        <f>IF(DE_respon_transv!O24=-1,-1,
DE_respon_transv!O24+IF((MATCH(INDEX(Data_metier!$C:$C,MATCH($A24,Data_metier!$B:$B,0)),{"Non Concerné";"Niveau 1";"Niveau 2";"Niveau 3";"Niveau 4"},0)-1)&gt;(MATCH(INDEX(Data_metier!$C:$C,MATCH(O$1,Data_metier!$B:$B,0)),{"Non Concerné";"Niveau 1";"Niveau 2";"Niveau 3";"Niveau 4"},0)-1),
1/6,0)+IF((MATCH(INDEX(Data_metier!$D:$D,MATCH($A24,Data_metier!$B:$B,0)),{"Non Concerné";"Niveau 1";"Niveau 2";"Niveau 3";"Niveau 4"},0)-1)&gt;(MATCH(INDEX(Data_metier!$D:$D,MATCH(O$1,Data_metier!$B:$B,0)),{"Non Concerné";"Niveau 1";"Niveau 2";"Niveau 3";"Niveau 4"},0)-1),
1/6,0)+IF((MATCH(INDEX(Data_metier!$E:$E,MATCH($A24,Data_metier!$B:$B,0)),{"Non Concerné";"Niveau 1";"Niveau 2";"Niveau 3";"Niveau 4"},0)-1)&gt;(MATCH(INDEX(Data_metier!$E:$E,MATCH(O$1,Data_metier!$B:$B,0)),{"Non Concerné";"Niveau 1";"Niveau 2";"Niveau 3";"Niveau 4"},0)-1),
1/6,0))</f>
        <v>2.9999999999999996</v>
      </c>
      <c r="P24">
        <f>IF(DE_respon_transv!P24=-1,-1,
DE_respon_transv!P24+IF((MATCH(INDEX(Data_metier!$C:$C,MATCH($A24,Data_metier!$B:$B,0)),{"Non Concerné";"Niveau 1";"Niveau 2";"Niveau 3";"Niveau 4"},0)-1)&gt;(MATCH(INDEX(Data_metier!$C:$C,MATCH(P$1,Data_metier!$B:$B,0)),{"Non Concerné";"Niveau 1";"Niveau 2";"Niveau 3";"Niveau 4"},0)-1),
1/6,0)+IF((MATCH(INDEX(Data_metier!$D:$D,MATCH($A24,Data_metier!$B:$B,0)),{"Non Concerné";"Niveau 1";"Niveau 2";"Niveau 3";"Niveau 4"},0)-1)&gt;(MATCH(INDEX(Data_metier!$D:$D,MATCH(P$1,Data_metier!$B:$B,0)),{"Non Concerné";"Niveau 1";"Niveau 2";"Niveau 3";"Niveau 4"},0)-1),
1/6,0)+IF((MATCH(INDEX(Data_metier!$E:$E,MATCH($A24,Data_metier!$B:$B,0)),{"Non Concerné";"Niveau 1";"Niveau 2";"Niveau 3";"Niveau 4"},0)-1)&gt;(MATCH(INDEX(Data_metier!$E:$E,MATCH(P$1,Data_metier!$B:$B,0)),{"Non Concerné";"Niveau 1";"Niveau 2";"Niveau 3";"Niveau 4"},0)-1),
1/6,0))</f>
        <v>2.9999999999999996</v>
      </c>
      <c r="Q24">
        <f>IF(DE_respon_transv!Q24=-1,-1,
DE_respon_transv!Q24+IF((MATCH(INDEX(Data_metier!$C:$C,MATCH($A24,Data_metier!$B:$B,0)),{"Non Concerné";"Niveau 1";"Niveau 2";"Niveau 3";"Niveau 4"},0)-1)&gt;(MATCH(INDEX(Data_metier!$C:$C,MATCH(Q$1,Data_metier!$B:$B,0)),{"Non Concerné";"Niveau 1";"Niveau 2";"Niveau 3";"Niveau 4"},0)-1),
1/6,0)+IF((MATCH(INDEX(Data_metier!$D:$D,MATCH($A24,Data_metier!$B:$B,0)),{"Non Concerné";"Niveau 1";"Niveau 2";"Niveau 3";"Niveau 4"},0)-1)&gt;(MATCH(INDEX(Data_metier!$D:$D,MATCH(Q$1,Data_metier!$B:$B,0)),{"Non Concerné";"Niveau 1";"Niveau 2";"Niveau 3";"Niveau 4"},0)-1),
1/6,0)+IF((MATCH(INDEX(Data_metier!$E:$E,MATCH($A24,Data_metier!$B:$B,0)),{"Non Concerné";"Niveau 1";"Niveau 2";"Niveau 3";"Niveau 4"},0)-1)&gt;(MATCH(INDEX(Data_metier!$E:$E,MATCH(Q$1,Data_metier!$B:$B,0)),{"Non Concerné";"Niveau 1";"Niveau 2";"Niveau 3";"Niveau 4"},0)-1),
1/6,0))</f>
        <v>1.5000000000000002</v>
      </c>
      <c r="R24">
        <f>IF(DE_respon_transv!R24=-1,-1,
DE_respon_transv!R24+IF((MATCH(INDEX(Data_metier!$C:$C,MATCH($A24,Data_metier!$B:$B,0)),{"Non Concerné";"Niveau 1";"Niveau 2";"Niveau 3";"Niveau 4"},0)-1)&gt;(MATCH(INDEX(Data_metier!$C:$C,MATCH(R$1,Data_metier!$B:$B,0)),{"Non Concerné";"Niveau 1";"Niveau 2";"Niveau 3";"Niveau 4"},0)-1),
1/6,0)+IF((MATCH(INDEX(Data_metier!$D:$D,MATCH($A24,Data_metier!$B:$B,0)),{"Non Concerné";"Niveau 1";"Niveau 2";"Niveau 3";"Niveau 4"},0)-1)&gt;(MATCH(INDEX(Data_metier!$D:$D,MATCH(R$1,Data_metier!$B:$B,0)),{"Non Concerné";"Niveau 1";"Niveau 2";"Niveau 3";"Niveau 4"},0)-1),
1/6,0)+IF((MATCH(INDEX(Data_metier!$E:$E,MATCH($A24,Data_metier!$B:$B,0)),{"Non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24">
        <f>IF(DE_respon_transv!S24=-1,-1,
DE_respon_transv!S24+IF((MATCH(INDEX(Data_metier!$C:$C,MATCH($A24,Data_metier!$B:$B,0)),{"Non Concerné";"Niveau 1";"Niveau 2";"Niveau 3";"Niveau 4"},0)-1)&gt;(MATCH(INDEX(Data_metier!$C:$C,MATCH(S$1,Data_metier!$B:$B,0)),{"Non Concerné";"Niveau 1";"Niveau 2";"Niveau 3";"Niveau 4"},0)-1),
1/6,0)+IF((MATCH(INDEX(Data_metier!$D:$D,MATCH($A24,Data_metier!$B:$B,0)),{"Non Concerné";"Niveau 1";"Niveau 2";"Niveau 3";"Niveau 4"},0)-1)&gt;(MATCH(INDEX(Data_metier!$D:$D,MATCH(S$1,Data_metier!$B:$B,0)),{"Non Concerné";"Niveau 1";"Niveau 2";"Niveau 3";"Niveau 4"},0)-1),
1/6,0)+IF((MATCH(INDEX(Data_metier!$E:$E,MATCH($A24,Data_metier!$B:$B,0)),{"Non Concerné";"Niveau 1";"Niveau 2";"Niveau 3";"Niveau 4"},0)-1)&gt;(MATCH(INDEX(Data_metier!$E:$E,MATCH(S$1,Data_metier!$B:$B,0)),{"Non Concerné";"Niveau 1";"Niveau 2";"Niveau 3";"Niveau 4"},0)-1),
1/6,0))</f>
        <v>2.9999999999999996</v>
      </c>
      <c r="T24">
        <f>IF(DE_respon_transv!T24=-1,-1,
DE_respon_transv!T24+IF((MATCH(INDEX(Data_metier!$C:$C,MATCH($A24,Data_metier!$B:$B,0)),{"Non Concerné";"Niveau 1";"Niveau 2";"Niveau 3";"Niveau 4"},0)-1)&gt;(MATCH(INDEX(Data_metier!$C:$C,MATCH(T$1,Data_metier!$B:$B,0)),{"Non Concerné";"Niveau 1";"Niveau 2";"Niveau 3";"Niveau 4"},0)-1),
1/6,0)+IF((MATCH(INDEX(Data_metier!$D:$D,MATCH($A24,Data_metier!$B:$B,0)),{"Non Concerné";"Niveau 1";"Niveau 2";"Niveau 3";"Niveau 4"},0)-1)&gt;(MATCH(INDEX(Data_metier!$D:$D,MATCH(T$1,Data_metier!$B:$B,0)),{"Non Concerné";"Niveau 1";"Niveau 2";"Niveau 3";"Niveau 4"},0)-1),
1/6,0)+IF((MATCH(INDEX(Data_metier!$E:$E,MATCH($A24,Data_metier!$B:$B,0)),{"Non Concerné";"Niveau 1";"Niveau 2";"Niveau 3";"Niveau 4"},0)-1)&gt;(MATCH(INDEX(Data_metier!$E:$E,MATCH(T$1,Data_metier!$B:$B,0)),{"Non Concerné";"Niveau 1";"Niveau 2";"Niveau 3";"Niveau 4"},0)-1),
1/6,0))</f>
        <v>2.9999999999999996</v>
      </c>
      <c r="U24">
        <f>IF(DE_respon_transv!U24=-1,-1,
DE_respon_transv!U24+IF((MATCH(INDEX(Data_metier!$C:$C,MATCH($A24,Data_metier!$B:$B,0)),{"Non Concerné";"Niveau 1";"Niveau 2";"Niveau 3";"Niveau 4"},0)-1)&gt;(MATCH(INDEX(Data_metier!$C:$C,MATCH(U$1,Data_metier!$B:$B,0)),{"Non Concerné";"Niveau 1";"Niveau 2";"Niveau 3";"Niveau 4"},0)-1),
1/6,0)+IF((MATCH(INDEX(Data_metier!$D:$D,MATCH($A24,Data_metier!$B:$B,0)),{"Non Concerné";"Niveau 1";"Niveau 2";"Niveau 3";"Niveau 4"},0)-1)&gt;(MATCH(INDEX(Data_metier!$D:$D,MATCH(U$1,Data_metier!$B:$B,0)),{"Non Concerné";"Niveau 1";"Niveau 2";"Niveau 3";"Niveau 4"},0)-1),
1/6,0)+IF((MATCH(INDEX(Data_metier!$E:$E,MATCH($A24,Data_metier!$B:$B,0)),{"Non Concerné";"Niveau 1";"Niveau 2";"Niveau 3";"Niveau 4"},0)-1)&gt;(MATCH(INDEX(Data_metier!$E:$E,MATCH(U$1,Data_metier!$B:$B,0)),{"Non Concerné";"Niveau 1";"Niveau 2";"Niveau 3";"Niveau 4"},0)-1),
1/6,0))</f>
        <v>2.9999999999999996</v>
      </c>
      <c r="V24">
        <f>IF(DE_respon_transv!V24=-1,-1,
DE_respon_transv!V24+IF((MATCH(INDEX(Data_metier!$C:$C,MATCH($A24,Data_metier!$B:$B,0)),{"Non Concerné";"Niveau 1";"Niveau 2";"Niveau 3";"Niveau 4"},0)-1)&gt;(MATCH(INDEX(Data_metier!$C:$C,MATCH(V$1,Data_metier!$B:$B,0)),{"Non Concerné";"Niveau 1";"Niveau 2";"Niveau 3";"Niveau 4"},0)-1),
1/6,0)+IF((MATCH(INDEX(Data_metier!$D:$D,MATCH($A24,Data_metier!$B:$B,0)),{"Non Concerné";"Niveau 1";"Niveau 2";"Niveau 3";"Niveau 4"},0)-1)&gt;(MATCH(INDEX(Data_metier!$D:$D,MATCH(V$1,Data_metier!$B:$B,0)),{"Non Concerné";"Niveau 1";"Niveau 2";"Niveau 3";"Niveau 4"},0)-1),
1/6,0)+IF((MATCH(INDEX(Data_metier!$E:$E,MATCH($A24,Data_metier!$B:$B,0)),{"Non Concerné";"Niveau 1";"Niveau 2";"Niveau 3";"Niveau 4"},0)-1)&gt;(MATCH(INDEX(Data_metier!$E:$E,MATCH(V$1,Data_metier!$B:$B,0)),{"Non Concerné";"Niveau 1";"Niveau 2";"Niveau 3";"Niveau 4"},0)-1),
1/6,0))</f>
        <v>2.9999999999999996</v>
      </c>
      <c r="W24">
        <f>IF(DE_respon_transv!W24=-1,-1,
DE_respon_transv!W24+IF((MATCH(INDEX(Data_metier!$C:$C,MATCH($A24,Data_metier!$B:$B,0)),{"Non Concerné";"Niveau 1";"Niveau 2";"Niveau 3";"Niveau 4"},0)-1)&gt;(MATCH(INDEX(Data_metier!$C:$C,MATCH(W$1,Data_metier!$B:$B,0)),{"Non Concerné";"Niveau 1";"Niveau 2";"Niveau 3";"Niveau 4"},0)-1),
1/6,0)+IF((MATCH(INDEX(Data_metier!$D:$D,MATCH($A24,Data_metier!$B:$B,0)),{"Non Concerné";"Niveau 1";"Niveau 2";"Niveau 3";"Niveau 4"},0)-1)&gt;(MATCH(INDEX(Data_metier!$D:$D,MATCH(W$1,Data_metier!$B:$B,0)),{"Non Concerné";"Niveau 1";"Niveau 2";"Niveau 3";"Niveau 4"},0)-1),
1/6,0)+IF((MATCH(INDEX(Data_metier!$E:$E,MATCH($A24,Data_metier!$B:$B,0)),{"Non Concerné";"Niveau 1";"Niveau 2";"Niveau 3";"Niveau 4"},0)-1)&gt;(MATCH(INDEX(Data_metier!$E:$E,MATCH(W$1,Data_metier!$B:$B,0)),{"Non Concerné";"Niveau 1";"Niveau 2";"Niveau 3";"Niveau 4"},0)-1),
1/6,0))</f>
        <v>2.4999999999999996</v>
      </c>
      <c r="X24">
        <f>IF(DE_respon_transv!X24=-1,-1,
DE_respon_transv!X24+IF((MATCH(INDEX(Data_metier!$C:$C,MATCH($A24,Data_metier!$B:$B,0)),{"Non Concerné";"Niveau 1";"Niveau 2";"Niveau 3";"Niveau 4"},0)-1)&gt;(MATCH(INDEX(Data_metier!$C:$C,MATCH(X$1,Data_metier!$B:$B,0)),{"Non Concerné";"Niveau 1";"Niveau 2";"Niveau 3";"Niveau 4"},0)-1),
1/6,0)+IF((MATCH(INDEX(Data_metier!$D:$D,MATCH($A24,Data_metier!$B:$B,0)),{"Non Concerné";"Niveau 1";"Niveau 2";"Niveau 3";"Niveau 4"},0)-1)&gt;(MATCH(INDEX(Data_metier!$D:$D,MATCH(X$1,Data_metier!$B:$B,0)),{"Non Concerné";"Niveau 1";"Niveau 2";"Niveau 3";"Niveau 4"},0)-1),
1/6,0)+IF((MATCH(INDEX(Data_metier!$E:$E,MATCH($A24,Data_metier!$B:$B,0)),{"Non Concerné";"Niveau 1";"Niveau 2";"Niveau 3";"Niveau 4"},0)-1)&gt;(MATCH(INDEX(Data_metier!$E:$E,MATCH(X$1,Data_metier!$B:$B,0)),{"Non Concerné";"Niveau 1";"Niveau 2";"Niveau 3";"Niveau 4"},0)-1),
1/6,0))</f>
        <v>0</v>
      </c>
      <c r="Y24">
        <f>IF(DE_respon_transv!Y24=-1,-1,
DE_respon_transv!Y24+IF((MATCH(INDEX(Data_metier!$C:$C,MATCH($A24,Data_metier!$B:$B,0)),{"Non Concerné";"Niveau 1";"Niveau 2";"Niveau 3";"Niveau 4"},0)-1)&gt;(MATCH(INDEX(Data_metier!$C:$C,MATCH(Y$1,Data_metier!$B:$B,0)),{"Non Concerné";"Niveau 1";"Niveau 2";"Niveau 3";"Niveau 4"},0)-1),
1/6,0)+IF((MATCH(INDEX(Data_metier!$D:$D,MATCH($A24,Data_metier!$B:$B,0)),{"Non Concerné";"Niveau 1";"Niveau 2";"Niveau 3";"Niveau 4"},0)-1)&gt;(MATCH(INDEX(Data_metier!$D:$D,MATCH(Y$1,Data_metier!$B:$B,0)),{"Non Concerné";"Niveau 1";"Niveau 2";"Niveau 3";"Niveau 4"},0)-1),
1/6,0)+IF((MATCH(INDEX(Data_metier!$E:$E,MATCH($A24,Data_metier!$B:$B,0)),{"Non Concerné";"Niveau 1";"Niveau 2";"Niveau 3";"Niveau 4"},0)-1)&gt;(MATCH(INDEX(Data_metier!$E:$E,MATCH(Y$1,Data_metier!$B:$B,0)),{"Non Concerné";"Niveau 1";"Niveau 2";"Niveau 3";"Niveau 4"},0)-1),
1/6,0))</f>
        <v>2.9999999999999996</v>
      </c>
      <c r="Z24">
        <f>IF(DE_respon_transv!Z24=-1,-1,
DE_respon_transv!Z24+IF((MATCH(INDEX(Data_metier!$C:$C,MATCH($A24,Data_metier!$B:$B,0)),{"Non Concerné";"Niveau 1";"Niveau 2";"Niveau 3";"Niveau 4"},0)-1)&gt;(MATCH(INDEX(Data_metier!$C:$C,MATCH(Z$1,Data_metier!$B:$B,0)),{"Non Concerné";"Niveau 1";"Niveau 2";"Niveau 3";"Niveau 4"},0)-1),
1/6,0)+IF((MATCH(INDEX(Data_metier!$D:$D,MATCH($A24,Data_metier!$B:$B,0)),{"Non Concerné";"Niveau 1";"Niveau 2";"Niveau 3";"Niveau 4"},0)-1)&gt;(MATCH(INDEX(Data_metier!$D:$D,MATCH(Z$1,Data_metier!$B:$B,0)),{"Non Concerné";"Niveau 1";"Niveau 2";"Niveau 3";"Niveau 4"},0)-1),
1/6,0)+IF((MATCH(INDEX(Data_metier!$E:$E,MATCH($A24,Data_metier!$B:$B,0)),{"Non Concerné";"Niveau 1";"Niveau 2";"Niveau 3";"Niveau 4"},0)-1)&gt;(MATCH(INDEX(Data_metier!$E:$E,MATCH(Z$1,Data_metier!$B:$B,0)),{"Non Concerné";"Niveau 1";"Niveau 2";"Niveau 3";"Niveau 4"},0)-1),
1/6,0))</f>
        <v>2.9999999999999996</v>
      </c>
      <c r="AA24">
        <f>IF(DE_respon_transv!AA24=-1,-1,
DE_respon_transv!AA24+IF((MATCH(INDEX(Data_metier!$C:$C,MATCH($A24,Data_metier!$B:$B,0)),{"Non Concerné";"Niveau 1";"Niveau 2";"Niveau 3";"Niveau 4"},0)-1)&gt;(MATCH(INDEX(Data_metier!$C:$C,MATCH(AA$1,Data_metier!$B:$B,0)),{"Non Concerné";"Niveau 1";"Niveau 2";"Niveau 3";"Niveau 4"},0)-1),
1/6,0)+IF((MATCH(INDEX(Data_metier!$D:$D,MATCH($A24,Data_metier!$B:$B,0)),{"Non Concerné";"Niveau 1";"Niveau 2";"Niveau 3";"Niveau 4"},0)-1)&gt;(MATCH(INDEX(Data_metier!$D:$D,MATCH(AA$1,Data_metier!$B:$B,0)),{"Non Concerné";"Niveau 1";"Niveau 2";"Niveau 3";"Niveau 4"},0)-1),
1/6,0)+IF((MATCH(INDEX(Data_metier!$E:$E,MATCH($A24,Data_metier!$B:$B,0)),{"Non Concerné";"Niveau 1";"Niveau 2";"Niveau 3";"Niveau 4"},0)-1)&gt;(MATCH(INDEX(Data_metier!$E:$E,MATCH(AA$1,Data_metier!$B:$B,0)),{"Non Concerné";"Niveau 1";"Niveau 2";"Niveau 3";"Niveau 4"},0)-1),
1/6,0))</f>
        <v>2.9999999999999996</v>
      </c>
      <c r="AB24">
        <f>IF(DE_respon_transv!AB24=-1,-1,
DE_respon_transv!AB24+IF((MATCH(INDEX(Data_metier!$C:$C,MATCH($A24,Data_metier!$B:$B,0)),{"Non Concerné";"Niveau 1";"Niveau 2";"Niveau 3";"Niveau 4"},0)-1)&gt;(MATCH(INDEX(Data_metier!$C:$C,MATCH(AB$1,Data_metier!$B:$B,0)),{"Non Concerné";"Niveau 1";"Niveau 2";"Niveau 3";"Niveau 4"},0)-1),
1/6,0)+IF((MATCH(INDEX(Data_metier!$D:$D,MATCH($A24,Data_metier!$B:$B,0)),{"Non Concerné";"Niveau 1";"Niveau 2";"Niveau 3";"Niveau 4"},0)-1)&gt;(MATCH(INDEX(Data_metier!$D:$D,MATCH(AB$1,Data_metier!$B:$B,0)),{"Non Concerné";"Niveau 1";"Niveau 2";"Niveau 3";"Niveau 4"},0)-1),
1/6,0)+IF((MATCH(INDEX(Data_metier!$E:$E,MATCH($A24,Data_metier!$B:$B,0)),{"Non Concerné";"Niveau 1";"Niveau 2";"Niveau 3";"Niveau 4"},0)-1)&gt;(MATCH(INDEX(Data_metier!$E:$E,MATCH(AB$1,Data_metier!$B:$B,0)),{"Non Concerné";"Niveau 1";"Niveau 2";"Niveau 3";"Niveau 4"},0)-1),
1/6,0))</f>
        <v>2.9999999999999996</v>
      </c>
      <c r="AC24">
        <f>IF(DE_respon_transv!AC24=-1,-1,
DE_respon_transv!AC24+IF((MATCH(INDEX(Data_metier!$C:$C,MATCH($A24,Data_metier!$B:$B,0)),{"Non Concerné";"Niveau 1";"Niveau 2";"Niveau 3";"Niveau 4"},0)-1)&gt;(MATCH(INDEX(Data_metier!$C:$C,MATCH(AC$1,Data_metier!$B:$B,0)),{"Non Concerné";"Niveau 1";"Niveau 2";"Niveau 3";"Niveau 4"},0)-1),
1/6,0)+IF((MATCH(INDEX(Data_metier!$D:$D,MATCH($A24,Data_metier!$B:$B,0)),{"Non Concerné";"Niveau 1";"Niveau 2";"Niveau 3";"Niveau 4"},0)-1)&gt;(MATCH(INDEX(Data_metier!$D:$D,MATCH(AC$1,Data_metier!$B:$B,0)),{"Non Concerné";"Niveau 1";"Niveau 2";"Niveau 3";"Niveau 4"},0)-1),
1/6,0)+IF((MATCH(INDEX(Data_metier!$E:$E,MATCH($A24,Data_metier!$B:$B,0)),{"Non Concerné";"Niveau 1";"Niveau 2";"Niveau 3";"Niveau 4"},0)-1)&gt;(MATCH(INDEX(Data_metier!$E:$E,MATCH(AC$1,Data_metier!$B:$B,0)),{"Non Concerné";"Niveau 1";"Niveau 2";"Niveau 3";"Niveau 4"},0)-1),
1/6,0))</f>
        <v>2.9999999999999996</v>
      </c>
      <c r="AD24">
        <f>IF(DE_respon_transv!AD24=-1,-1,
DE_respon_transv!AD24+IF((MATCH(INDEX(Data_metier!$C:$C,MATCH($A24,Data_metier!$B:$B,0)),{"Non Concerné";"Niveau 1";"Niveau 2";"Niveau 3";"Niveau 4"},0)-1)&gt;(MATCH(INDEX(Data_metier!$C:$C,MATCH(AD$1,Data_metier!$B:$B,0)),{"Non Concerné";"Niveau 1";"Niveau 2";"Niveau 3";"Niveau 4"},0)-1),
1/6,0)+IF((MATCH(INDEX(Data_metier!$D:$D,MATCH($A24,Data_metier!$B:$B,0)),{"Non Concerné";"Niveau 1";"Niveau 2";"Niveau 3";"Niveau 4"},0)-1)&gt;(MATCH(INDEX(Data_metier!$D:$D,MATCH(AD$1,Data_metier!$B:$B,0)),{"Non Concerné";"Niveau 1";"Niveau 2";"Niveau 3";"Niveau 4"},0)-1),
1/6,0)+IF((MATCH(INDEX(Data_metier!$E:$E,MATCH($A24,Data_metier!$B:$B,0)),{"Non Concerné";"Niveau 1";"Niveau 2";"Niveau 3";"Niveau 4"},0)-1)&gt;(MATCH(INDEX(Data_metier!$E:$E,MATCH(AD$1,Data_metier!$B:$B,0)),{"Non Concerné";"Niveau 1";"Niveau 2";"Niveau 3";"Niveau 4"},0)-1),
1/6,0))</f>
        <v>2.9999999999999996</v>
      </c>
    </row>
    <row r="25" spans="1:30">
      <c r="A25" t="str">
        <v>Opérateur(trice) de transformation des viandes</v>
      </c>
      <c r="B25">
        <f>IF(DE_respon_transv!B25=-1,-1,
DE_respon_transv!B25+IF((MATCH(INDEX(Data_metier!$C:$C,MATCH($A25,Data_metier!$B:$B,0)),{"Non Concerné";"Niveau 1";"Niveau 2";"Niveau 3";"Niveau 4"},0)-1)&gt;(MATCH(INDEX(Data_metier!$C:$C,MATCH(B$1,Data_metier!$B:$B,0)),{"Non Concerné";"Niveau 1";"Niveau 2";"Niveau 3";"Niveau 4"},0)-1),
1/6,0)+IF((MATCH(INDEX(Data_metier!$D:$D,MATCH($A25,Data_metier!$B:$B,0)),{"Non Concerné";"Niveau 1";"Niveau 2";"Niveau 3";"Niveau 4"},0)-1)&gt;(MATCH(INDEX(Data_metier!$D:$D,MATCH(B$1,Data_metier!$B:$B,0)),{"Non Concerné";"Niveau 1";"Niveau 2";"Niveau 3";"Niveau 4"},0)-1),
1/6,0)+IF((MATCH(INDEX(Data_metier!$E:$E,MATCH($A25,Data_metier!$B:$B,0)),{"Non Concerné";"Niveau 1";"Niveau 2";"Niveau 3";"Niveau 4"},0)-1)&gt;(MATCH(INDEX(Data_metier!$E:$E,MATCH(B$1,Data_metier!$B:$B,0)),{"Non Concerné";"Niveau 1";"Niveau 2";"Niveau 3";"Niveau 4"},0)-1),
1/6,0))</f>
        <v>-1</v>
      </c>
      <c r="C25">
        <f>IF(DE_respon_transv!C25=-1,-1,
DE_respon_transv!C25+IF((MATCH(INDEX(Data_metier!$C:$C,MATCH($A25,Data_metier!$B:$B,0)),{"Non Concerné";"Niveau 1";"Niveau 2";"Niveau 3";"Niveau 4"},0)-1)&gt;(MATCH(INDEX(Data_metier!$C:$C,MATCH(C$1,Data_metier!$B:$B,0)),{"Non Concerné";"Niveau 1";"Niveau 2";"Niveau 3";"Niveau 4"},0)-1),
1/6,0)+IF((MATCH(INDEX(Data_metier!$D:$D,MATCH($A25,Data_metier!$B:$B,0)),{"Non Concerné";"Niveau 1";"Niveau 2";"Niveau 3";"Niveau 4"},0)-1)&gt;(MATCH(INDEX(Data_metier!$D:$D,MATCH(C$1,Data_metier!$B:$B,0)),{"Non Concerné";"Niveau 1";"Niveau 2";"Niveau 3";"Niveau 4"},0)-1),
1/6,0)+IF((MATCH(INDEX(Data_metier!$E:$E,MATCH($A25,Data_metier!$B:$B,0)),{"Non Concerné";"Niveau 1";"Niveau 2";"Niveau 3";"Niveau 4"},0)-1)&gt;(MATCH(INDEX(Data_metier!$E:$E,MATCH(C$1,Data_metier!$B:$B,0)),{"Non Concerné";"Niveau 1";"Niveau 2";"Niveau 3";"Niveau 4"},0)-1),
1/6,0))</f>
        <v>-1</v>
      </c>
      <c r="D25">
        <f>IF(DE_respon_transv!D25=-1,-1,
DE_respon_transv!D25+IF((MATCH(INDEX(Data_metier!$C:$C,MATCH($A25,Data_metier!$B:$B,0)),{"Non Concerné";"Niveau 1";"Niveau 2";"Niveau 3";"Niveau 4"},0)-1)&gt;(MATCH(INDEX(Data_metier!$C:$C,MATCH(D$1,Data_metier!$B:$B,0)),{"Non Concerné";"Niveau 1";"Niveau 2";"Niveau 3";"Niveau 4"},0)-1),
1/6,0)+IF((MATCH(INDEX(Data_metier!$D:$D,MATCH($A25,Data_metier!$B:$B,0)),{"Non Concerné";"Niveau 1";"Niveau 2";"Niveau 3";"Niveau 4"},0)-1)&gt;(MATCH(INDEX(Data_metier!$D:$D,MATCH(D$1,Data_metier!$B:$B,0)),{"Non Concerné";"Niveau 1";"Niveau 2";"Niveau 3";"Niveau 4"},0)-1),
1/6,0)+IF((MATCH(INDEX(Data_metier!$E:$E,MATCH($A25,Data_metier!$B:$B,0)),{"Non Concerné";"Niveau 1";"Niveau 2";"Niveau 3";"Niveau 4"},0)-1)&gt;(MATCH(INDEX(Data_metier!$E:$E,MATCH(D$1,Data_metier!$B:$B,0)),{"Non Concerné";"Niveau 1";"Niveau 2";"Niveau 3";"Niveau 4"},0)-1),
1/6,0))</f>
        <v>0</v>
      </c>
      <c r="E25">
        <f>IF(DE_respon_transv!E25=-1,-1,
DE_respon_transv!E25+IF((MATCH(INDEX(Data_metier!$C:$C,MATCH($A25,Data_metier!$B:$B,0)),{"Non Concerné";"Niveau 1";"Niveau 2";"Niveau 3";"Niveau 4"},0)-1)&gt;(MATCH(INDEX(Data_metier!$C:$C,MATCH(E$1,Data_metier!$B:$B,0)),{"Non Concerné";"Niveau 1";"Niveau 2";"Niveau 3";"Niveau 4"},0)-1),
1/6,0)+IF((MATCH(INDEX(Data_metier!$D:$D,MATCH($A25,Data_metier!$B:$B,0)),{"Non Concerné";"Niveau 1";"Niveau 2";"Niveau 3";"Niveau 4"},0)-1)&gt;(MATCH(INDEX(Data_metier!$D:$D,MATCH(E$1,Data_metier!$B:$B,0)),{"Non Concerné";"Niveau 1";"Niveau 2";"Niveau 3";"Niveau 4"},0)-1),
1/6,0)+IF((MATCH(INDEX(Data_metier!$E:$E,MATCH($A25,Data_metier!$B:$B,0)),{"Non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25">
        <f>IF(DE_respon_transv!F25=-1,-1,
DE_respon_transv!F25+IF((MATCH(INDEX(Data_metier!$C:$C,MATCH($A25,Data_metier!$B:$B,0)),{"Non Concerné";"Niveau 1";"Niveau 2";"Niveau 3";"Niveau 4"},0)-1)&gt;(MATCH(INDEX(Data_metier!$C:$C,MATCH(F$1,Data_metier!$B:$B,0)),{"Non Concerné";"Niveau 1";"Niveau 2";"Niveau 3";"Niveau 4"},0)-1),
1/6,0)+IF((MATCH(INDEX(Data_metier!$D:$D,MATCH($A25,Data_metier!$B:$B,0)),{"Non Concerné";"Niveau 1";"Niveau 2";"Niveau 3";"Niveau 4"},0)-1)&gt;(MATCH(INDEX(Data_metier!$D:$D,MATCH(F$1,Data_metier!$B:$B,0)),{"Non Concerné";"Niveau 1";"Niveau 2";"Niveau 3";"Niveau 4"},0)-1),
1/6,0)+IF((MATCH(INDEX(Data_metier!$E:$E,MATCH($A25,Data_metier!$B:$B,0)),{"Non Concerné";"Niveau 1";"Niveau 2";"Niveau 3";"Niveau 4"},0)-1)&gt;(MATCH(INDEX(Data_metier!$E:$E,MATCH(F$1,Data_metier!$B:$B,0)),{"Non Concerné";"Niveau 1";"Niveau 2";"Niveau 3";"Niveau 4"},0)-1),
1/6,0))</f>
        <v>-1</v>
      </c>
      <c r="G25">
        <f>IF(DE_respon_transv!G25=-1,-1,
DE_respon_transv!G25+IF((MATCH(INDEX(Data_metier!$C:$C,MATCH($A25,Data_metier!$B:$B,0)),{"Non Concerné";"Niveau 1";"Niveau 2";"Niveau 3";"Niveau 4"},0)-1)&gt;(MATCH(INDEX(Data_metier!$C:$C,MATCH(G$1,Data_metier!$B:$B,0)),{"Non Concerné";"Niveau 1";"Niveau 2";"Niveau 3";"Niveau 4"},0)-1),
1/6,0)+IF((MATCH(INDEX(Data_metier!$D:$D,MATCH($A25,Data_metier!$B:$B,0)),{"Non Concerné";"Niveau 1";"Niveau 2";"Niveau 3";"Niveau 4"},0)-1)&gt;(MATCH(INDEX(Data_metier!$D:$D,MATCH(G$1,Data_metier!$B:$B,0)),{"Non Concerné";"Niveau 1";"Niveau 2";"Niveau 3";"Niveau 4"},0)-1),
1/6,0)+IF((MATCH(INDEX(Data_metier!$E:$E,MATCH($A25,Data_metier!$B:$B,0)),{"Non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25">
        <f>IF(DE_respon_transv!H25=-1,-1,
DE_respon_transv!H25+IF((MATCH(INDEX(Data_metier!$C:$C,MATCH($A25,Data_metier!$B:$B,0)),{"Non Concerné";"Niveau 1";"Niveau 2";"Niveau 3";"Niveau 4"},0)-1)&gt;(MATCH(INDEX(Data_metier!$C:$C,MATCH(H$1,Data_metier!$B:$B,0)),{"Non Concerné";"Niveau 1";"Niveau 2";"Niveau 3";"Niveau 4"},0)-1),
1/6,0)+IF((MATCH(INDEX(Data_metier!$D:$D,MATCH($A25,Data_metier!$B:$B,0)),{"Non Concerné";"Niveau 1";"Niveau 2";"Niveau 3";"Niveau 4"},0)-1)&gt;(MATCH(INDEX(Data_metier!$D:$D,MATCH(H$1,Data_metier!$B:$B,0)),{"Non Concerné";"Niveau 1";"Niveau 2";"Niveau 3";"Niveau 4"},0)-1),
1/6,0)+IF((MATCH(INDEX(Data_metier!$E:$E,MATCH($A25,Data_metier!$B:$B,0)),{"Non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25">
        <f>IF(DE_respon_transv!I25=-1,-1,
DE_respon_transv!I25+IF((MATCH(INDEX(Data_metier!$C:$C,MATCH($A25,Data_metier!$B:$B,0)),{"Non Concerné";"Niveau 1";"Niveau 2";"Niveau 3";"Niveau 4"},0)-1)&gt;(MATCH(INDEX(Data_metier!$C:$C,MATCH(I$1,Data_metier!$B:$B,0)),{"Non Concerné";"Niveau 1";"Niveau 2";"Niveau 3";"Niveau 4"},0)-1),
1/6,0)+IF((MATCH(INDEX(Data_metier!$D:$D,MATCH($A25,Data_metier!$B:$B,0)),{"Non Concerné";"Niveau 1";"Niveau 2";"Niveau 3";"Niveau 4"},0)-1)&gt;(MATCH(INDEX(Data_metier!$D:$D,MATCH(I$1,Data_metier!$B:$B,0)),{"Non Concerné";"Niveau 1";"Niveau 2";"Niveau 3";"Niveau 4"},0)-1),
1/6,0)+IF((MATCH(INDEX(Data_metier!$E:$E,MATCH($A25,Data_metier!$B:$B,0)),{"Non Concerné";"Niveau 1";"Niveau 2";"Niveau 3";"Niveau 4"},0)-1)&gt;(MATCH(INDEX(Data_metier!$E:$E,MATCH(I$1,Data_metier!$B:$B,0)),{"Non Concerné";"Niveau 1";"Niveau 2";"Niveau 3";"Niveau 4"},0)-1),
1/6,0))</f>
        <v>0</v>
      </c>
      <c r="J25">
        <f>IF(DE_respon_transv!J25=-1,-1,
DE_respon_transv!J25+IF((MATCH(INDEX(Data_metier!$C:$C,MATCH($A25,Data_metier!$B:$B,0)),{"Non Concerné";"Niveau 1";"Niveau 2";"Niveau 3";"Niveau 4"},0)-1)&gt;(MATCH(INDEX(Data_metier!$C:$C,MATCH(J$1,Data_metier!$B:$B,0)),{"Non Concerné";"Niveau 1";"Niveau 2";"Niveau 3";"Niveau 4"},0)-1),
1/6,0)+IF((MATCH(INDEX(Data_metier!$D:$D,MATCH($A25,Data_metier!$B:$B,0)),{"Non Concerné";"Niveau 1";"Niveau 2";"Niveau 3";"Niveau 4"},0)-1)&gt;(MATCH(INDEX(Data_metier!$D:$D,MATCH(J$1,Data_metier!$B:$B,0)),{"Non Concerné";"Niveau 1";"Niveau 2";"Niveau 3";"Niveau 4"},0)-1),
1/6,0)+IF((MATCH(INDEX(Data_metier!$E:$E,MATCH($A25,Data_metier!$B:$B,0)),{"Non Concerné";"Niveau 1";"Niveau 2";"Niveau 3";"Niveau 4"},0)-1)&gt;(MATCH(INDEX(Data_metier!$E:$E,MATCH(J$1,Data_metier!$B:$B,0)),{"Non Concerné";"Niveau 1";"Niveau 2";"Niveau 3";"Niveau 4"},0)-1),
1/6,0))</f>
        <v>-1</v>
      </c>
      <c r="K25">
        <f>IF(DE_respon_transv!K25=-1,-1,
DE_respon_transv!K25+IF((MATCH(INDEX(Data_metier!$C:$C,MATCH($A25,Data_metier!$B:$B,0)),{"Non Concerné";"Niveau 1";"Niveau 2";"Niveau 3";"Niveau 4"},0)-1)&gt;(MATCH(INDEX(Data_metier!$C:$C,MATCH(K$1,Data_metier!$B:$B,0)),{"Non Concerné";"Niveau 1";"Niveau 2";"Niveau 3";"Niveau 4"},0)-1),
1/6,0)+IF((MATCH(INDEX(Data_metier!$D:$D,MATCH($A25,Data_metier!$B:$B,0)),{"Non Concerné";"Niveau 1";"Niveau 2";"Niveau 3";"Niveau 4"},0)-1)&gt;(MATCH(INDEX(Data_metier!$D:$D,MATCH(K$1,Data_metier!$B:$B,0)),{"Non Concerné";"Niveau 1";"Niveau 2";"Niveau 3";"Niveau 4"},0)-1),
1/6,0)+IF((MATCH(INDEX(Data_metier!$E:$E,MATCH($A25,Data_metier!$B:$B,0)),{"Non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25">
        <f>IF(DE_respon_transv!L25=-1,-1,
DE_respon_transv!L25+IF((MATCH(INDEX(Data_metier!$C:$C,MATCH($A25,Data_metier!$B:$B,0)),{"Non Concerné";"Niveau 1";"Niveau 2";"Niveau 3";"Niveau 4"},0)-1)&gt;(MATCH(INDEX(Data_metier!$C:$C,MATCH(L$1,Data_metier!$B:$B,0)),{"Non Concerné";"Niveau 1";"Niveau 2";"Niveau 3";"Niveau 4"},0)-1),
1/6,0)+IF((MATCH(INDEX(Data_metier!$D:$D,MATCH($A25,Data_metier!$B:$B,0)),{"Non Concerné";"Niveau 1";"Niveau 2";"Niveau 3";"Niveau 4"},0)-1)&gt;(MATCH(INDEX(Data_metier!$D:$D,MATCH(L$1,Data_metier!$B:$B,0)),{"Non Concerné";"Niveau 1";"Niveau 2";"Niveau 3";"Niveau 4"},0)-1),
1/6,0)+IF((MATCH(INDEX(Data_metier!$E:$E,MATCH($A25,Data_metier!$B:$B,0)),{"Non Concerné";"Niveau 1";"Niveau 2";"Niveau 3";"Niveau 4"},0)-1)&gt;(MATCH(INDEX(Data_metier!$E:$E,MATCH(L$1,Data_metier!$B:$B,0)),{"Non Concerné";"Niveau 1";"Niveau 2";"Niveau 3";"Niveau 4"},0)-1),
1/6,0))</f>
        <v>0</v>
      </c>
      <c r="M25">
        <f>IF(DE_respon_transv!M25=-1,-1,
DE_respon_transv!M25+IF((MATCH(INDEX(Data_metier!$C:$C,MATCH($A25,Data_metier!$B:$B,0)),{"Non Concerné";"Niveau 1";"Niveau 2";"Niveau 3";"Niveau 4"},0)-1)&gt;(MATCH(INDEX(Data_metier!$C:$C,MATCH(M$1,Data_metier!$B:$B,0)),{"Non Concerné";"Niveau 1";"Niveau 2";"Niveau 3";"Niveau 4"},0)-1),
1/6,0)+IF((MATCH(INDEX(Data_metier!$D:$D,MATCH($A25,Data_metier!$B:$B,0)),{"Non Concerné";"Niveau 1";"Niveau 2";"Niveau 3";"Niveau 4"},0)-1)&gt;(MATCH(INDEX(Data_metier!$D:$D,MATCH(M$1,Data_metier!$B:$B,0)),{"Non Concerné";"Niveau 1";"Niveau 2";"Niveau 3";"Niveau 4"},0)-1),
1/6,0)+IF((MATCH(INDEX(Data_metier!$E:$E,MATCH($A25,Data_metier!$B:$B,0)),{"Non Concerné";"Niveau 1";"Niveau 2";"Niveau 3";"Niveau 4"},0)-1)&gt;(MATCH(INDEX(Data_metier!$E:$E,MATCH(M$1,Data_metier!$B:$B,0)),{"Non Concerné";"Niveau 1";"Niveau 2";"Niveau 3";"Niveau 4"},0)-1),
1/6,0))</f>
        <v>-1</v>
      </c>
      <c r="N25">
        <f>IF(DE_respon_transv!N25=-1,-1,
DE_respon_transv!N25+IF((MATCH(INDEX(Data_metier!$C:$C,MATCH($A25,Data_metier!$B:$B,0)),{"Non Concerné";"Niveau 1";"Niveau 2";"Niveau 3";"Niveau 4"},0)-1)&gt;(MATCH(INDEX(Data_metier!$C:$C,MATCH(N$1,Data_metier!$B:$B,0)),{"Non Concerné";"Niveau 1";"Niveau 2";"Niveau 3";"Niveau 4"},0)-1),
1/6,0)+IF((MATCH(INDEX(Data_metier!$D:$D,MATCH($A25,Data_metier!$B:$B,0)),{"Non Concerné";"Niveau 1";"Niveau 2";"Niveau 3";"Niveau 4"},0)-1)&gt;(MATCH(INDEX(Data_metier!$D:$D,MATCH(N$1,Data_metier!$B:$B,0)),{"Non Concerné";"Niveau 1";"Niveau 2";"Niveau 3";"Niveau 4"},0)-1),
1/6,0)+IF((MATCH(INDEX(Data_metier!$E:$E,MATCH($A25,Data_metier!$B:$B,0)),{"Non Concerné";"Niveau 1";"Niveau 2";"Niveau 3";"Niveau 4"},0)-1)&gt;(MATCH(INDEX(Data_metier!$E:$E,MATCH(N$1,Data_metier!$B:$B,0)),{"Non Concerné";"Niveau 1";"Niveau 2";"Niveau 3";"Niveau 4"},0)-1),
1/6,0))</f>
        <v>-1</v>
      </c>
      <c r="O25">
        <f>IF(DE_respon_transv!O25=-1,-1,
DE_respon_transv!O25+IF((MATCH(INDEX(Data_metier!$C:$C,MATCH($A25,Data_metier!$B:$B,0)),{"Non Concerné";"Niveau 1";"Niveau 2";"Niveau 3";"Niveau 4"},0)-1)&gt;(MATCH(INDEX(Data_metier!$C:$C,MATCH(O$1,Data_metier!$B:$B,0)),{"Non Concerné";"Niveau 1";"Niveau 2";"Niveau 3";"Niveau 4"},0)-1),
1/6,0)+IF((MATCH(INDEX(Data_metier!$D:$D,MATCH($A25,Data_metier!$B:$B,0)),{"Non Concerné";"Niveau 1";"Niveau 2";"Niveau 3";"Niveau 4"},0)-1)&gt;(MATCH(INDEX(Data_metier!$D:$D,MATCH(O$1,Data_metier!$B:$B,0)),{"Non Concerné";"Niveau 1";"Niveau 2";"Niveau 3";"Niveau 4"},0)-1),
1/6,0)+IF((MATCH(INDEX(Data_metier!$E:$E,MATCH($A25,Data_metier!$B:$B,0)),{"Non Concerné";"Niveau 1";"Niveau 2";"Niveau 3";"Niveau 4"},0)-1)&gt;(MATCH(INDEX(Data_metier!$E:$E,MATCH(O$1,Data_metier!$B:$B,0)),{"Non Concerné";"Niveau 1";"Niveau 2";"Niveau 3";"Niveau 4"},0)-1),
1/6,0))</f>
        <v>0</v>
      </c>
      <c r="P25">
        <f>IF(DE_respon_transv!P25=-1,-1,
DE_respon_transv!P25+IF((MATCH(INDEX(Data_metier!$C:$C,MATCH($A25,Data_metier!$B:$B,0)),{"Non Concerné";"Niveau 1";"Niveau 2";"Niveau 3";"Niveau 4"},0)-1)&gt;(MATCH(INDEX(Data_metier!$C:$C,MATCH(P$1,Data_metier!$B:$B,0)),{"Non Concerné";"Niveau 1";"Niveau 2";"Niveau 3";"Niveau 4"},0)-1),
1/6,0)+IF((MATCH(INDEX(Data_metier!$D:$D,MATCH($A25,Data_metier!$B:$B,0)),{"Non Concerné";"Niveau 1";"Niveau 2";"Niveau 3";"Niveau 4"},0)-1)&gt;(MATCH(INDEX(Data_metier!$D:$D,MATCH(P$1,Data_metier!$B:$B,0)),{"Non Concerné";"Niveau 1";"Niveau 2";"Niveau 3";"Niveau 4"},0)-1),
1/6,0)+IF((MATCH(INDEX(Data_metier!$E:$E,MATCH($A25,Data_metier!$B:$B,0)),{"Non Concerné";"Niveau 1";"Niveau 2";"Niveau 3";"Niveau 4"},0)-1)&gt;(MATCH(INDEX(Data_metier!$E:$E,MATCH(P$1,Data_metier!$B:$B,0)),{"Non Concerné";"Niveau 1";"Niveau 2";"Niveau 3";"Niveau 4"},0)-1),
1/6,0))</f>
        <v>0</v>
      </c>
      <c r="Q25">
        <f>IF(DE_respon_transv!Q25=-1,-1,
DE_respon_transv!Q25+IF((MATCH(INDEX(Data_metier!$C:$C,MATCH($A25,Data_metier!$B:$B,0)),{"Non Concerné";"Niveau 1";"Niveau 2";"Niveau 3";"Niveau 4"},0)-1)&gt;(MATCH(INDEX(Data_metier!$C:$C,MATCH(Q$1,Data_metier!$B:$B,0)),{"Non Concerné";"Niveau 1";"Niveau 2";"Niveau 3";"Niveau 4"},0)-1),
1/6,0)+IF((MATCH(INDEX(Data_metier!$D:$D,MATCH($A25,Data_metier!$B:$B,0)),{"Non Concerné";"Niveau 1";"Niveau 2";"Niveau 3";"Niveau 4"},0)-1)&gt;(MATCH(INDEX(Data_metier!$D:$D,MATCH(Q$1,Data_metier!$B:$B,0)),{"Non Concerné";"Niveau 1";"Niveau 2";"Niveau 3";"Niveau 4"},0)-1),
1/6,0)+IF((MATCH(INDEX(Data_metier!$E:$E,MATCH($A25,Data_metier!$B:$B,0)),{"Non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25">
        <f>IF(DE_respon_transv!R25=-1,-1,
DE_respon_transv!R25+IF((MATCH(INDEX(Data_metier!$C:$C,MATCH($A25,Data_metier!$B:$B,0)),{"Non Concerné";"Niveau 1";"Niveau 2";"Niveau 3";"Niveau 4"},0)-1)&gt;(MATCH(INDEX(Data_metier!$C:$C,MATCH(R$1,Data_metier!$B:$B,0)),{"Non Concerné";"Niveau 1";"Niveau 2";"Niveau 3";"Niveau 4"},0)-1),
1/6,0)+IF((MATCH(INDEX(Data_metier!$D:$D,MATCH($A25,Data_metier!$B:$B,0)),{"Non Concerné";"Niveau 1";"Niveau 2";"Niveau 3";"Niveau 4"},0)-1)&gt;(MATCH(INDEX(Data_metier!$D:$D,MATCH(R$1,Data_metier!$B:$B,0)),{"Non Concerné";"Niveau 1";"Niveau 2";"Niveau 3";"Niveau 4"},0)-1),
1/6,0)+IF((MATCH(INDEX(Data_metier!$E:$E,MATCH($A25,Data_metier!$B:$B,0)),{"Non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25">
        <f>IF(DE_respon_transv!S25=-1,-1,
DE_respon_transv!S25+IF((MATCH(INDEX(Data_metier!$C:$C,MATCH($A25,Data_metier!$B:$B,0)),{"Non Concerné";"Niveau 1";"Niveau 2";"Niveau 3";"Niveau 4"},0)-1)&gt;(MATCH(INDEX(Data_metier!$C:$C,MATCH(S$1,Data_metier!$B:$B,0)),{"Non Concerné";"Niveau 1";"Niveau 2";"Niveau 3";"Niveau 4"},0)-1),
1/6,0)+IF((MATCH(INDEX(Data_metier!$D:$D,MATCH($A25,Data_metier!$B:$B,0)),{"Non Concerné";"Niveau 1";"Niveau 2";"Niveau 3";"Niveau 4"},0)-1)&gt;(MATCH(INDEX(Data_metier!$D:$D,MATCH(S$1,Data_metier!$B:$B,0)),{"Non Concerné";"Niveau 1";"Niveau 2";"Niveau 3";"Niveau 4"},0)-1),
1/6,0)+IF((MATCH(INDEX(Data_metier!$E:$E,MATCH($A25,Data_metier!$B:$B,0)),{"Non Concerné";"Niveau 1";"Niveau 2";"Niveau 3";"Niveau 4"},0)-1)&gt;(MATCH(INDEX(Data_metier!$E:$E,MATCH(S$1,Data_metier!$B:$B,0)),{"Non Concerné";"Niveau 1";"Niveau 2";"Niveau 3";"Niveau 4"},0)-1),
1/6,0))</f>
        <v>0</v>
      </c>
      <c r="T25">
        <f>IF(DE_respon_transv!T25=-1,-1,
DE_respon_transv!T25+IF((MATCH(INDEX(Data_metier!$C:$C,MATCH($A25,Data_metier!$B:$B,0)),{"Non Concerné";"Niveau 1";"Niveau 2";"Niveau 3";"Niveau 4"},0)-1)&gt;(MATCH(INDEX(Data_metier!$C:$C,MATCH(T$1,Data_metier!$B:$B,0)),{"Non Concerné";"Niveau 1";"Niveau 2";"Niveau 3";"Niveau 4"},0)-1),
1/6,0)+IF((MATCH(INDEX(Data_metier!$D:$D,MATCH($A25,Data_metier!$B:$B,0)),{"Non Concerné";"Niveau 1";"Niveau 2";"Niveau 3";"Niveau 4"},0)-1)&gt;(MATCH(INDEX(Data_metier!$D:$D,MATCH(T$1,Data_metier!$B:$B,0)),{"Non Concerné";"Niveau 1";"Niveau 2";"Niveau 3";"Niveau 4"},0)-1),
1/6,0)+IF((MATCH(INDEX(Data_metier!$E:$E,MATCH($A25,Data_metier!$B:$B,0)),{"Non Concerné";"Niveau 1";"Niveau 2";"Niveau 3";"Niveau 4"},0)-1)&gt;(MATCH(INDEX(Data_metier!$E:$E,MATCH(T$1,Data_metier!$B:$B,0)),{"Non Concerné";"Niveau 1";"Niveau 2";"Niveau 3";"Niveau 4"},0)-1),
1/6,0))</f>
        <v>0</v>
      </c>
      <c r="U25">
        <f>IF(DE_respon_transv!U25=-1,-1,
DE_respon_transv!U25+IF((MATCH(INDEX(Data_metier!$C:$C,MATCH($A25,Data_metier!$B:$B,0)),{"Non Concerné";"Niveau 1";"Niveau 2";"Niveau 3";"Niveau 4"},0)-1)&gt;(MATCH(INDEX(Data_metier!$C:$C,MATCH(U$1,Data_metier!$B:$B,0)),{"Non Concerné";"Niveau 1";"Niveau 2";"Niveau 3";"Niveau 4"},0)-1),
1/6,0)+IF((MATCH(INDEX(Data_metier!$D:$D,MATCH($A25,Data_metier!$B:$B,0)),{"Non Concerné";"Niveau 1";"Niveau 2";"Niveau 3";"Niveau 4"},0)-1)&gt;(MATCH(INDEX(Data_metier!$D:$D,MATCH(U$1,Data_metier!$B:$B,0)),{"Non Concerné";"Niveau 1";"Niveau 2";"Niveau 3";"Niveau 4"},0)-1),
1/6,0)+IF((MATCH(INDEX(Data_metier!$E:$E,MATCH($A25,Data_metier!$B:$B,0)),{"Non Concerné";"Niveau 1";"Niveau 2";"Niveau 3";"Niveau 4"},0)-1)&gt;(MATCH(INDEX(Data_metier!$E:$E,MATCH(U$1,Data_metier!$B:$B,0)),{"Non Concerné";"Niveau 1";"Niveau 2";"Niveau 3";"Niveau 4"},0)-1),
1/6,0))</f>
        <v>0</v>
      </c>
      <c r="V25">
        <f>IF(DE_respon_transv!V25=-1,-1,
DE_respon_transv!V25+IF((MATCH(INDEX(Data_metier!$C:$C,MATCH($A25,Data_metier!$B:$B,0)),{"Non Concerné";"Niveau 1";"Niveau 2";"Niveau 3";"Niveau 4"},0)-1)&gt;(MATCH(INDEX(Data_metier!$C:$C,MATCH(V$1,Data_metier!$B:$B,0)),{"Non Concerné";"Niveau 1";"Niveau 2";"Niveau 3";"Niveau 4"},0)-1),
1/6,0)+IF((MATCH(INDEX(Data_metier!$D:$D,MATCH($A25,Data_metier!$B:$B,0)),{"Non Concerné";"Niveau 1";"Niveau 2";"Niveau 3";"Niveau 4"},0)-1)&gt;(MATCH(INDEX(Data_metier!$D:$D,MATCH(V$1,Data_metier!$B:$B,0)),{"Non Concerné";"Niveau 1";"Niveau 2";"Niveau 3";"Niveau 4"},0)-1),
1/6,0)+IF((MATCH(INDEX(Data_metier!$E:$E,MATCH($A25,Data_metier!$B:$B,0)),{"Non Concerné";"Niveau 1";"Niveau 2";"Niveau 3";"Niveau 4"},0)-1)&gt;(MATCH(INDEX(Data_metier!$E:$E,MATCH(V$1,Data_metier!$B:$B,0)),{"Non Concerné";"Niveau 1";"Niveau 2";"Niveau 3";"Niveau 4"},0)-1),
1/6,0))</f>
        <v>-1</v>
      </c>
      <c r="W25">
        <f>IF(DE_respon_transv!W25=-1,-1,
DE_respon_transv!W25+IF((MATCH(INDEX(Data_metier!$C:$C,MATCH($A25,Data_metier!$B:$B,0)),{"Non Concerné";"Niveau 1";"Niveau 2";"Niveau 3";"Niveau 4"},0)-1)&gt;(MATCH(INDEX(Data_metier!$C:$C,MATCH(W$1,Data_metier!$B:$B,0)),{"Non Concerné";"Niveau 1";"Niveau 2";"Niveau 3";"Niveau 4"},0)-1),
1/6,0)+IF((MATCH(INDEX(Data_metier!$D:$D,MATCH($A25,Data_metier!$B:$B,0)),{"Non Concerné";"Niveau 1";"Niveau 2";"Niveau 3";"Niveau 4"},0)-1)&gt;(MATCH(INDEX(Data_metier!$D:$D,MATCH(W$1,Data_metier!$B:$B,0)),{"Non Concerné";"Niveau 1";"Niveau 2";"Niveau 3";"Niveau 4"},0)-1),
1/6,0)+IF((MATCH(INDEX(Data_metier!$E:$E,MATCH($A25,Data_metier!$B:$B,0)),{"Non Concerné";"Niveau 1";"Niveau 2";"Niveau 3";"Niveau 4"},0)-1)&gt;(MATCH(INDEX(Data_metier!$E:$E,MATCH(W$1,Data_metier!$B:$B,0)),{"Non Concerné";"Niveau 1";"Niveau 2";"Niveau 3";"Niveau 4"},0)-1),
1/6,0))</f>
        <v>-1</v>
      </c>
      <c r="X25">
        <f>IF(DE_respon_transv!X25=-1,-1,
DE_respon_transv!X25+IF((MATCH(INDEX(Data_metier!$C:$C,MATCH($A25,Data_metier!$B:$B,0)),{"Non Concerné";"Niveau 1";"Niveau 2";"Niveau 3";"Niveau 4"},0)-1)&gt;(MATCH(INDEX(Data_metier!$C:$C,MATCH(X$1,Data_metier!$B:$B,0)),{"Non Concerné";"Niveau 1";"Niveau 2";"Niveau 3";"Niveau 4"},0)-1),
1/6,0)+IF((MATCH(INDEX(Data_metier!$D:$D,MATCH($A25,Data_metier!$B:$B,0)),{"Non Concerné";"Niveau 1";"Niveau 2";"Niveau 3";"Niveau 4"},0)-1)&gt;(MATCH(INDEX(Data_metier!$D:$D,MATCH(X$1,Data_metier!$B:$B,0)),{"Non Concerné";"Niveau 1";"Niveau 2";"Niveau 3";"Niveau 4"},0)-1),
1/6,0)+IF((MATCH(INDEX(Data_metier!$E:$E,MATCH($A25,Data_metier!$B:$B,0)),{"Non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25">
        <f>IF(DE_respon_transv!Y25=-1,-1,
DE_respon_transv!Y25+IF((MATCH(INDEX(Data_metier!$C:$C,MATCH($A25,Data_metier!$B:$B,0)),{"Non Concerné";"Niveau 1";"Niveau 2";"Niveau 3";"Niveau 4"},0)-1)&gt;(MATCH(INDEX(Data_metier!$C:$C,MATCH(Y$1,Data_metier!$B:$B,0)),{"Non Concerné";"Niveau 1";"Niveau 2";"Niveau 3";"Niveau 4"},0)-1),
1/6,0)+IF((MATCH(INDEX(Data_metier!$D:$D,MATCH($A25,Data_metier!$B:$B,0)),{"Non Concerné";"Niveau 1";"Niveau 2";"Niveau 3";"Niveau 4"},0)-1)&gt;(MATCH(INDEX(Data_metier!$D:$D,MATCH(Y$1,Data_metier!$B:$B,0)),{"Non Concerné";"Niveau 1";"Niveau 2";"Niveau 3";"Niveau 4"},0)-1),
1/6,0)+IF((MATCH(INDEX(Data_metier!$E:$E,MATCH($A25,Data_metier!$B:$B,0)),{"Non Concerné";"Niveau 1";"Niveau 2";"Niveau 3";"Niveau 4"},0)-1)&gt;(MATCH(INDEX(Data_metier!$E:$E,MATCH(Y$1,Data_metier!$B:$B,0)),{"Non Concerné";"Niveau 1";"Niveau 2";"Niveau 3";"Niveau 4"},0)-1),
1/6,0))</f>
        <v>0</v>
      </c>
      <c r="Z25">
        <f>IF(DE_respon_transv!Z25=-1,-1,
DE_respon_transv!Z25+IF((MATCH(INDEX(Data_metier!$C:$C,MATCH($A25,Data_metier!$B:$B,0)),{"Non Concerné";"Niveau 1";"Niveau 2";"Niveau 3";"Niveau 4"},0)-1)&gt;(MATCH(INDEX(Data_metier!$C:$C,MATCH(Z$1,Data_metier!$B:$B,0)),{"Non Concerné";"Niveau 1";"Niveau 2";"Niveau 3";"Niveau 4"},0)-1),
1/6,0)+IF((MATCH(INDEX(Data_metier!$D:$D,MATCH($A25,Data_metier!$B:$B,0)),{"Non Concerné";"Niveau 1";"Niveau 2";"Niveau 3";"Niveau 4"},0)-1)&gt;(MATCH(INDEX(Data_metier!$D:$D,MATCH(Z$1,Data_metier!$B:$B,0)),{"Non Concerné";"Niveau 1";"Niveau 2";"Niveau 3";"Niveau 4"},0)-1),
1/6,0)+IF((MATCH(INDEX(Data_metier!$E:$E,MATCH($A25,Data_metier!$B:$B,0)),{"Non Concerné";"Niveau 1";"Niveau 2";"Niveau 3";"Niveau 4"},0)-1)&gt;(MATCH(INDEX(Data_metier!$E:$E,MATCH(Z$1,Data_metier!$B:$B,0)),{"Non Concerné";"Niveau 1";"Niveau 2";"Niveau 3";"Niveau 4"},0)-1),
1/6,0))</f>
        <v>0</v>
      </c>
      <c r="AA25">
        <f>IF(DE_respon_transv!AA25=-1,-1,
DE_respon_transv!AA25+IF((MATCH(INDEX(Data_metier!$C:$C,MATCH($A25,Data_metier!$B:$B,0)),{"Non Concerné";"Niveau 1";"Niveau 2";"Niveau 3";"Niveau 4"},0)-1)&gt;(MATCH(INDEX(Data_metier!$C:$C,MATCH(AA$1,Data_metier!$B:$B,0)),{"Non Concerné";"Niveau 1";"Niveau 2";"Niveau 3";"Niveau 4"},0)-1),
1/6,0)+IF((MATCH(INDEX(Data_metier!$D:$D,MATCH($A25,Data_metier!$B:$B,0)),{"Non Concerné";"Niveau 1";"Niveau 2";"Niveau 3";"Niveau 4"},0)-1)&gt;(MATCH(INDEX(Data_metier!$D:$D,MATCH(AA$1,Data_metier!$B:$B,0)),{"Non Concerné";"Niveau 1";"Niveau 2";"Niveau 3";"Niveau 4"},0)-1),
1/6,0)+IF((MATCH(INDEX(Data_metier!$E:$E,MATCH($A25,Data_metier!$B:$B,0)),{"Non Concerné";"Niveau 1";"Niveau 2";"Niveau 3";"Niveau 4"},0)-1)&gt;(MATCH(INDEX(Data_metier!$E:$E,MATCH(AA$1,Data_metier!$B:$B,0)),{"Non Concerné";"Niveau 1";"Niveau 2";"Niveau 3";"Niveau 4"},0)-1),
1/6,0))</f>
        <v>0</v>
      </c>
      <c r="AB25">
        <f>IF(DE_respon_transv!AB25=-1,-1,
DE_respon_transv!AB25+IF((MATCH(INDEX(Data_metier!$C:$C,MATCH($A25,Data_metier!$B:$B,0)),{"Non Concerné";"Niveau 1";"Niveau 2";"Niveau 3";"Niveau 4"},0)-1)&gt;(MATCH(INDEX(Data_metier!$C:$C,MATCH(AB$1,Data_metier!$B:$B,0)),{"Non Concerné";"Niveau 1";"Niveau 2";"Niveau 3";"Niveau 4"},0)-1),
1/6,0)+IF((MATCH(INDEX(Data_metier!$D:$D,MATCH($A25,Data_metier!$B:$B,0)),{"Non Concerné";"Niveau 1";"Niveau 2";"Niveau 3";"Niveau 4"},0)-1)&gt;(MATCH(INDEX(Data_metier!$D:$D,MATCH(AB$1,Data_metier!$B:$B,0)),{"Non Concerné";"Niveau 1";"Niveau 2";"Niveau 3";"Niveau 4"},0)-1),
1/6,0)+IF((MATCH(INDEX(Data_metier!$E:$E,MATCH($A25,Data_metier!$B:$B,0)),{"Non Concerné";"Niveau 1";"Niveau 2";"Niveau 3";"Niveau 4"},0)-1)&gt;(MATCH(INDEX(Data_metier!$E:$E,MATCH(AB$1,Data_metier!$B:$B,0)),{"Non Concerné";"Niveau 1";"Niveau 2";"Niveau 3";"Niveau 4"},0)-1),
1/6,0))</f>
        <v>-1</v>
      </c>
      <c r="AC25">
        <f>IF(DE_respon_transv!AC25=-1,-1,
DE_respon_transv!AC25+IF((MATCH(INDEX(Data_metier!$C:$C,MATCH($A25,Data_metier!$B:$B,0)),{"Non Concerné";"Niveau 1";"Niveau 2";"Niveau 3";"Niveau 4"},0)-1)&gt;(MATCH(INDEX(Data_metier!$C:$C,MATCH(AC$1,Data_metier!$B:$B,0)),{"Non Concerné";"Niveau 1";"Niveau 2";"Niveau 3";"Niveau 4"},0)-1),
1/6,0)+IF((MATCH(INDEX(Data_metier!$D:$D,MATCH($A25,Data_metier!$B:$B,0)),{"Non Concerné";"Niveau 1";"Niveau 2";"Niveau 3";"Niveau 4"},0)-1)&gt;(MATCH(INDEX(Data_metier!$D:$D,MATCH(AC$1,Data_metier!$B:$B,0)),{"Non Concerné";"Niveau 1";"Niveau 2";"Niveau 3";"Niveau 4"},0)-1),
1/6,0)+IF((MATCH(INDEX(Data_metier!$E:$E,MATCH($A25,Data_metier!$B:$B,0)),{"Non Concerné";"Niveau 1";"Niveau 2";"Niveau 3";"Niveau 4"},0)-1)&gt;(MATCH(INDEX(Data_metier!$E:$E,MATCH(AC$1,Data_metier!$B:$B,0)),{"Non Concerné";"Niveau 1";"Niveau 2";"Niveau 3";"Niveau 4"},0)-1),
1/6,0))</f>
        <v>-1</v>
      </c>
      <c r="AD25">
        <f>IF(DE_respon_transv!AD25=-1,-1,
DE_respon_transv!AD25+IF((MATCH(INDEX(Data_metier!$C:$C,MATCH($A25,Data_metier!$B:$B,0)),{"Non Concerné";"Niveau 1";"Niveau 2";"Niveau 3";"Niveau 4"},0)-1)&gt;(MATCH(INDEX(Data_metier!$C:$C,MATCH(AD$1,Data_metier!$B:$B,0)),{"Non Concerné";"Niveau 1";"Niveau 2";"Niveau 3";"Niveau 4"},0)-1),
1/6,0)+IF((MATCH(INDEX(Data_metier!$D:$D,MATCH($A25,Data_metier!$B:$B,0)),{"Non Concerné";"Niveau 1";"Niveau 2";"Niveau 3";"Niveau 4"},0)-1)&gt;(MATCH(INDEX(Data_metier!$D:$D,MATCH(AD$1,Data_metier!$B:$B,0)),{"Non Concerné";"Niveau 1";"Niveau 2";"Niveau 3";"Niveau 4"},0)-1),
1/6,0)+IF((MATCH(INDEX(Data_metier!$E:$E,MATCH($A25,Data_metier!$B:$B,0)),{"Non Concerné";"Niveau 1";"Niveau 2";"Niveau 3";"Niveau 4"},0)-1)&gt;(MATCH(INDEX(Data_metier!$E:$E,MATCH(AD$1,Data_metier!$B:$B,0)),{"Non Concerné";"Niveau 1";"Niveau 2";"Niveau 3";"Niveau 4"},0)-1),
1/6,0))</f>
        <v>-1</v>
      </c>
    </row>
    <row r="26" spans="1:30">
      <c r="A26" t="str">
        <v>Fromager(ère) industriel(le)</v>
      </c>
      <c r="B26">
        <f>IF(DE_respon_transv!B26=-1,-1,
DE_respon_transv!B26+IF((MATCH(INDEX(Data_metier!$C:$C,MATCH($A26,Data_metier!$B:$B,0)),{"Non Concerné";"Niveau 1";"Niveau 2";"Niveau 3";"Niveau 4"},0)-1)&gt;(MATCH(INDEX(Data_metier!$C:$C,MATCH(B$1,Data_metier!$B:$B,0)),{"Non Concerné";"Niveau 1";"Niveau 2";"Niveau 3";"Niveau 4"},0)-1),
1/6,0)+IF((MATCH(INDEX(Data_metier!$D:$D,MATCH($A26,Data_metier!$B:$B,0)),{"Non Concerné";"Niveau 1";"Niveau 2";"Niveau 3";"Niveau 4"},0)-1)&gt;(MATCH(INDEX(Data_metier!$D:$D,MATCH(B$1,Data_metier!$B:$B,0)),{"Non Concerné";"Niveau 1";"Niveau 2";"Niveau 3";"Niveau 4"},0)-1),
1/6,0)+IF((MATCH(INDEX(Data_metier!$E:$E,MATCH($A26,Data_metier!$B:$B,0)),{"Non Concerné";"Niveau 1";"Niveau 2";"Niveau 3";"Niveau 4"},0)-1)&gt;(MATCH(INDEX(Data_metier!$E:$E,MATCH(B$1,Data_metier!$B:$B,0)),{"Non Concerné";"Niveau 1";"Niveau 2";"Niveau 3";"Niveau 4"},0)-1),
1/6,0))</f>
        <v>-1</v>
      </c>
      <c r="C26">
        <f>IF(DE_respon_transv!C26=-1,-1,
DE_respon_transv!C26+IF((MATCH(INDEX(Data_metier!$C:$C,MATCH($A26,Data_metier!$B:$B,0)),{"Non Concerné";"Niveau 1";"Niveau 2";"Niveau 3";"Niveau 4"},0)-1)&gt;(MATCH(INDEX(Data_metier!$C:$C,MATCH(C$1,Data_metier!$B:$B,0)),{"Non Concerné";"Niveau 1";"Niveau 2";"Niveau 3";"Niveau 4"},0)-1),
1/6,0)+IF((MATCH(INDEX(Data_metier!$D:$D,MATCH($A26,Data_metier!$B:$B,0)),{"Non Concerné";"Niveau 1";"Niveau 2";"Niveau 3";"Niveau 4"},0)-1)&gt;(MATCH(INDEX(Data_metier!$D:$D,MATCH(C$1,Data_metier!$B:$B,0)),{"Non Concerné";"Niveau 1";"Niveau 2";"Niveau 3";"Niveau 4"},0)-1),
1/6,0)+IF((MATCH(INDEX(Data_metier!$E:$E,MATCH($A26,Data_metier!$B:$B,0)),{"Non Concerné";"Niveau 1";"Niveau 2";"Niveau 3";"Niveau 4"},0)-1)&gt;(MATCH(INDEX(Data_metier!$E:$E,MATCH(C$1,Data_metier!$B:$B,0)),{"Non Concerné";"Niveau 1";"Niveau 2";"Niveau 3";"Niveau 4"},0)-1),
1/6,0))</f>
        <v>-1</v>
      </c>
      <c r="D26">
        <f>IF(DE_respon_transv!D26=-1,-1,
DE_respon_transv!D26+IF((MATCH(INDEX(Data_metier!$C:$C,MATCH($A26,Data_metier!$B:$B,0)),{"Non Concerné";"Niveau 1";"Niveau 2";"Niveau 3";"Niveau 4"},0)-1)&gt;(MATCH(INDEX(Data_metier!$C:$C,MATCH(D$1,Data_metier!$B:$B,0)),{"Non Concerné";"Niveau 1";"Niveau 2";"Niveau 3";"Niveau 4"},0)-1),
1/6,0)+IF((MATCH(INDEX(Data_metier!$D:$D,MATCH($A26,Data_metier!$B:$B,0)),{"Non Concerné";"Niveau 1";"Niveau 2";"Niveau 3";"Niveau 4"},0)-1)&gt;(MATCH(INDEX(Data_metier!$D:$D,MATCH(D$1,Data_metier!$B:$B,0)),{"Non Concerné";"Niveau 1";"Niveau 2";"Niveau 3";"Niveau 4"},0)-1),
1/6,0)+IF((MATCH(INDEX(Data_metier!$E:$E,MATCH($A26,Data_metier!$B:$B,0)),{"Non Concerné";"Niveau 1";"Niveau 2";"Niveau 3";"Niveau 4"},0)-1)&gt;(MATCH(INDEX(Data_metier!$E:$E,MATCH(D$1,Data_metier!$B:$B,0)),{"Non Concerné";"Niveau 1";"Niveau 2";"Niveau 3";"Niveau 4"},0)-1),
1/6,0))</f>
        <v>0</v>
      </c>
      <c r="E26">
        <f>IF(DE_respon_transv!E26=-1,-1,
DE_respon_transv!E26+IF((MATCH(INDEX(Data_metier!$C:$C,MATCH($A26,Data_metier!$B:$B,0)),{"Non Concerné";"Niveau 1";"Niveau 2";"Niveau 3";"Niveau 4"},0)-1)&gt;(MATCH(INDEX(Data_metier!$C:$C,MATCH(E$1,Data_metier!$B:$B,0)),{"Non Concerné";"Niveau 1";"Niveau 2";"Niveau 3";"Niveau 4"},0)-1),
1/6,0)+IF((MATCH(INDEX(Data_metier!$D:$D,MATCH($A26,Data_metier!$B:$B,0)),{"Non Concerné";"Niveau 1";"Niveau 2";"Niveau 3";"Niveau 4"},0)-1)&gt;(MATCH(INDEX(Data_metier!$D:$D,MATCH(E$1,Data_metier!$B:$B,0)),{"Non Concerné";"Niveau 1";"Niveau 2";"Niveau 3";"Niveau 4"},0)-1),
1/6,0)+IF((MATCH(INDEX(Data_metier!$E:$E,MATCH($A26,Data_metier!$B:$B,0)),{"Non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26">
        <f>IF(DE_respon_transv!F26=-1,-1,
DE_respon_transv!F26+IF((MATCH(INDEX(Data_metier!$C:$C,MATCH($A26,Data_metier!$B:$B,0)),{"Non Concerné";"Niveau 1";"Niveau 2";"Niveau 3";"Niveau 4"},0)-1)&gt;(MATCH(INDEX(Data_metier!$C:$C,MATCH(F$1,Data_metier!$B:$B,0)),{"Non Concerné";"Niveau 1";"Niveau 2";"Niveau 3";"Niveau 4"},0)-1),
1/6,0)+IF((MATCH(INDEX(Data_metier!$D:$D,MATCH($A26,Data_metier!$B:$B,0)),{"Non Concerné";"Niveau 1";"Niveau 2";"Niveau 3";"Niveau 4"},0)-1)&gt;(MATCH(INDEX(Data_metier!$D:$D,MATCH(F$1,Data_metier!$B:$B,0)),{"Non Concerné";"Niveau 1";"Niveau 2";"Niveau 3";"Niveau 4"},0)-1),
1/6,0)+IF((MATCH(INDEX(Data_metier!$E:$E,MATCH($A26,Data_metier!$B:$B,0)),{"Non Concerné";"Niveau 1";"Niveau 2";"Niveau 3";"Niveau 4"},0)-1)&gt;(MATCH(INDEX(Data_metier!$E:$E,MATCH(F$1,Data_metier!$B:$B,0)),{"Non Concerné";"Niveau 1";"Niveau 2";"Niveau 3";"Niveau 4"},0)-1),
1/6,0))</f>
        <v>-1</v>
      </c>
      <c r="G26">
        <f>IF(DE_respon_transv!G26=-1,-1,
DE_respon_transv!G26+IF((MATCH(INDEX(Data_metier!$C:$C,MATCH($A26,Data_metier!$B:$B,0)),{"Non Concerné";"Niveau 1";"Niveau 2";"Niveau 3";"Niveau 4"},0)-1)&gt;(MATCH(INDEX(Data_metier!$C:$C,MATCH(G$1,Data_metier!$B:$B,0)),{"Non Concerné";"Niveau 1";"Niveau 2";"Niveau 3";"Niveau 4"},0)-1),
1/6,0)+IF((MATCH(INDEX(Data_metier!$D:$D,MATCH($A26,Data_metier!$B:$B,0)),{"Non Concerné";"Niveau 1";"Niveau 2";"Niveau 3";"Niveau 4"},0)-1)&gt;(MATCH(INDEX(Data_metier!$D:$D,MATCH(G$1,Data_metier!$B:$B,0)),{"Non Concerné";"Niveau 1";"Niveau 2";"Niveau 3";"Niveau 4"},0)-1),
1/6,0)+IF((MATCH(INDEX(Data_metier!$E:$E,MATCH($A26,Data_metier!$B:$B,0)),{"Non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26">
        <f>IF(DE_respon_transv!H26=-1,-1,
DE_respon_transv!H26+IF((MATCH(INDEX(Data_metier!$C:$C,MATCH($A26,Data_metier!$B:$B,0)),{"Non Concerné";"Niveau 1";"Niveau 2";"Niveau 3";"Niveau 4"},0)-1)&gt;(MATCH(INDEX(Data_metier!$C:$C,MATCH(H$1,Data_metier!$B:$B,0)),{"Non Concerné";"Niveau 1";"Niveau 2";"Niveau 3";"Niveau 4"},0)-1),
1/6,0)+IF((MATCH(INDEX(Data_metier!$D:$D,MATCH($A26,Data_metier!$B:$B,0)),{"Non Concerné";"Niveau 1";"Niveau 2";"Niveau 3";"Niveau 4"},0)-1)&gt;(MATCH(INDEX(Data_metier!$D:$D,MATCH(H$1,Data_metier!$B:$B,0)),{"Non Concerné";"Niveau 1";"Niveau 2";"Niveau 3";"Niveau 4"},0)-1),
1/6,0)+IF((MATCH(INDEX(Data_metier!$E:$E,MATCH($A26,Data_metier!$B:$B,0)),{"Non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26">
        <f>IF(DE_respon_transv!I26=-1,-1,
DE_respon_transv!I26+IF((MATCH(INDEX(Data_metier!$C:$C,MATCH($A26,Data_metier!$B:$B,0)),{"Non Concerné";"Niveau 1";"Niveau 2";"Niveau 3";"Niveau 4"},0)-1)&gt;(MATCH(INDEX(Data_metier!$C:$C,MATCH(I$1,Data_metier!$B:$B,0)),{"Non Concerné";"Niveau 1";"Niveau 2";"Niveau 3";"Niveau 4"},0)-1),
1/6,0)+IF((MATCH(INDEX(Data_metier!$D:$D,MATCH($A26,Data_metier!$B:$B,0)),{"Non Concerné";"Niveau 1";"Niveau 2";"Niveau 3";"Niveau 4"},0)-1)&gt;(MATCH(INDEX(Data_metier!$D:$D,MATCH(I$1,Data_metier!$B:$B,0)),{"Non Concerné";"Niveau 1";"Niveau 2";"Niveau 3";"Niveau 4"},0)-1),
1/6,0)+IF((MATCH(INDEX(Data_metier!$E:$E,MATCH($A26,Data_metier!$B:$B,0)),{"Non Concerné";"Niveau 1";"Niveau 2";"Niveau 3";"Niveau 4"},0)-1)&gt;(MATCH(INDEX(Data_metier!$E:$E,MATCH(I$1,Data_metier!$B:$B,0)),{"Non Concerné";"Niveau 1";"Niveau 2";"Niveau 3";"Niveau 4"},0)-1),
1/6,0))</f>
        <v>0</v>
      </c>
      <c r="J26">
        <f>IF(DE_respon_transv!J26=-1,-1,
DE_respon_transv!J26+IF((MATCH(INDEX(Data_metier!$C:$C,MATCH($A26,Data_metier!$B:$B,0)),{"Non Concerné";"Niveau 1";"Niveau 2";"Niveau 3";"Niveau 4"},0)-1)&gt;(MATCH(INDEX(Data_metier!$C:$C,MATCH(J$1,Data_metier!$B:$B,0)),{"Non Concerné";"Niveau 1";"Niveau 2";"Niveau 3";"Niveau 4"},0)-1),
1/6,0)+IF((MATCH(INDEX(Data_metier!$D:$D,MATCH($A26,Data_metier!$B:$B,0)),{"Non Concerné";"Niveau 1";"Niveau 2";"Niveau 3";"Niveau 4"},0)-1)&gt;(MATCH(INDEX(Data_metier!$D:$D,MATCH(J$1,Data_metier!$B:$B,0)),{"Non Concerné";"Niveau 1";"Niveau 2";"Niveau 3";"Niveau 4"},0)-1),
1/6,0)+IF((MATCH(INDEX(Data_metier!$E:$E,MATCH($A26,Data_metier!$B:$B,0)),{"Non Concerné";"Niveau 1";"Niveau 2";"Niveau 3";"Niveau 4"},0)-1)&gt;(MATCH(INDEX(Data_metier!$E:$E,MATCH(J$1,Data_metier!$B:$B,0)),{"Non Concerné";"Niveau 1";"Niveau 2";"Niveau 3";"Niveau 4"},0)-1),
1/6,0))</f>
        <v>-1</v>
      </c>
      <c r="K26">
        <f>IF(DE_respon_transv!K26=-1,-1,
DE_respon_transv!K26+IF((MATCH(INDEX(Data_metier!$C:$C,MATCH($A26,Data_metier!$B:$B,0)),{"Non Concerné";"Niveau 1";"Niveau 2";"Niveau 3";"Niveau 4"},0)-1)&gt;(MATCH(INDEX(Data_metier!$C:$C,MATCH(K$1,Data_metier!$B:$B,0)),{"Non Concerné";"Niveau 1";"Niveau 2";"Niveau 3";"Niveau 4"},0)-1),
1/6,0)+IF((MATCH(INDEX(Data_metier!$D:$D,MATCH($A26,Data_metier!$B:$B,0)),{"Non Concerné";"Niveau 1";"Niveau 2";"Niveau 3";"Niveau 4"},0)-1)&gt;(MATCH(INDEX(Data_metier!$D:$D,MATCH(K$1,Data_metier!$B:$B,0)),{"Non Concerné";"Niveau 1";"Niveau 2";"Niveau 3";"Niveau 4"},0)-1),
1/6,0)+IF((MATCH(INDEX(Data_metier!$E:$E,MATCH($A26,Data_metier!$B:$B,0)),{"Non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26">
        <f>IF(DE_respon_transv!L26=-1,-1,
DE_respon_transv!L26+IF((MATCH(INDEX(Data_metier!$C:$C,MATCH($A26,Data_metier!$B:$B,0)),{"Non Concerné";"Niveau 1";"Niveau 2";"Niveau 3";"Niveau 4"},0)-1)&gt;(MATCH(INDEX(Data_metier!$C:$C,MATCH(L$1,Data_metier!$B:$B,0)),{"Non Concerné";"Niveau 1";"Niveau 2";"Niveau 3";"Niveau 4"},0)-1),
1/6,0)+IF((MATCH(INDEX(Data_metier!$D:$D,MATCH($A26,Data_metier!$B:$B,0)),{"Non Concerné";"Niveau 1";"Niveau 2";"Niveau 3";"Niveau 4"},0)-1)&gt;(MATCH(INDEX(Data_metier!$D:$D,MATCH(L$1,Data_metier!$B:$B,0)),{"Non Concerné";"Niveau 1";"Niveau 2";"Niveau 3";"Niveau 4"},0)-1),
1/6,0)+IF((MATCH(INDEX(Data_metier!$E:$E,MATCH($A26,Data_metier!$B:$B,0)),{"Non Concerné";"Niveau 1";"Niveau 2";"Niveau 3";"Niveau 4"},0)-1)&gt;(MATCH(INDEX(Data_metier!$E:$E,MATCH(L$1,Data_metier!$B:$B,0)),{"Non Concerné";"Niveau 1";"Niveau 2";"Niveau 3";"Niveau 4"},0)-1),
1/6,0))</f>
        <v>0</v>
      </c>
      <c r="M26">
        <f>IF(DE_respon_transv!M26=-1,-1,
DE_respon_transv!M26+IF((MATCH(INDEX(Data_metier!$C:$C,MATCH($A26,Data_metier!$B:$B,0)),{"Non Concerné";"Niveau 1";"Niveau 2";"Niveau 3";"Niveau 4"},0)-1)&gt;(MATCH(INDEX(Data_metier!$C:$C,MATCH(M$1,Data_metier!$B:$B,0)),{"Non Concerné";"Niveau 1";"Niveau 2";"Niveau 3";"Niveau 4"},0)-1),
1/6,0)+IF((MATCH(INDEX(Data_metier!$D:$D,MATCH($A26,Data_metier!$B:$B,0)),{"Non Concerné";"Niveau 1";"Niveau 2";"Niveau 3";"Niveau 4"},0)-1)&gt;(MATCH(INDEX(Data_metier!$D:$D,MATCH(M$1,Data_metier!$B:$B,0)),{"Non Concerné";"Niveau 1";"Niveau 2";"Niveau 3";"Niveau 4"},0)-1),
1/6,0)+IF((MATCH(INDEX(Data_metier!$E:$E,MATCH($A26,Data_metier!$B:$B,0)),{"Non Concerné";"Niveau 1";"Niveau 2";"Niveau 3";"Niveau 4"},0)-1)&gt;(MATCH(INDEX(Data_metier!$E:$E,MATCH(M$1,Data_metier!$B:$B,0)),{"Non Concerné";"Niveau 1";"Niveau 2";"Niveau 3";"Niveau 4"},0)-1),
1/6,0))</f>
        <v>-1</v>
      </c>
      <c r="N26">
        <f>IF(DE_respon_transv!N26=-1,-1,
DE_respon_transv!N26+IF((MATCH(INDEX(Data_metier!$C:$C,MATCH($A26,Data_metier!$B:$B,0)),{"Non Concerné";"Niveau 1";"Niveau 2";"Niveau 3";"Niveau 4"},0)-1)&gt;(MATCH(INDEX(Data_metier!$C:$C,MATCH(N$1,Data_metier!$B:$B,0)),{"Non Concerné";"Niveau 1";"Niveau 2";"Niveau 3";"Niveau 4"},0)-1),
1/6,0)+IF((MATCH(INDEX(Data_metier!$D:$D,MATCH($A26,Data_metier!$B:$B,0)),{"Non Concerné";"Niveau 1";"Niveau 2";"Niveau 3";"Niveau 4"},0)-1)&gt;(MATCH(INDEX(Data_metier!$D:$D,MATCH(N$1,Data_metier!$B:$B,0)),{"Non Concerné";"Niveau 1";"Niveau 2";"Niveau 3";"Niveau 4"},0)-1),
1/6,0)+IF((MATCH(INDEX(Data_metier!$E:$E,MATCH($A26,Data_metier!$B:$B,0)),{"Non Concerné";"Niveau 1";"Niveau 2";"Niveau 3";"Niveau 4"},0)-1)&gt;(MATCH(INDEX(Data_metier!$E:$E,MATCH(N$1,Data_metier!$B:$B,0)),{"Non Concerné";"Niveau 1";"Niveau 2";"Niveau 3";"Niveau 4"},0)-1),
1/6,0))</f>
        <v>-1</v>
      </c>
      <c r="O26">
        <f>IF(DE_respon_transv!O26=-1,-1,
DE_respon_transv!O26+IF((MATCH(INDEX(Data_metier!$C:$C,MATCH($A26,Data_metier!$B:$B,0)),{"Non Concerné";"Niveau 1";"Niveau 2";"Niveau 3";"Niveau 4"},0)-1)&gt;(MATCH(INDEX(Data_metier!$C:$C,MATCH(O$1,Data_metier!$B:$B,0)),{"Non Concerné";"Niveau 1";"Niveau 2";"Niveau 3";"Niveau 4"},0)-1),
1/6,0)+IF((MATCH(INDEX(Data_metier!$D:$D,MATCH($A26,Data_metier!$B:$B,0)),{"Non Concerné";"Niveau 1";"Niveau 2";"Niveau 3";"Niveau 4"},0)-1)&gt;(MATCH(INDEX(Data_metier!$D:$D,MATCH(O$1,Data_metier!$B:$B,0)),{"Non Concerné";"Niveau 1";"Niveau 2";"Niveau 3";"Niveau 4"},0)-1),
1/6,0)+IF((MATCH(INDEX(Data_metier!$E:$E,MATCH($A26,Data_metier!$B:$B,0)),{"Non Concerné";"Niveau 1";"Niveau 2";"Niveau 3";"Niveau 4"},0)-1)&gt;(MATCH(INDEX(Data_metier!$E:$E,MATCH(O$1,Data_metier!$B:$B,0)),{"Non Concerné";"Niveau 1";"Niveau 2";"Niveau 3";"Niveau 4"},0)-1),
1/6,0))</f>
        <v>0</v>
      </c>
      <c r="P26">
        <f>IF(DE_respon_transv!P26=-1,-1,
DE_respon_transv!P26+IF((MATCH(INDEX(Data_metier!$C:$C,MATCH($A26,Data_metier!$B:$B,0)),{"Non Concerné";"Niveau 1";"Niveau 2";"Niveau 3";"Niveau 4"},0)-1)&gt;(MATCH(INDEX(Data_metier!$C:$C,MATCH(P$1,Data_metier!$B:$B,0)),{"Non Concerné";"Niveau 1";"Niveau 2";"Niveau 3";"Niveau 4"},0)-1),
1/6,0)+IF((MATCH(INDEX(Data_metier!$D:$D,MATCH($A26,Data_metier!$B:$B,0)),{"Non Concerné";"Niveau 1";"Niveau 2";"Niveau 3";"Niveau 4"},0)-1)&gt;(MATCH(INDEX(Data_metier!$D:$D,MATCH(P$1,Data_metier!$B:$B,0)),{"Non Concerné";"Niveau 1";"Niveau 2";"Niveau 3";"Niveau 4"},0)-1),
1/6,0)+IF((MATCH(INDEX(Data_metier!$E:$E,MATCH($A26,Data_metier!$B:$B,0)),{"Non Concerné";"Niveau 1";"Niveau 2";"Niveau 3";"Niveau 4"},0)-1)&gt;(MATCH(INDEX(Data_metier!$E:$E,MATCH(P$1,Data_metier!$B:$B,0)),{"Non Concerné";"Niveau 1";"Niveau 2";"Niveau 3";"Niveau 4"},0)-1),
1/6,0))</f>
        <v>0</v>
      </c>
      <c r="Q26">
        <f>IF(DE_respon_transv!Q26=-1,-1,
DE_respon_transv!Q26+IF((MATCH(INDEX(Data_metier!$C:$C,MATCH($A26,Data_metier!$B:$B,0)),{"Non Concerné";"Niveau 1";"Niveau 2";"Niveau 3";"Niveau 4"},0)-1)&gt;(MATCH(INDEX(Data_metier!$C:$C,MATCH(Q$1,Data_metier!$B:$B,0)),{"Non Concerné";"Niveau 1";"Niveau 2";"Niveau 3";"Niveau 4"},0)-1),
1/6,0)+IF((MATCH(INDEX(Data_metier!$D:$D,MATCH($A26,Data_metier!$B:$B,0)),{"Non Concerné";"Niveau 1";"Niveau 2";"Niveau 3";"Niveau 4"},0)-1)&gt;(MATCH(INDEX(Data_metier!$D:$D,MATCH(Q$1,Data_metier!$B:$B,0)),{"Non Concerné";"Niveau 1";"Niveau 2";"Niveau 3";"Niveau 4"},0)-1),
1/6,0)+IF((MATCH(INDEX(Data_metier!$E:$E,MATCH($A26,Data_metier!$B:$B,0)),{"Non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26">
        <f>IF(DE_respon_transv!R26=-1,-1,
DE_respon_transv!R26+IF((MATCH(INDEX(Data_metier!$C:$C,MATCH($A26,Data_metier!$B:$B,0)),{"Non Concerné";"Niveau 1";"Niveau 2";"Niveau 3";"Niveau 4"},0)-1)&gt;(MATCH(INDEX(Data_metier!$C:$C,MATCH(R$1,Data_metier!$B:$B,0)),{"Non Concerné";"Niveau 1";"Niveau 2";"Niveau 3";"Niveau 4"},0)-1),
1/6,0)+IF((MATCH(INDEX(Data_metier!$D:$D,MATCH($A26,Data_metier!$B:$B,0)),{"Non Concerné";"Niveau 1";"Niveau 2";"Niveau 3";"Niveau 4"},0)-1)&gt;(MATCH(INDEX(Data_metier!$D:$D,MATCH(R$1,Data_metier!$B:$B,0)),{"Non Concerné";"Niveau 1";"Niveau 2";"Niveau 3";"Niveau 4"},0)-1),
1/6,0)+IF((MATCH(INDEX(Data_metier!$E:$E,MATCH($A26,Data_metier!$B:$B,0)),{"Non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26">
        <f>IF(DE_respon_transv!S26=-1,-1,
DE_respon_transv!S26+IF((MATCH(INDEX(Data_metier!$C:$C,MATCH($A26,Data_metier!$B:$B,0)),{"Non Concerné";"Niveau 1";"Niveau 2";"Niveau 3";"Niveau 4"},0)-1)&gt;(MATCH(INDEX(Data_metier!$C:$C,MATCH(S$1,Data_metier!$B:$B,0)),{"Non Concerné";"Niveau 1";"Niveau 2";"Niveau 3";"Niveau 4"},0)-1),
1/6,0)+IF((MATCH(INDEX(Data_metier!$D:$D,MATCH($A26,Data_metier!$B:$B,0)),{"Non Concerné";"Niveau 1";"Niveau 2";"Niveau 3";"Niveau 4"},0)-1)&gt;(MATCH(INDEX(Data_metier!$D:$D,MATCH(S$1,Data_metier!$B:$B,0)),{"Non Concerné";"Niveau 1";"Niveau 2";"Niveau 3";"Niveau 4"},0)-1),
1/6,0)+IF((MATCH(INDEX(Data_metier!$E:$E,MATCH($A26,Data_metier!$B:$B,0)),{"Non Concerné";"Niveau 1";"Niveau 2";"Niveau 3";"Niveau 4"},0)-1)&gt;(MATCH(INDEX(Data_metier!$E:$E,MATCH(S$1,Data_metier!$B:$B,0)),{"Non Concerné";"Niveau 1";"Niveau 2";"Niveau 3";"Niveau 4"},0)-1),
1/6,0))</f>
        <v>0</v>
      </c>
      <c r="T26">
        <f>IF(DE_respon_transv!T26=-1,-1,
DE_respon_transv!T26+IF((MATCH(INDEX(Data_metier!$C:$C,MATCH($A26,Data_metier!$B:$B,0)),{"Non Concerné";"Niveau 1";"Niveau 2";"Niveau 3";"Niveau 4"},0)-1)&gt;(MATCH(INDEX(Data_metier!$C:$C,MATCH(T$1,Data_metier!$B:$B,0)),{"Non Concerné";"Niveau 1";"Niveau 2";"Niveau 3";"Niveau 4"},0)-1),
1/6,0)+IF((MATCH(INDEX(Data_metier!$D:$D,MATCH($A26,Data_metier!$B:$B,0)),{"Non Concerné";"Niveau 1";"Niveau 2";"Niveau 3";"Niveau 4"},0)-1)&gt;(MATCH(INDEX(Data_metier!$D:$D,MATCH(T$1,Data_metier!$B:$B,0)),{"Non Concerné";"Niveau 1";"Niveau 2";"Niveau 3";"Niveau 4"},0)-1),
1/6,0)+IF((MATCH(INDEX(Data_metier!$E:$E,MATCH($A26,Data_metier!$B:$B,0)),{"Non Concerné";"Niveau 1";"Niveau 2";"Niveau 3";"Niveau 4"},0)-1)&gt;(MATCH(INDEX(Data_metier!$E:$E,MATCH(T$1,Data_metier!$B:$B,0)),{"Non Concerné";"Niveau 1";"Niveau 2";"Niveau 3";"Niveau 4"},0)-1),
1/6,0))</f>
        <v>0</v>
      </c>
      <c r="U26">
        <f>IF(DE_respon_transv!U26=-1,-1,
DE_respon_transv!U26+IF((MATCH(INDEX(Data_metier!$C:$C,MATCH($A26,Data_metier!$B:$B,0)),{"Non Concerné";"Niveau 1";"Niveau 2";"Niveau 3";"Niveau 4"},0)-1)&gt;(MATCH(INDEX(Data_metier!$C:$C,MATCH(U$1,Data_metier!$B:$B,0)),{"Non Concerné";"Niveau 1";"Niveau 2";"Niveau 3";"Niveau 4"},0)-1),
1/6,0)+IF((MATCH(INDEX(Data_metier!$D:$D,MATCH($A26,Data_metier!$B:$B,0)),{"Non Concerné";"Niveau 1";"Niveau 2";"Niveau 3";"Niveau 4"},0)-1)&gt;(MATCH(INDEX(Data_metier!$D:$D,MATCH(U$1,Data_metier!$B:$B,0)),{"Non Concerné";"Niveau 1";"Niveau 2";"Niveau 3";"Niveau 4"},0)-1),
1/6,0)+IF((MATCH(INDEX(Data_metier!$E:$E,MATCH($A26,Data_metier!$B:$B,0)),{"Non Concerné";"Niveau 1";"Niveau 2";"Niveau 3";"Niveau 4"},0)-1)&gt;(MATCH(INDEX(Data_metier!$E:$E,MATCH(U$1,Data_metier!$B:$B,0)),{"Non Concerné";"Niveau 1";"Niveau 2";"Niveau 3";"Niveau 4"},0)-1),
1/6,0))</f>
        <v>0</v>
      </c>
      <c r="V26">
        <f>IF(DE_respon_transv!V26=-1,-1,
DE_respon_transv!V26+IF((MATCH(INDEX(Data_metier!$C:$C,MATCH($A26,Data_metier!$B:$B,0)),{"Non Concerné";"Niveau 1";"Niveau 2";"Niveau 3";"Niveau 4"},0)-1)&gt;(MATCH(INDEX(Data_metier!$C:$C,MATCH(V$1,Data_metier!$B:$B,0)),{"Non Concerné";"Niveau 1";"Niveau 2";"Niveau 3";"Niveau 4"},0)-1),
1/6,0)+IF((MATCH(INDEX(Data_metier!$D:$D,MATCH($A26,Data_metier!$B:$B,0)),{"Non Concerné";"Niveau 1";"Niveau 2";"Niveau 3";"Niveau 4"},0)-1)&gt;(MATCH(INDEX(Data_metier!$D:$D,MATCH(V$1,Data_metier!$B:$B,0)),{"Non Concerné";"Niveau 1";"Niveau 2";"Niveau 3";"Niveau 4"},0)-1),
1/6,0)+IF((MATCH(INDEX(Data_metier!$E:$E,MATCH($A26,Data_metier!$B:$B,0)),{"Non Concerné";"Niveau 1";"Niveau 2";"Niveau 3";"Niveau 4"},0)-1)&gt;(MATCH(INDEX(Data_metier!$E:$E,MATCH(V$1,Data_metier!$B:$B,0)),{"Non Concerné";"Niveau 1";"Niveau 2";"Niveau 3";"Niveau 4"},0)-1),
1/6,0))</f>
        <v>-1</v>
      </c>
      <c r="W26">
        <f>IF(DE_respon_transv!W26=-1,-1,
DE_respon_transv!W26+IF((MATCH(INDEX(Data_metier!$C:$C,MATCH($A26,Data_metier!$B:$B,0)),{"Non Concerné";"Niveau 1";"Niveau 2";"Niveau 3";"Niveau 4"},0)-1)&gt;(MATCH(INDEX(Data_metier!$C:$C,MATCH(W$1,Data_metier!$B:$B,0)),{"Non Concerné";"Niveau 1";"Niveau 2";"Niveau 3";"Niveau 4"},0)-1),
1/6,0)+IF((MATCH(INDEX(Data_metier!$D:$D,MATCH($A26,Data_metier!$B:$B,0)),{"Non Concerné";"Niveau 1";"Niveau 2";"Niveau 3";"Niveau 4"},0)-1)&gt;(MATCH(INDEX(Data_metier!$D:$D,MATCH(W$1,Data_metier!$B:$B,0)),{"Non Concerné";"Niveau 1";"Niveau 2";"Niveau 3";"Niveau 4"},0)-1),
1/6,0)+IF((MATCH(INDEX(Data_metier!$E:$E,MATCH($A26,Data_metier!$B:$B,0)),{"Non Concerné";"Niveau 1";"Niveau 2";"Niveau 3";"Niveau 4"},0)-1)&gt;(MATCH(INDEX(Data_metier!$E:$E,MATCH(W$1,Data_metier!$B:$B,0)),{"Non Concerné";"Niveau 1";"Niveau 2";"Niveau 3";"Niveau 4"},0)-1),
1/6,0))</f>
        <v>-1</v>
      </c>
      <c r="X26">
        <f>IF(DE_respon_transv!X26=-1,-1,
DE_respon_transv!X26+IF((MATCH(INDEX(Data_metier!$C:$C,MATCH($A26,Data_metier!$B:$B,0)),{"Non Concerné";"Niveau 1";"Niveau 2";"Niveau 3";"Niveau 4"},0)-1)&gt;(MATCH(INDEX(Data_metier!$C:$C,MATCH(X$1,Data_metier!$B:$B,0)),{"Non Concerné";"Niveau 1";"Niveau 2";"Niveau 3";"Niveau 4"},0)-1),
1/6,0)+IF((MATCH(INDEX(Data_metier!$D:$D,MATCH($A26,Data_metier!$B:$B,0)),{"Non Concerné";"Niveau 1";"Niveau 2";"Niveau 3";"Niveau 4"},0)-1)&gt;(MATCH(INDEX(Data_metier!$D:$D,MATCH(X$1,Data_metier!$B:$B,0)),{"Non Concerné";"Niveau 1";"Niveau 2";"Niveau 3";"Niveau 4"},0)-1),
1/6,0)+IF((MATCH(INDEX(Data_metier!$E:$E,MATCH($A26,Data_metier!$B:$B,0)),{"Non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26">
        <f>IF(DE_respon_transv!Y26=-1,-1,
DE_respon_transv!Y26+IF((MATCH(INDEX(Data_metier!$C:$C,MATCH($A26,Data_metier!$B:$B,0)),{"Non Concerné";"Niveau 1";"Niveau 2";"Niveau 3";"Niveau 4"},0)-1)&gt;(MATCH(INDEX(Data_metier!$C:$C,MATCH(Y$1,Data_metier!$B:$B,0)),{"Non Concerné";"Niveau 1";"Niveau 2";"Niveau 3";"Niveau 4"},0)-1),
1/6,0)+IF((MATCH(INDEX(Data_metier!$D:$D,MATCH($A26,Data_metier!$B:$B,0)),{"Non Concerné";"Niveau 1";"Niveau 2";"Niveau 3";"Niveau 4"},0)-1)&gt;(MATCH(INDEX(Data_metier!$D:$D,MATCH(Y$1,Data_metier!$B:$B,0)),{"Non Concerné";"Niveau 1";"Niveau 2";"Niveau 3";"Niveau 4"},0)-1),
1/6,0)+IF((MATCH(INDEX(Data_metier!$E:$E,MATCH($A26,Data_metier!$B:$B,0)),{"Non Concerné";"Niveau 1";"Niveau 2";"Niveau 3";"Niveau 4"},0)-1)&gt;(MATCH(INDEX(Data_metier!$E:$E,MATCH(Y$1,Data_metier!$B:$B,0)),{"Non Concerné";"Niveau 1";"Niveau 2";"Niveau 3";"Niveau 4"},0)-1),
1/6,0))</f>
        <v>0</v>
      </c>
      <c r="Z26">
        <f>IF(DE_respon_transv!Z26=-1,-1,
DE_respon_transv!Z26+IF((MATCH(INDEX(Data_metier!$C:$C,MATCH($A26,Data_metier!$B:$B,0)),{"Non Concerné";"Niveau 1";"Niveau 2";"Niveau 3";"Niveau 4"},0)-1)&gt;(MATCH(INDEX(Data_metier!$C:$C,MATCH(Z$1,Data_metier!$B:$B,0)),{"Non Concerné";"Niveau 1";"Niveau 2";"Niveau 3";"Niveau 4"},0)-1),
1/6,0)+IF((MATCH(INDEX(Data_metier!$D:$D,MATCH($A26,Data_metier!$B:$B,0)),{"Non Concerné";"Niveau 1";"Niveau 2";"Niveau 3";"Niveau 4"},0)-1)&gt;(MATCH(INDEX(Data_metier!$D:$D,MATCH(Z$1,Data_metier!$B:$B,0)),{"Non Concerné";"Niveau 1";"Niveau 2";"Niveau 3";"Niveau 4"},0)-1),
1/6,0)+IF((MATCH(INDEX(Data_metier!$E:$E,MATCH($A26,Data_metier!$B:$B,0)),{"Non Concerné";"Niveau 1";"Niveau 2";"Niveau 3";"Niveau 4"},0)-1)&gt;(MATCH(INDEX(Data_metier!$E:$E,MATCH(Z$1,Data_metier!$B:$B,0)),{"Non Concerné";"Niveau 1";"Niveau 2";"Niveau 3";"Niveau 4"},0)-1),
1/6,0))</f>
        <v>0</v>
      </c>
      <c r="AA26">
        <f>IF(DE_respon_transv!AA26=-1,-1,
DE_respon_transv!AA26+IF((MATCH(INDEX(Data_metier!$C:$C,MATCH($A26,Data_metier!$B:$B,0)),{"Non Concerné";"Niveau 1";"Niveau 2";"Niveau 3";"Niveau 4"},0)-1)&gt;(MATCH(INDEX(Data_metier!$C:$C,MATCH(AA$1,Data_metier!$B:$B,0)),{"Non Concerné";"Niveau 1";"Niveau 2";"Niveau 3";"Niveau 4"},0)-1),
1/6,0)+IF((MATCH(INDEX(Data_metier!$D:$D,MATCH($A26,Data_metier!$B:$B,0)),{"Non Concerné";"Niveau 1";"Niveau 2";"Niveau 3";"Niveau 4"},0)-1)&gt;(MATCH(INDEX(Data_metier!$D:$D,MATCH(AA$1,Data_metier!$B:$B,0)),{"Non Concerné";"Niveau 1";"Niveau 2";"Niveau 3";"Niveau 4"},0)-1),
1/6,0)+IF((MATCH(INDEX(Data_metier!$E:$E,MATCH($A26,Data_metier!$B:$B,0)),{"Non Concerné";"Niveau 1";"Niveau 2";"Niveau 3";"Niveau 4"},0)-1)&gt;(MATCH(INDEX(Data_metier!$E:$E,MATCH(AA$1,Data_metier!$B:$B,0)),{"Non Concerné";"Niveau 1";"Niveau 2";"Niveau 3";"Niveau 4"},0)-1),
1/6,0))</f>
        <v>0</v>
      </c>
      <c r="AB26">
        <f>IF(DE_respon_transv!AB26=-1,-1,
DE_respon_transv!AB26+IF((MATCH(INDEX(Data_metier!$C:$C,MATCH($A26,Data_metier!$B:$B,0)),{"Non Concerné";"Niveau 1";"Niveau 2";"Niveau 3";"Niveau 4"},0)-1)&gt;(MATCH(INDEX(Data_metier!$C:$C,MATCH(AB$1,Data_metier!$B:$B,0)),{"Non Concerné";"Niveau 1";"Niveau 2";"Niveau 3";"Niveau 4"},0)-1),
1/6,0)+IF((MATCH(INDEX(Data_metier!$D:$D,MATCH($A26,Data_metier!$B:$B,0)),{"Non Concerné";"Niveau 1";"Niveau 2";"Niveau 3";"Niveau 4"},0)-1)&gt;(MATCH(INDEX(Data_metier!$D:$D,MATCH(AB$1,Data_metier!$B:$B,0)),{"Non Concerné";"Niveau 1";"Niveau 2";"Niveau 3";"Niveau 4"},0)-1),
1/6,0)+IF((MATCH(INDEX(Data_metier!$E:$E,MATCH($A26,Data_metier!$B:$B,0)),{"Non Concerné";"Niveau 1";"Niveau 2";"Niveau 3";"Niveau 4"},0)-1)&gt;(MATCH(INDEX(Data_metier!$E:$E,MATCH(AB$1,Data_metier!$B:$B,0)),{"Non Concerné";"Niveau 1";"Niveau 2";"Niveau 3";"Niveau 4"},0)-1),
1/6,0))</f>
        <v>-1</v>
      </c>
      <c r="AC26">
        <f>IF(DE_respon_transv!AC26=-1,-1,
DE_respon_transv!AC26+IF((MATCH(INDEX(Data_metier!$C:$C,MATCH($A26,Data_metier!$B:$B,0)),{"Non Concerné";"Niveau 1";"Niveau 2";"Niveau 3";"Niveau 4"},0)-1)&gt;(MATCH(INDEX(Data_metier!$C:$C,MATCH(AC$1,Data_metier!$B:$B,0)),{"Non Concerné";"Niveau 1";"Niveau 2";"Niveau 3";"Niveau 4"},0)-1),
1/6,0)+IF((MATCH(INDEX(Data_metier!$D:$D,MATCH($A26,Data_metier!$B:$B,0)),{"Non Concerné";"Niveau 1";"Niveau 2";"Niveau 3";"Niveau 4"},0)-1)&gt;(MATCH(INDEX(Data_metier!$D:$D,MATCH(AC$1,Data_metier!$B:$B,0)),{"Non Concerné";"Niveau 1";"Niveau 2";"Niveau 3";"Niveau 4"},0)-1),
1/6,0)+IF((MATCH(INDEX(Data_metier!$E:$E,MATCH($A26,Data_metier!$B:$B,0)),{"Non Concerné";"Niveau 1";"Niveau 2";"Niveau 3";"Niveau 4"},0)-1)&gt;(MATCH(INDEX(Data_metier!$E:$E,MATCH(AC$1,Data_metier!$B:$B,0)),{"Non Concerné";"Niveau 1";"Niveau 2";"Niveau 3";"Niveau 4"},0)-1),
1/6,0))</f>
        <v>-1</v>
      </c>
      <c r="AD26">
        <f>IF(DE_respon_transv!AD26=-1,-1,
DE_respon_transv!AD26+IF((MATCH(INDEX(Data_metier!$C:$C,MATCH($A26,Data_metier!$B:$B,0)),{"Non Concerné";"Niveau 1";"Niveau 2";"Niveau 3";"Niveau 4"},0)-1)&gt;(MATCH(INDEX(Data_metier!$C:$C,MATCH(AD$1,Data_metier!$B:$B,0)),{"Non Concerné";"Niveau 1";"Niveau 2";"Niveau 3";"Niveau 4"},0)-1),
1/6,0)+IF((MATCH(INDEX(Data_metier!$D:$D,MATCH($A26,Data_metier!$B:$B,0)),{"Non Concerné";"Niveau 1";"Niveau 2";"Niveau 3";"Niveau 4"},0)-1)&gt;(MATCH(INDEX(Data_metier!$D:$D,MATCH(AD$1,Data_metier!$B:$B,0)),{"Non Concerné";"Niveau 1";"Niveau 2";"Niveau 3";"Niveau 4"},0)-1),
1/6,0)+IF((MATCH(INDEX(Data_metier!$E:$E,MATCH($A26,Data_metier!$B:$B,0)),{"Non Concerné";"Niveau 1";"Niveau 2";"Niveau 3";"Niveau 4"},0)-1)&gt;(MATCH(INDEX(Data_metier!$E:$E,MATCH(AD$1,Data_metier!$B:$B,0)),{"Non Concerné";"Niveau 1";"Niveau 2";"Niveau 3";"Niveau 4"},0)-1),
1/6,0))</f>
        <v>-1</v>
      </c>
    </row>
    <row r="27" spans="1:30">
      <c r="A27" t="str">
        <v>Opérateur(trice) de préparation de poissons et de produits de la mer</v>
      </c>
      <c r="B27">
        <f>IF(DE_respon_transv!B27=-1,-1,
DE_respon_transv!B27+IF((MATCH(INDEX(Data_metier!$C:$C,MATCH($A27,Data_metier!$B:$B,0)),{"Non Concerné";"Niveau 1";"Niveau 2";"Niveau 3";"Niveau 4"},0)-1)&gt;(MATCH(INDEX(Data_metier!$C:$C,MATCH(B$1,Data_metier!$B:$B,0)),{"Non Concerné";"Niveau 1";"Niveau 2";"Niveau 3";"Niveau 4"},0)-1),
1/6,0)+IF((MATCH(INDEX(Data_metier!$D:$D,MATCH($A27,Data_metier!$B:$B,0)),{"Non Concerné";"Niveau 1";"Niveau 2";"Niveau 3";"Niveau 4"},0)-1)&gt;(MATCH(INDEX(Data_metier!$D:$D,MATCH(B$1,Data_metier!$B:$B,0)),{"Non Concerné";"Niveau 1";"Niveau 2";"Niveau 3";"Niveau 4"},0)-1),
1/6,0)+IF((MATCH(INDEX(Data_metier!$E:$E,MATCH($A27,Data_metier!$B:$B,0)),{"Non Concerné";"Niveau 1";"Niveau 2";"Niveau 3";"Niveau 4"},0)-1)&gt;(MATCH(INDEX(Data_metier!$E:$E,MATCH(B$1,Data_metier!$B:$B,0)),{"Non Concerné";"Niveau 1";"Niveau 2";"Niveau 3";"Niveau 4"},0)-1),
1/6,0))</f>
        <v>-1</v>
      </c>
      <c r="C27">
        <f>IF(DE_respon_transv!C27=-1,-1,
DE_respon_transv!C27+IF((MATCH(INDEX(Data_metier!$C:$C,MATCH($A27,Data_metier!$B:$B,0)),{"Non Concerné";"Niveau 1";"Niveau 2";"Niveau 3";"Niveau 4"},0)-1)&gt;(MATCH(INDEX(Data_metier!$C:$C,MATCH(C$1,Data_metier!$B:$B,0)),{"Non Concerné";"Niveau 1";"Niveau 2";"Niveau 3";"Niveau 4"},0)-1),
1/6,0)+IF((MATCH(INDEX(Data_metier!$D:$D,MATCH($A27,Data_metier!$B:$B,0)),{"Non Concerné";"Niveau 1";"Niveau 2";"Niveau 3";"Niveau 4"},0)-1)&gt;(MATCH(INDEX(Data_metier!$D:$D,MATCH(C$1,Data_metier!$B:$B,0)),{"Non Concerné";"Niveau 1";"Niveau 2";"Niveau 3";"Niveau 4"},0)-1),
1/6,0)+IF((MATCH(INDEX(Data_metier!$E:$E,MATCH($A27,Data_metier!$B:$B,0)),{"Non Concerné";"Niveau 1";"Niveau 2";"Niveau 3";"Niveau 4"},0)-1)&gt;(MATCH(INDEX(Data_metier!$E:$E,MATCH(C$1,Data_metier!$B:$B,0)),{"Non Concerné";"Niveau 1";"Niveau 2";"Niveau 3";"Niveau 4"},0)-1),
1/6,0))</f>
        <v>-1</v>
      </c>
      <c r="D27">
        <f>IF(DE_respon_transv!D27=-1,-1,
DE_respon_transv!D27+IF((MATCH(INDEX(Data_metier!$C:$C,MATCH($A27,Data_metier!$B:$B,0)),{"Non Concerné";"Niveau 1";"Niveau 2";"Niveau 3";"Niveau 4"},0)-1)&gt;(MATCH(INDEX(Data_metier!$C:$C,MATCH(D$1,Data_metier!$B:$B,0)),{"Non Concerné";"Niveau 1";"Niveau 2";"Niveau 3";"Niveau 4"},0)-1),
1/6,0)+IF((MATCH(INDEX(Data_metier!$D:$D,MATCH($A27,Data_metier!$B:$B,0)),{"Non Concerné";"Niveau 1";"Niveau 2";"Niveau 3";"Niveau 4"},0)-1)&gt;(MATCH(INDEX(Data_metier!$D:$D,MATCH(D$1,Data_metier!$B:$B,0)),{"Non Concerné";"Niveau 1";"Niveau 2";"Niveau 3";"Niveau 4"},0)-1),
1/6,0)+IF((MATCH(INDEX(Data_metier!$E:$E,MATCH($A27,Data_metier!$B:$B,0)),{"Non Concerné";"Niveau 1";"Niveau 2";"Niveau 3";"Niveau 4"},0)-1)&gt;(MATCH(INDEX(Data_metier!$E:$E,MATCH(D$1,Data_metier!$B:$B,0)),{"Non Concerné";"Niveau 1";"Niveau 2";"Niveau 3";"Niveau 4"},0)-1),
1/6,0))</f>
        <v>0</v>
      </c>
      <c r="E27">
        <f>IF(DE_respon_transv!E27=-1,-1,
DE_respon_transv!E27+IF((MATCH(INDEX(Data_metier!$C:$C,MATCH($A27,Data_metier!$B:$B,0)),{"Non Concerné";"Niveau 1";"Niveau 2";"Niveau 3";"Niveau 4"},0)-1)&gt;(MATCH(INDEX(Data_metier!$C:$C,MATCH(E$1,Data_metier!$B:$B,0)),{"Non Concerné";"Niveau 1";"Niveau 2";"Niveau 3";"Niveau 4"},0)-1),
1/6,0)+IF((MATCH(INDEX(Data_metier!$D:$D,MATCH($A27,Data_metier!$B:$B,0)),{"Non Concerné";"Niveau 1";"Niveau 2";"Niveau 3";"Niveau 4"},0)-1)&gt;(MATCH(INDEX(Data_metier!$D:$D,MATCH(E$1,Data_metier!$B:$B,0)),{"Non Concerné";"Niveau 1";"Niveau 2";"Niveau 3";"Niveau 4"},0)-1),
1/6,0)+IF((MATCH(INDEX(Data_metier!$E:$E,MATCH($A27,Data_metier!$B:$B,0)),{"Non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27">
        <f>IF(DE_respon_transv!F27=-1,-1,
DE_respon_transv!F27+IF((MATCH(INDEX(Data_metier!$C:$C,MATCH($A27,Data_metier!$B:$B,0)),{"Non Concerné";"Niveau 1";"Niveau 2";"Niveau 3";"Niveau 4"},0)-1)&gt;(MATCH(INDEX(Data_metier!$C:$C,MATCH(F$1,Data_metier!$B:$B,0)),{"Non Concerné";"Niveau 1";"Niveau 2";"Niveau 3";"Niveau 4"},0)-1),
1/6,0)+IF((MATCH(INDEX(Data_metier!$D:$D,MATCH($A27,Data_metier!$B:$B,0)),{"Non Concerné";"Niveau 1";"Niveau 2";"Niveau 3";"Niveau 4"},0)-1)&gt;(MATCH(INDEX(Data_metier!$D:$D,MATCH(F$1,Data_metier!$B:$B,0)),{"Non Concerné";"Niveau 1";"Niveau 2";"Niveau 3";"Niveau 4"},0)-1),
1/6,0)+IF((MATCH(INDEX(Data_metier!$E:$E,MATCH($A27,Data_metier!$B:$B,0)),{"Non Concerné";"Niveau 1";"Niveau 2";"Niveau 3";"Niveau 4"},0)-1)&gt;(MATCH(INDEX(Data_metier!$E:$E,MATCH(F$1,Data_metier!$B:$B,0)),{"Non Concerné";"Niveau 1";"Niveau 2";"Niveau 3";"Niveau 4"},0)-1),
1/6,0))</f>
        <v>-1</v>
      </c>
      <c r="G27">
        <f>IF(DE_respon_transv!G27=-1,-1,
DE_respon_transv!G27+IF((MATCH(INDEX(Data_metier!$C:$C,MATCH($A27,Data_metier!$B:$B,0)),{"Non Concerné";"Niveau 1";"Niveau 2";"Niveau 3";"Niveau 4"},0)-1)&gt;(MATCH(INDEX(Data_metier!$C:$C,MATCH(G$1,Data_metier!$B:$B,0)),{"Non Concerné";"Niveau 1";"Niveau 2";"Niveau 3";"Niveau 4"},0)-1),
1/6,0)+IF((MATCH(INDEX(Data_metier!$D:$D,MATCH($A27,Data_metier!$B:$B,0)),{"Non Concerné";"Niveau 1";"Niveau 2";"Niveau 3";"Niveau 4"},0)-1)&gt;(MATCH(INDEX(Data_metier!$D:$D,MATCH(G$1,Data_metier!$B:$B,0)),{"Non Concerné";"Niveau 1";"Niveau 2";"Niveau 3";"Niveau 4"},0)-1),
1/6,0)+IF((MATCH(INDEX(Data_metier!$E:$E,MATCH($A27,Data_metier!$B:$B,0)),{"Non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27">
        <f>IF(DE_respon_transv!H27=-1,-1,
DE_respon_transv!H27+IF((MATCH(INDEX(Data_metier!$C:$C,MATCH($A27,Data_metier!$B:$B,0)),{"Non Concerné";"Niveau 1";"Niveau 2";"Niveau 3";"Niveau 4"},0)-1)&gt;(MATCH(INDEX(Data_metier!$C:$C,MATCH(H$1,Data_metier!$B:$B,0)),{"Non Concerné";"Niveau 1";"Niveau 2";"Niveau 3";"Niveau 4"},0)-1),
1/6,0)+IF((MATCH(INDEX(Data_metier!$D:$D,MATCH($A27,Data_metier!$B:$B,0)),{"Non Concerné";"Niveau 1";"Niveau 2";"Niveau 3";"Niveau 4"},0)-1)&gt;(MATCH(INDEX(Data_metier!$D:$D,MATCH(H$1,Data_metier!$B:$B,0)),{"Non Concerné";"Niveau 1";"Niveau 2";"Niveau 3";"Niveau 4"},0)-1),
1/6,0)+IF((MATCH(INDEX(Data_metier!$E:$E,MATCH($A27,Data_metier!$B:$B,0)),{"Non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27">
        <f>IF(DE_respon_transv!I27=-1,-1,
DE_respon_transv!I27+IF((MATCH(INDEX(Data_metier!$C:$C,MATCH($A27,Data_metier!$B:$B,0)),{"Non Concerné";"Niveau 1";"Niveau 2";"Niveau 3";"Niveau 4"},0)-1)&gt;(MATCH(INDEX(Data_metier!$C:$C,MATCH(I$1,Data_metier!$B:$B,0)),{"Non Concerné";"Niveau 1";"Niveau 2";"Niveau 3";"Niveau 4"},0)-1),
1/6,0)+IF((MATCH(INDEX(Data_metier!$D:$D,MATCH($A27,Data_metier!$B:$B,0)),{"Non Concerné";"Niveau 1";"Niveau 2";"Niveau 3";"Niveau 4"},0)-1)&gt;(MATCH(INDEX(Data_metier!$D:$D,MATCH(I$1,Data_metier!$B:$B,0)),{"Non Concerné";"Niveau 1";"Niveau 2";"Niveau 3";"Niveau 4"},0)-1),
1/6,0)+IF((MATCH(INDEX(Data_metier!$E:$E,MATCH($A27,Data_metier!$B:$B,0)),{"Non Concerné";"Niveau 1";"Niveau 2";"Niveau 3";"Niveau 4"},0)-1)&gt;(MATCH(INDEX(Data_metier!$E:$E,MATCH(I$1,Data_metier!$B:$B,0)),{"Non Concerné";"Niveau 1";"Niveau 2";"Niveau 3";"Niveau 4"},0)-1),
1/6,0))</f>
        <v>0</v>
      </c>
      <c r="J27">
        <f>IF(DE_respon_transv!J27=-1,-1,
DE_respon_transv!J27+IF((MATCH(INDEX(Data_metier!$C:$C,MATCH($A27,Data_metier!$B:$B,0)),{"Non Concerné";"Niveau 1";"Niveau 2";"Niveau 3";"Niveau 4"},0)-1)&gt;(MATCH(INDEX(Data_metier!$C:$C,MATCH(J$1,Data_metier!$B:$B,0)),{"Non Concerné";"Niveau 1";"Niveau 2";"Niveau 3";"Niveau 4"},0)-1),
1/6,0)+IF((MATCH(INDEX(Data_metier!$D:$D,MATCH($A27,Data_metier!$B:$B,0)),{"Non Concerné";"Niveau 1";"Niveau 2";"Niveau 3";"Niveau 4"},0)-1)&gt;(MATCH(INDEX(Data_metier!$D:$D,MATCH(J$1,Data_metier!$B:$B,0)),{"Non Concerné";"Niveau 1";"Niveau 2";"Niveau 3";"Niveau 4"},0)-1),
1/6,0)+IF((MATCH(INDEX(Data_metier!$E:$E,MATCH($A27,Data_metier!$B:$B,0)),{"Non Concerné";"Niveau 1";"Niveau 2";"Niveau 3";"Niveau 4"},0)-1)&gt;(MATCH(INDEX(Data_metier!$E:$E,MATCH(J$1,Data_metier!$B:$B,0)),{"Non Concerné";"Niveau 1";"Niveau 2";"Niveau 3";"Niveau 4"},0)-1),
1/6,0))</f>
        <v>-1</v>
      </c>
      <c r="K27">
        <f>IF(DE_respon_transv!K27=-1,-1,
DE_respon_transv!K27+IF((MATCH(INDEX(Data_metier!$C:$C,MATCH($A27,Data_metier!$B:$B,0)),{"Non Concerné";"Niveau 1";"Niveau 2";"Niveau 3";"Niveau 4"},0)-1)&gt;(MATCH(INDEX(Data_metier!$C:$C,MATCH(K$1,Data_metier!$B:$B,0)),{"Non Concerné";"Niveau 1";"Niveau 2";"Niveau 3";"Niveau 4"},0)-1),
1/6,0)+IF((MATCH(INDEX(Data_metier!$D:$D,MATCH($A27,Data_metier!$B:$B,0)),{"Non Concerné";"Niveau 1";"Niveau 2";"Niveau 3";"Niveau 4"},0)-1)&gt;(MATCH(INDEX(Data_metier!$D:$D,MATCH(K$1,Data_metier!$B:$B,0)),{"Non Concerné";"Niveau 1";"Niveau 2";"Niveau 3";"Niveau 4"},0)-1),
1/6,0)+IF((MATCH(INDEX(Data_metier!$E:$E,MATCH($A27,Data_metier!$B:$B,0)),{"Non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27">
        <f>IF(DE_respon_transv!L27=-1,-1,
DE_respon_transv!L27+IF((MATCH(INDEX(Data_metier!$C:$C,MATCH($A27,Data_metier!$B:$B,0)),{"Non Concerné";"Niveau 1";"Niveau 2";"Niveau 3";"Niveau 4"},0)-1)&gt;(MATCH(INDEX(Data_metier!$C:$C,MATCH(L$1,Data_metier!$B:$B,0)),{"Non Concerné";"Niveau 1";"Niveau 2";"Niveau 3";"Niveau 4"},0)-1),
1/6,0)+IF((MATCH(INDEX(Data_metier!$D:$D,MATCH($A27,Data_metier!$B:$B,0)),{"Non Concerné";"Niveau 1";"Niveau 2";"Niveau 3";"Niveau 4"},0)-1)&gt;(MATCH(INDEX(Data_metier!$D:$D,MATCH(L$1,Data_metier!$B:$B,0)),{"Non Concerné";"Niveau 1";"Niveau 2";"Niveau 3";"Niveau 4"},0)-1),
1/6,0)+IF((MATCH(INDEX(Data_metier!$E:$E,MATCH($A27,Data_metier!$B:$B,0)),{"Non Concerné";"Niveau 1";"Niveau 2";"Niveau 3";"Niveau 4"},0)-1)&gt;(MATCH(INDEX(Data_metier!$E:$E,MATCH(L$1,Data_metier!$B:$B,0)),{"Non Concerné";"Niveau 1";"Niveau 2";"Niveau 3";"Niveau 4"},0)-1),
1/6,0))</f>
        <v>0</v>
      </c>
      <c r="M27">
        <f>IF(DE_respon_transv!M27=-1,-1,
DE_respon_transv!M27+IF((MATCH(INDEX(Data_metier!$C:$C,MATCH($A27,Data_metier!$B:$B,0)),{"Non Concerné";"Niveau 1";"Niveau 2";"Niveau 3";"Niveau 4"},0)-1)&gt;(MATCH(INDEX(Data_metier!$C:$C,MATCH(M$1,Data_metier!$B:$B,0)),{"Non Concerné";"Niveau 1";"Niveau 2";"Niveau 3";"Niveau 4"},0)-1),
1/6,0)+IF((MATCH(INDEX(Data_metier!$D:$D,MATCH($A27,Data_metier!$B:$B,0)),{"Non Concerné";"Niveau 1";"Niveau 2";"Niveau 3";"Niveau 4"},0)-1)&gt;(MATCH(INDEX(Data_metier!$D:$D,MATCH(M$1,Data_metier!$B:$B,0)),{"Non Concerné";"Niveau 1";"Niveau 2";"Niveau 3";"Niveau 4"},0)-1),
1/6,0)+IF((MATCH(INDEX(Data_metier!$E:$E,MATCH($A27,Data_metier!$B:$B,0)),{"Non Concerné";"Niveau 1";"Niveau 2";"Niveau 3";"Niveau 4"},0)-1)&gt;(MATCH(INDEX(Data_metier!$E:$E,MATCH(M$1,Data_metier!$B:$B,0)),{"Non Concerné";"Niveau 1";"Niveau 2";"Niveau 3";"Niveau 4"},0)-1),
1/6,0))</f>
        <v>-1</v>
      </c>
      <c r="N27">
        <f>IF(DE_respon_transv!N27=-1,-1,
DE_respon_transv!N27+IF((MATCH(INDEX(Data_metier!$C:$C,MATCH($A27,Data_metier!$B:$B,0)),{"Non Concerné";"Niveau 1";"Niveau 2";"Niveau 3";"Niveau 4"},0)-1)&gt;(MATCH(INDEX(Data_metier!$C:$C,MATCH(N$1,Data_metier!$B:$B,0)),{"Non Concerné";"Niveau 1";"Niveau 2";"Niveau 3";"Niveau 4"},0)-1),
1/6,0)+IF((MATCH(INDEX(Data_metier!$D:$D,MATCH($A27,Data_metier!$B:$B,0)),{"Non Concerné";"Niveau 1";"Niveau 2";"Niveau 3";"Niveau 4"},0)-1)&gt;(MATCH(INDEX(Data_metier!$D:$D,MATCH(N$1,Data_metier!$B:$B,0)),{"Non Concerné";"Niveau 1";"Niveau 2";"Niveau 3";"Niveau 4"},0)-1),
1/6,0)+IF((MATCH(INDEX(Data_metier!$E:$E,MATCH($A27,Data_metier!$B:$B,0)),{"Non Concerné";"Niveau 1";"Niveau 2";"Niveau 3";"Niveau 4"},0)-1)&gt;(MATCH(INDEX(Data_metier!$E:$E,MATCH(N$1,Data_metier!$B:$B,0)),{"Non Concerné";"Niveau 1";"Niveau 2";"Niveau 3";"Niveau 4"},0)-1),
1/6,0))</f>
        <v>-1</v>
      </c>
      <c r="O27">
        <f>IF(DE_respon_transv!O27=-1,-1,
DE_respon_transv!O27+IF((MATCH(INDEX(Data_metier!$C:$C,MATCH($A27,Data_metier!$B:$B,0)),{"Non Concerné";"Niveau 1";"Niveau 2";"Niveau 3";"Niveau 4"},0)-1)&gt;(MATCH(INDEX(Data_metier!$C:$C,MATCH(O$1,Data_metier!$B:$B,0)),{"Non Concerné";"Niveau 1";"Niveau 2";"Niveau 3";"Niveau 4"},0)-1),
1/6,0)+IF((MATCH(INDEX(Data_metier!$D:$D,MATCH($A27,Data_metier!$B:$B,0)),{"Non Concerné";"Niveau 1";"Niveau 2";"Niveau 3";"Niveau 4"},0)-1)&gt;(MATCH(INDEX(Data_metier!$D:$D,MATCH(O$1,Data_metier!$B:$B,0)),{"Non Concerné";"Niveau 1";"Niveau 2";"Niveau 3";"Niveau 4"},0)-1),
1/6,0)+IF((MATCH(INDEX(Data_metier!$E:$E,MATCH($A27,Data_metier!$B:$B,0)),{"Non Concerné";"Niveau 1";"Niveau 2";"Niveau 3";"Niveau 4"},0)-1)&gt;(MATCH(INDEX(Data_metier!$E:$E,MATCH(O$1,Data_metier!$B:$B,0)),{"Non Concerné";"Niveau 1";"Niveau 2";"Niveau 3";"Niveau 4"},0)-1),
1/6,0))</f>
        <v>0</v>
      </c>
      <c r="P27">
        <f>IF(DE_respon_transv!P27=-1,-1,
DE_respon_transv!P27+IF((MATCH(INDEX(Data_metier!$C:$C,MATCH($A27,Data_metier!$B:$B,0)),{"Non Concerné";"Niveau 1";"Niveau 2";"Niveau 3";"Niveau 4"},0)-1)&gt;(MATCH(INDEX(Data_metier!$C:$C,MATCH(P$1,Data_metier!$B:$B,0)),{"Non Concerné";"Niveau 1";"Niveau 2";"Niveau 3";"Niveau 4"},0)-1),
1/6,0)+IF((MATCH(INDEX(Data_metier!$D:$D,MATCH($A27,Data_metier!$B:$B,0)),{"Non Concerné";"Niveau 1";"Niveau 2";"Niveau 3";"Niveau 4"},0)-1)&gt;(MATCH(INDEX(Data_metier!$D:$D,MATCH(P$1,Data_metier!$B:$B,0)),{"Non Concerné";"Niveau 1";"Niveau 2";"Niveau 3";"Niveau 4"},0)-1),
1/6,0)+IF((MATCH(INDEX(Data_metier!$E:$E,MATCH($A27,Data_metier!$B:$B,0)),{"Non Concerné";"Niveau 1";"Niveau 2";"Niveau 3";"Niveau 4"},0)-1)&gt;(MATCH(INDEX(Data_metier!$E:$E,MATCH(P$1,Data_metier!$B:$B,0)),{"Non Concerné";"Niveau 1";"Niveau 2";"Niveau 3";"Niveau 4"},0)-1),
1/6,0))</f>
        <v>0</v>
      </c>
      <c r="Q27">
        <f>IF(DE_respon_transv!Q27=-1,-1,
DE_respon_transv!Q27+IF((MATCH(INDEX(Data_metier!$C:$C,MATCH($A27,Data_metier!$B:$B,0)),{"Non Concerné";"Niveau 1";"Niveau 2";"Niveau 3";"Niveau 4"},0)-1)&gt;(MATCH(INDEX(Data_metier!$C:$C,MATCH(Q$1,Data_metier!$B:$B,0)),{"Non Concerné";"Niveau 1";"Niveau 2";"Niveau 3";"Niveau 4"},0)-1),
1/6,0)+IF((MATCH(INDEX(Data_metier!$D:$D,MATCH($A27,Data_metier!$B:$B,0)),{"Non Concerné";"Niveau 1";"Niveau 2";"Niveau 3";"Niveau 4"},0)-1)&gt;(MATCH(INDEX(Data_metier!$D:$D,MATCH(Q$1,Data_metier!$B:$B,0)),{"Non Concerné";"Niveau 1";"Niveau 2";"Niveau 3";"Niveau 4"},0)-1),
1/6,0)+IF((MATCH(INDEX(Data_metier!$E:$E,MATCH($A27,Data_metier!$B:$B,0)),{"Non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27">
        <f>IF(DE_respon_transv!R27=-1,-1,
DE_respon_transv!R27+IF((MATCH(INDEX(Data_metier!$C:$C,MATCH($A27,Data_metier!$B:$B,0)),{"Non Concerné";"Niveau 1";"Niveau 2";"Niveau 3";"Niveau 4"},0)-1)&gt;(MATCH(INDEX(Data_metier!$C:$C,MATCH(R$1,Data_metier!$B:$B,0)),{"Non Concerné";"Niveau 1";"Niveau 2";"Niveau 3";"Niveau 4"},0)-1),
1/6,0)+IF((MATCH(INDEX(Data_metier!$D:$D,MATCH($A27,Data_metier!$B:$B,0)),{"Non Concerné";"Niveau 1";"Niveau 2";"Niveau 3";"Niveau 4"},0)-1)&gt;(MATCH(INDEX(Data_metier!$D:$D,MATCH(R$1,Data_metier!$B:$B,0)),{"Non Concerné";"Niveau 1";"Niveau 2";"Niveau 3";"Niveau 4"},0)-1),
1/6,0)+IF((MATCH(INDEX(Data_metier!$E:$E,MATCH($A27,Data_metier!$B:$B,0)),{"Non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27">
        <f>IF(DE_respon_transv!S27=-1,-1,
DE_respon_transv!S27+IF((MATCH(INDEX(Data_metier!$C:$C,MATCH($A27,Data_metier!$B:$B,0)),{"Non Concerné";"Niveau 1";"Niveau 2";"Niveau 3";"Niveau 4"},0)-1)&gt;(MATCH(INDEX(Data_metier!$C:$C,MATCH(S$1,Data_metier!$B:$B,0)),{"Non Concerné";"Niveau 1";"Niveau 2";"Niveau 3";"Niveau 4"},0)-1),
1/6,0)+IF((MATCH(INDEX(Data_metier!$D:$D,MATCH($A27,Data_metier!$B:$B,0)),{"Non Concerné";"Niveau 1";"Niveau 2";"Niveau 3";"Niveau 4"},0)-1)&gt;(MATCH(INDEX(Data_metier!$D:$D,MATCH(S$1,Data_metier!$B:$B,0)),{"Non Concerné";"Niveau 1";"Niveau 2";"Niveau 3";"Niveau 4"},0)-1),
1/6,0)+IF((MATCH(INDEX(Data_metier!$E:$E,MATCH($A27,Data_metier!$B:$B,0)),{"Non Concerné";"Niveau 1";"Niveau 2";"Niveau 3";"Niveau 4"},0)-1)&gt;(MATCH(INDEX(Data_metier!$E:$E,MATCH(S$1,Data_metier!$B:$B,0)),{"Non Concerné";"Niveau 1";"Niveau 2";"Niveau 3";"Niveau 4"},0)-1),
1/6,0))</f>
        <v>0</v>
      </c>
      <c r="T27">
        <f>IF(DE_respon_transv!T27=-1,-1,
DE_respon_transv!T27+IF((MATCH(INDEX(Data_metier!$C:$C,MATCH($A27,Data_metier!$B:$B,0)),{"Non Concerné";"Niveau 1";"Niveau 2";"Niveau 3";"Niveau 4"},0)-1)&gt;(MATCH(INDEX(Data_metier!$C:$C,MATCH(T$1,Data_metier!$B:$B,0)),{"Non Concerné";"Niveau 1";"Niveau 2";"Niveau 3";"Niveau 4"},0)-1),
1/6,0)+IF((MATCH(INDEX(Data_metier!$D:$D,MATCH($A27,Data_metier!$B:$B,0)),{"Non Concerné";"Niveau 1";"Niveau 2";"Niveau 3";"Niveau 4"},0)-1)&gt;(MATCH(INDEX(Data_metier!$D:$D,MATCH(T$1,Data_metier!$B:$B,0)),{"Non Concerné";"Niveau 1";"Niveau 2";"Niveau 3";"Niveau 4"},0)-1),
1/6,0)+IF((MATCH(INDEX(Data_metier!$E:$E,MATCH($A27,Data_metier!$B:$B,0)),{"Non Concerné";"Niveau 1";"Niveau 2";"Niveau 3";"Niveau 4"},0)-1)&gt;(MATCH(INDEX(Data_metier!$E:$E,MATCH(T$1,Data_metier!$B:$B,0)),{"Non Concerné";"Niveau 1";"Niveau 2";"Niveau 3";"Niveau 4"},0)-1),
1/6,0))</f>
        <v>0</v>
      </c>
      <c r="U27">
        <f>IF(DE_respon_transv!U27=-1,-1,
DE_respon_transv!U27+IF((MATCH(INDEX(Data_metier!$C:$C,MATCH($A27,Data_metier!$B:$B,0)),{"Non Concerné";"Niveau 1";"Niveau 2";"Niveau 3";"Niveau 4"},0)-1)&gt;(MATCH(INDEX(Data_metier!$C:$C,MATCH(U$1,Data_metier!$B:$B,0)),{"Non Concerné";"Niveau 1";"Niveau 2";"Niveau 3";"Niveau 4"},0)-1),
1/6,0)+IF((MATCH(INDEX(Data_metier!$D:$D,MATCH($A27,Data_metier!$B:$B,0)),{"Non Concerné";"Niveau 1";"Niveau 2";"Niveau 3";"Niveau 4"},0)-1)&gt;(MATCH(INDEX(Data_metier!$D:$D,MATCH(U$1,Data_metier!$B:$B,0)),{"Non Concerné";"Niveau 1";"Niveau 2";"Niveau 3";"Niveau 4"},0)-1),
1/6,0)+IF((MATCH(INDEX(Data_metier!$E:$E,MATCH($A27,Data_metier!$B:$B,0)),{"Non Concerné";"Niveau 1";"Niveau 2";"Niveau 3";"Niveau 4"},0)-1)&gt;(MATCH(INDEX(Data_metier!$E:$E,MATCH(U$1,Data_metier!$B:$B,0)),{"Non Concerné";"Niveau 1";"Niveau 2";"Niveau 3";"Niveau 4"},0)-1),
1/6,0))</f>
        <v>0</v>
      </c>
      <c r="V27">
        <f>IF(DE_respon_transv!V27=-1,-1,
DE_respon_transv!V27+IF((MATCH(INDEX(Data_metier!$C:$C,MATCH($A27,Data_metier!$B:$B,0)),{"Non Concerné";"Niveau 1";"Niveau 2";"Niveau 3";"Niveau 4"},0)-1)&gt;(MATCH(INDEX(Data_metier!$C:$C,MATCH(V$1,Data_metier!$B:$B,0)),{"Non Concerné";"Niveau 1";"Niveau 2";"Niveau 3";"Niveau 4"},0)-1),
1/6,0)+IF((MATCH(INDEX(Data_metier!$D:$D,MATCH($A27,Data_metier!$B:$B,0)),{"Non Concerné";"Niveau 1";"Niveau 2";"Niveau 3";"Niveau 4"},0)-1)&gt;(MATCH(INDEX(Data_metier!$D:$D,MATCH(V$1,Data_metier!$B:$B,0)),{"Non Concerné";"Niveau 1";"Niveau 2";"Niveau 3";"Niveau 4"},0)-1),
1/6,0)+IF((MATCH(INDEX(Data_metier!$E:$E,MATCH($A27,Data_metier!$B:$B,0)),{"Non Concerné";"Niveau 1";"Niveau 2";"Niveau 3";"Niveau 4"},0)-1)&gt;(MATCH(INDEX(Data_metier!$E:$E,MATCH(V$1,Data_metier!$B:$B,0)),{"Non Concerné";"Niveau 1";"Niveau 2";"Niveau 3";"Niveau 4"},0)-1),
1/6,0))</f>
        <v>-1</v>
      </c>
      <c r="W27">
        <f>IF(DE_respon_transv!W27=-1,-1,
DE_respon_transv!W27+IF((MATCH(INDEX(Data_metier!$C:$C,MATCH($A27,Data_metier!$B:$B,0)),{"Non Concerné";"Niveau 1";"Niveau 2";"Niveau 3";"Niveau 4"},0)-1)&gt;(MATCH(INDEX(Data_metier!$C:$C,MATCH(W$1,Data_metier!$B:$B,0)),{"Non Concerné";"Niveau 1";"Niveau 2";"Niveau 3";"Niveau 4"},0)-1),
1/6,0)+IF((MATCH(INDEX(Data_metier!$D:$D,MATCH($A27,Data_metier!$B:$B,0)),{"Non Concerné";"Niveau 1";"Niveau 2";"Niveau 3";"Niveau 4"},0)-1)&gt;(MATCH(INDEX(Data_metier!$D:$D,MATCH(W$1,Data_metier!$B:$B,0)),{"Non Concerné";"Niveau 1";"Niveau 2";"Niveau 3";"Niveau 4"},0)-1),
1/6,0)+IF((MATCH(INDEX(Data_metier!$E:$E,MATCH($A27,Data_metier!$B:$B,0)),{"Non Concerné";"Niveau 1";"Niveau 2";"Niveau 3";"Niveau 4"},0)-1)&gt;(MATCH(INDEX(Data_metier!$E:$E,MATCH(W$1,Data_metier!$B:$B,0)),{"Non Concerné";"Niveau 1";"Niveau 2";"Niveau 3";"Niveau 4"},0)-1),
1/6,0))</f>
        <v>-1</v>
      </c>
      <c r="X27">
        <f>IF(DE_respon_transv!X27=-1,-1,
DE_respon_transv!X27+IF((MATCH(INDEX(Data_metier!$C:$C,MATCH($A27,Data_metier!$B:$B,0)),{"Non Concerné";"Niveau 1";"Niveau 2";"Niveau 3";"Niveau 4"},0)-1)&gt;(MATCH(INDEX(Data_metier!$C:$C,MATCH(X$1,Data_metier!$B:$B,0)),{"Non Concerné";"Niveau 1";"Niveau 2";"Niveau 3";"Niveau 4"},0)-1),
1/6,0)+IF((MATCH(INDEX(Data_metier!$D:$D,MATCH($A27,Data_metier!$B:$B,0)),{"Non Concerné";"Niveau 1";"Niveau 2";"Niveau 3";"Niveau 4"},0)-1)&gt;(MATCH(INDEX(Data_metier!$D:$D,MATCH(X$1,Data_metier!$B:$B,0)),{"Non Concerné";"Niveau 1";"Niveau 2";"Niveau 3";"Niveau 4"},0)-1),
1/6,0)+IF((MATCH(INDEX(Data_metier!$E:$E,MATCH($A27,Data_metier!$B:$B,0)),{"Non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27">
        <f>IF(DE_respon_transv!Y27=-1,-1,
DE_respon_transv!Y27+IF((MATCH(INDEX(Data_metier!$C:$C,MATCH($A27,Data_metier!$B:$B,0)),{"Non Concerné";"Niveau 1";"Niveau 2";"Niveau 3";"Niveau 4"},0)-1)&gt;(MATCH(INDEX(Data_metier!$C:$C,MATCH(Y$1,Data_metier!$B:$B,0)),{"Non Concerné";"Niveau 1";"Niveau 2";"Niveau 3";"Niveau 4"},0)-1),
1/6,0)+IF((MATCH(INDEX(Data_metier!$D:$D,MATCH($A27,Data_metier!$B:$B,0)),{"Non Concerné";"Niveau 1";"Niveau 2";"Niveau 3";"Niveau 4"},0)-1)&gt;(MATCH(INDEX(Data_metier!$D:$D,MATCH(Y$1,Data_metier!$B:$B,0)),{"Non Concerné";"Niveau 1";"Niveau 2";"Niveau 3";"Niveau 4"},0)-1),
1/6,0)+IF((MATCH(INDEX(Data_metier!$E:$E,MATCH($A27,Data_metier!$B:$B,0)),{"Non Concerné";"Niveau 1";"Niveau 2";"Niveau 3";"Niveau 4"},0)-1)&gt;(MATCH(INDEX(Data_metier!$E:$E,MATCH(Y$1,Data_metier!$B:$B,0)),{"Non Concerné";"Niveau 1";"Niveau 2";"Niveau 3";"Niveau 4"},0)-1),
1/6,0))</f>
        <v>0</v>
      </c>
      <c r="Z27">
        <f>IF(DE_respon_transv!Z27=-1,-1,
DE_respon_transv!Z27+IF((MATCH(INDEX(Data_metier!$C:$C,MATCH($A27,Data_metier!$B:$B,0)),{"Non Concerné";"Niveau 1";"Niveau 2";"Niveau 3";"Niveau 4"},0)-1)&gt;(MATCH(INDEX(Data_metier!$C:$C,MATCH(Z$1,Data_metier!$B:$B,0)),{"Non Concerné";"Niveau 1";"Niveau 2";"Niveau 3";"Niveau 4"},0)-1),
1/6,0)+IF((MATCH(INDEX(Data_metier!$D:$D,MATCH($A27,Data_metier!$B:$B,0)),{"Non Concerné";"Niveau 1";"Niveau 2";"Niveau 3";"Niveau 4"},0)-1)&gt;(MATCH(INDEX(Data_metier!$D:$D,MATCH(Z$1,Data_metier!$B:$B,0)),{"Non Concerné";"Niveau 1";"Niveau 2";"Niveau 3";"Niveau 4"},0)-1),
1/6,0)+IF((MATCH(INDEX(Data_metier!$E:$E,MATCH($A27,Data_metier!$B:$B,0)),{"Non Concerné";"Niveau 1";"Niveau 2";"Niveau 3";"Niveau 4"},0)-1)&gt;(MATCH(INDEX(Data_metier!$E:$E,MATCH(Z$1,Data_metier!$B:$B,0)),{"Non Concerné";"Niveau 1";"Niveau 2";"Niveau 3";"Niveau 4"},0)-1),
1/6,0))</f>
        <v>0</v>
      </c>
      <c r="AA27">
        <f>IF(DE_respon_transv!AA27=-1,-1,
DE_respon_transv!AA27+IF((MATCH(INDEX(Data_metier!$C:$C,MATCH($A27,Data_metier!$B:$B,0)),{"Non Concerné";"Niveau 1";"Niveau 2";"Niveau 3";"Niveau 4"},0)-1)&gt;(MATCH(INDEX(Data_metier!$C:$C,MATCH(AA$1,Data_metier!$B:$B,0)),{"Non Concerné";"Niveau 1";"Niveau 2";"Niveau 3";"Niveau 4"},0)-1),
1/6,0)+IF((MATCH(INDEX(Data_metier!$D:$D,MATCH($A27,Data_metier!$B:$B,0)),{"Non Concerné";"Niveau 1";"Niveau 2";"Niveau 3";"Niveau 4"},0)-1)&gt;(MATCH(INDEX(Data_metier!$D:$D,MATCH(AA$1,Data_metier!$B:$B,0)),{"Non Concerné";"Niveau 1";"Niveau 2";"Niveau 3";"Niveau 4"},0)-1),
1/6,0)+IF((MATCH(INDEX(Data_metier!$E:$E,MATCH($A27,Data_metier!$B:$B,0)),{"Non Concerné";"Niveau 1";"Niveau 2";"Niveau 3";"Niveau 4"},0)-1)&gt;(MATCH(INDEX(Data_metier!$E:$E,MATCH(AA$1,Data_metier!$B:$B,0)),{"Non Concerné";"Niveau 1";"Niveau 2";"Niveau 3";"Niveau 4"},0)-1),
1/6,0))</f>
        <v>0</v>
      </c>
      <c r="AB27">
        <f>IF(DE_respon_transv!AB27=-1,-1,
DE_respon_transv!AB27+IF((MATCH(INDEX(Data_metier!$C:$C,MATCH($A27,Data_metier!$B:$B,0)),{"Non Concerné";"Niveau 1";"Niveau 2";"Niveau 3";"Niveau 4"},0)-1)&gt;(MATCH(INDEX(Data_metier!$C:$C,MATCH(AB$1,Data_metier!$B:$B,0)),{"Non Concerné";"Niveau 1";"Niveau 2";"Niveau 3";"Niveau 4"},0)-1),
1/6,0)+IF((MATCH(INDEX(Data_metier!$D:$D,MATCH($A27,Data_metier!$B:$B,0)),{"Non Concerné";"Niveau 1";"Niveau 2";"Niveau 3";"Niveau 4"},0)-1)&gt;(MATCH(INDEX(Data_metier!$D:$D,MATCH(AB$1,Data_metier!$B:$B,0)),{"Non Concerné";"Niveau 1";"Niveau 2";"Niveau 3";"Niveau 4"},0)-1),
1/6,0)+IF((MATCH(INDEX(Data_metier!$E:$E,MATCH($A27,Data_metier!$B:$B,0)),{"Non Concerné";"Niveau 1";"Niveau 2";"Niveau 3";"Niveau 4"},0)-1)&gt;(MATCH(INDEX(Data_metier!$E:$E,MATCH(AB$1,Data_metier!$B:$B,0)),{"Non Concerné";"Niveau 1";"Niveau 2";"Niveau 3";"Niveau 4"},0)-1),
1/6,0))</f>
        <v>-1</v>
      </c>
      <c r="AC27">
        <f>IF(DE_respon_transv!AC27=-1,-1,
DE_respon_transv!AC27+IF((MATCH(INDEX(Data_metier!$C:$C,MATCH($A27,Data_metier!$B:$B,0)),{"Non Concerné";"Niveau 1";"Niveau 2";"Niveau 3";"Niveau 4"},0)-1)&gt;(MATCH(INDEX(Data_metier!$C:$C,MATCH(AC$1,Data_metier!$B:$B,0)),{"Non Concerné";"Niveau 1";"Niveau 2";"Niveau 3";"Niveau 4"},0)-1),
1/6,0)+IF((MATCH(INDEX(Data_metier!$D:$D,MATCH($A27,Data_metier!$B:$B,0)),{"Non Concerné";"Niveau 1";"Niveau 2";"Niveau 3";"Niveau 4"},0)-1)&gt;(MATCH(INDEX(Data_metier!$D:$D,MATCH(AC$1,Data_metier!$B:$B,0)),{"Non Concerné";"Niveau 1";"Niveau 2";"Niveau 3";"Niveau 4"},0)-1),
1/6,0)+IF((MATCH(INDEX(Data_metier!$E:$E,MATCH($A27,Data_metier!$B:$B,0)),{"Non Concerné";"Niveau 1";"Niveau 2";"Niveau 3";"Niveau 4"},0)-1)&gt;(MATCH(INDEX(Data_metier!$E:$E,MATCH(AC$1,Data_metier!$B:$B,0)),{"Non Concerné";"Niveau 1";"Niveau 2";"Niveau 3";"Niveau 4"},0)-1),
1/6,0))</f>
        <v>-1</v>
      </c>
      <c r="AD27">
        <f>IF(DE_respon_transv!AD27=-1,-1,
DE_respon_transv!AD27+IF((MATCH(INDEX(Data_metier!$C:$C,MATCH($A27,Data_metier!$B:$B,0)),{"Non Concerné";"Niveau 1";"Niveau 2";"Niveau 3";"Niveau 4"},0)-1)&gt;(MATCH(INDEX(Data_metier!$C:$C,MATCH(AD$1,Data_metier!$B:$B,0)),{"Non Concerné";"Niveau 1";"Niveau 2";"Niveau 3";"Niveau 4"},0)-1),
1/6,0)+IF((MATCH(INDEX(Data_metier!$D:$D,MATCH($A27,Data_metier!$B:$B,0)),{"Non Concerné";"Niveau 1";"Niveau 2";"Niveau 3";"Niveau 4"},0)-1)&gt;(MATCH(INDEX(Data_metier!$D:$D,MATCH(AD$1,Data_metier!$B:$B,0)),{"Non Concerné";"Niveau 1";"Niveau 2";"Niveau 3";"Niveau 4"},0)-1),
1/6,0)+IF((MATCH(INDEX(Data_metier!$E:$E,MATCH($A27,Data_metier!$B:$B,0)),{"Non Concerné";"Niveau 1";"Niveau 2";"Niveau 3";"Niveau 4"},0)-1)&gt;(MATCH(INDEX(Data_metier!$E:$E,MATCH(AD$1,Data_metier!$B:$B,0)),{"Non Concerné";"Niveau 1";"Niveau 2";"Niveau 3";"Niveau 4"},0)-1),
1/6,0))</f>
        <v>-1</v>
      </c>
    </row>
    <row r="28" spans="1:30">
      <c r="A28" t="str">
        <v>Mécanicien(ne) de maintenance industrielle</v>
      </c>
      <c r="B28">
        <f>IF(DE_respon_transv!B28=-1,-1,
DE_respon_transv!B28+IF((MATCH(INDEX(Data_metier!$C:$C,MATCH($A28,Data_metier!$B:$B,0)),{"Non Concerné";"Niveau 1";"Niveau 2";"Niveau 3";"Niveau 4"},0)-1)&gt;(MATCH(INDEX(Data_metier!$C:$C,MATCH(B$1,Data_metier!$B:$B,0)),{"Non Concerné";"Niveau 1";"Niveau 2";"Niveau 3";"Niveau 4"},0)-1),
1/6,0)+IF((MATCH(INDEX(Data_metier!$D:$D,MATCH($A28,Data_metier!$B:$B,0)),{"Non Concerné";"Niveau 1";"Niveau 2";"Niveau 3";"Niveau 4"},0)-1)&gt;(MATCH(INDEX(Data_metier!$D:$D,MATCH(B$1,Data_metier!$B:$B,0)),{"Non Concerné";"Niveau 1";"Niveau 2";"Niveau 3";"Niveau 4"},0)-1),
1/6,0)+IF((MATCH(INDEX(Data_metier!$E:$E,MATCH($A28,Data_metier!$B:$B,0)),{"Non Concerné";"Niveau 1";"Niveau 2";"Niveau 3";"Niveau 4"},0)-1)&gt;(MATCH(INDEX(Data_metier!$E:$E,MATCH(B$1,Data_metier!$B:$B,0)),{"Non Concerné";"Niveau 1";"Niveau 2";"Niveau 3";"Niveau 4"},0)-1),
1/6,0))</f>
        <v>0.33333333333333331</v>
      </c>
      <c r="C28">
        <f>IF(DE_respon_transv!C28=-1,-1,
DE_respon_transv!C28+IF((MATCH(INDEX(Data_metier!$C:$C,MATCH($A28,Data_metier!$B:$B,0)),{"Non Concerné";"Niveau 1";"Niveau 2";"Niveau 3";"Niveau 4"},0)-1)&gt;(MATCH(INDEX(Data_metier!$C:$C,MATCH(C$1,Data_metier!$B:$B,0)),{"Non Concerné";"Niveau 1";"Niveau 2";"Niveau 3";"Niveau 4"},0)-1),
1/6,0)+IF((MATCH(INDEX(Data_metier!$D:$D,MATCH($A28,Data_metier!$B:$B,0)),{"Non Concerné";"Niveau 1";"Niveau 2";"Niveau 3";"Niveau 4"},0)-1)&gt;(MATCH(INDEX(Data_metier!$D:$D,MATCH(C$1,Data_metier!$B:$B,0)),{"Non Concerné";"Niveau 1";"Niveau 2";"Niveau 3";"Niveau 4"},0)-1),
1/6,0)+IF((MATCH(INDEX(Data_metier!$E:$E,MATCH($A28,Data_metier!$B:$B,0)),{"Non Concerné";"Niveau 1";"Niveau 2";"Niveau 3";"Niveau 4"},0)-1)&gt;(MATCH(INDEX(Data_metier!$E:$E,MATCH(C$1,Data_metier!$B:$B,0)),{"Non Concerné";"Niveau 1";"Niveau 2";"Niveau 3";"Niveau 4"},0)-1),
1/6,0))</f>
        <v>0</v>
      </c>
      <c r="D28">
        <f>IF(DE_respon_transv!D28=-1,-1,
DE_respon_transv!D28+IF((MATCH(INDEX(Data_metier!$C:$C,MATCH($A28,Data_metier!$B:$B,0)),{"Non Concerné";"Niveau 1";"Niveau 2";"Niveau 3";"Niveau 4"},0)-1)&gt;(MATCH(INDEX(Data_metier!$C:$C,MATCH(D$1,Data_metier!$B:$B,0)),{"Non Concerné";"Niveau 1";"Niveau 2";"Niveau 3";"Niveau 4"},0)-1),
1/6,0)+IF((MATCH(INDEX(Data_metier!$D:$D,MATCH($A28,Data_metier!$B:$B,0)),{"Non Concerné";"Niveau 1";"Niveau 2";"Niveau 3";"Niveau 4"},0)-1)&gt;(MATCH(INDEX(Data_metier!$D:$D,MATCH(D$1,Data_metier!$B:$B,0)),{"Non Concerné";"Niveau 1";"Niveau 2";"Niveau 3";"Niveau 4"},0)-1),
1/6,0)+IF((MATCH(INDEX(Data_metier!$E:$E,MATCH($A28,Data_metier!$B:$B,0)),{"Non Concerné";"Niveau 1";"Niveau 2";"Niveau 3";"Niveau 4"},0)-1)&gt;(MATCH(INDEX(Data_metier!$E:$E,MATCH(D$1,Data_metier!$B:$B,0)),{"Non Concerné";"Niveau 1";"Niveau 2";"Niveau 3";"Niveau 4"},0)-1),
1/6,0))</f>
        <v>1.3333333333333335</v>
      </c>
      <c r="E28">
        <f>IF(DE_respon_transv!E28=-1,-1,
DE_respon_transv!E28+IF((MATCH(INDEX(Data_metier!$C:$C,MATCH($A28,Data_metier!$B:$B,0)),{"Non Concerné";"Niveau 1";"Niveau 2";"Niveau 3";"Niveau 4"},0)-1)&gt;(MATCH(INDEX(Data_metier!$C:$C,MATCH(E$1,Data_metier!$B:$B,0)),{"Non Concerné";"Niveau 1";"Niveau 2";"Niveau 3";"Niveau 4"},0)-1),
1/6,0)+IF((MATCH(INDEX(Data_metier!$D:$D,MATCH($A28,Data_metier!$B:$B,0)),{"Non Concerné";"Niveau 1";"Niveau 2";"Niveau 3";"Niveau 4"},0)-1)&gt;(MATCH(INDEX(Data_metier!$D:$D,MATCH(E$1,Data_metier!$B:$B,0)),{"Non Concerné";"Niveau 1";"Niveau 2";"Niveau 3";"Niveau 4"},0)-1),
1/6,0)+IF((MATCH(INDEX(Data_metier!$E:$E,MATCH($A28,Data_metier!$B:$B,0)),{"Non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28">
        <f>IF(DE_respon_transv!F28=-1,-1,
DE_respon_transv!F28+IF((MATCH(INDEX(Data_metier!$C:$C,MATCH($A28,Data_metier!$B:$B,0)),{"Non Concerné";"Niveau 1";"Niveau 2";"Niveau 3";"Niveau 4"},0)-1)&gt;(MATCH(INDEX(Data_metier!$C:$C,MATCH(F$1,Data_metier!$B:$B,0)),{"Non Concerné";"Niveau 1";"Niveau 2";"Niveau 3";"Niveau 4"},0)-1),
1/6,0)+IF((MATCH(INDEX(Data_metier!$D:$D,MATCH($A28,Data_metier!$B:$B,0)),{"Non Concerné";"Niveau 1";"Niveau 2";"Niveau 3";"Niveau 4"},0)-1)&gt;(MATCH(INDEX(Data_metier!$D:$D,MATCH(F$1,Data_metier!$B:$B,0)),{"Non Concerné";"Niveau 1";"Niveau 2";"Niveau 3";"Niveau 4"},0)-1),
1/6,0)+IF((MATCH(INDEX(Data_metier!$E:$E,MATCH($A28,Data_metier!$B:$B,0)),{"Non Concerné";"Niveau 1";"Niveau 2";"Niveau 3";"Niveau 4"},0)-1)&gt;(MATCH(INDEX(Data_metier!$E:$E,MATCH(F$1,Data_metier!$B:$B,0)),{"Non Concerné";"Niveau 1";"Niveau 2";"Niveau 3";"Niveau 4"},0)-1),
1/6,0))</f>
        <v>-1</v>
      </c>
      <c r="G28">
        <f>IF(DE_respon_transv!G28=-1,-1,
DE_respon_transv!G28+IF((MATCH(INDEX(Data_metier!$C:$C,MATCH($A28,Data_metier!$B:$B,0)),{"Non Concerné";"Niveau 1";"Niveau 2";"Niveau 3";"Niveau 4"},0)-1)&gt;(MATCH(INDEX(Data_metier!$C:$C,MATCH(G$1,Data_metier!$B:$B,0)),{"Non Concerné";"Niveau 1";"Niveau 2";"Niveau 3";"Niveau 4"},0)-1),
1/6,0)+IF((MATCH(INDEX(Data_metier!$D:$D,MATCH($A28,Data_metier!$B:$B,0)),{"Non Concerné";"Niveau 1";"Niveau 2";"Niveau 3";"Niveau 4"},0)-1)&gt;(MATCH(INDEX(Data_metier!$D:$D,MATCH(G$1,Data_metier!$B:$B,0)),{"Non Concerné";"Niveau 1";"Niveau 2";"Niveau 3";"Niveau 4"},0)-1),
1/6,0)+IF((MATCH(INDEX(Data_metier!$E:$E,MATCH($A28,Data_metier!$B:$B,0)),{"Non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28">
        <f>IF(DE_respon_transv!H28=-1,-1,
DE_respon_transv!H28+IF((MATCH(INDEX(Data_metier!$C:$C,MATCH($A28,Data_metier!$B:$B,0)),{"Non Concerné";"Niveau 1";"Niveau 2";"Niveau 3";"Niveau 4"},0)-1)&gt;(MATCH(INDEX(Data_metier!$C:$C,MATCH(H$1,Data_metier!$B:$B,0)),{"Non Concerné";"Niveau 1";"Niveau 2";"Niveau 3";"Niveau 4"},0)-1),
1/6,0)+IF((MATCH(INDEX(Data_metier!$D:$D,MATCH($A28,Data_metier!$B:$B,0)),{"Non Concerné";"Niveau 1";"Niveau 2";"Niveau 3";"Niveau 4"},0)-1)&gt;(MATCH(INDEX(Data_metier!$D:$D,MATCH(H$1,Data_metier!$B:$B,0)),{"Non Concerné";"Niveau 1";"Niveau 2";"Niveau 3";"Niveau 4"},0)-1),
1/6,0)+IF((MATCH(INDEX(Data_metier!$E:$E,MATCH($A28,Data_metier!$B:$B,0)),{"Non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28">
        <f>IF(DE_respon_transv!I28=-1,-1,
DE_respon_transv!I28+IF((MATCH(INDEX(Data_metier!$C:$C,MATCH($A28,Data_metier!$B:$B,0)),{"Non Concerné";"Niveau 1";"Niveau 2";"Niveau 3";"Niveau 4"},0)-1)&gt;(MATCH(INDEX(Data_metier!$C:$C,MATCH(I$1,Data_metier!$B:$B,0)),{"Non Concerné";"Niveau 1";"Niveau 2";"Niveau 3";"Niveau 4"},0)-1),
1/6,0)+IF((MATCH(INDEX(Data_metier!$D:$D,MATCH($A28,Data_metier!$B:$B,0)),{"Non Concerné";"Niveau 1";"Niveau 2";"Niveau 3";"Niveau 4"},0)-1)&gt;(MATCH(INDEX(Data_metier!$D:$D,MATCH(I$1,Data_metier!$B:$B,0)),{"Non Concerné";"Niveau 1";"Niveau 2";"Niveau 3";"Niveau 4"},0)-1),
1/6,0)+IF((MATCH(INDEX(Data_metier!$E:$E,MATCH($A28,Data_metier!$B:$B,0)),{"Non Concerné";"Niveau 1";"Niveau 2";"Niveau 3";"Niveau 4"},0)-1)&gt;(MATCH(INDEX(Data_metier!$E:$E,MATCH(I$1,Data_metier!$B:$B,0)),{"Non Concerné";"Niveau 1";"Niveau 2";"Niveau 3";"Niveau 4"},0)-1),
1/6,0))</f>
        <v>1.3333333333333335</v>
      </c>
      <c r="J28">
        <f>IF(DE_respon_transv!J28=-1,-1,
DE_respon_transv!J28+IF((MATCH(INDEX(Data_metier!$C:$C,MATCH($A28,Data_metier!$B:$B,0)),{"Non Concerné";"Niveau 1";"Niveau 2";"Niveau 3";"Niveau 4"},0)-1)&gt;(MATCH(INDEX(Data_metier!$C:$C,MATCH(J$1,Data_metier!$B:$B,0)),{"Non Concerné";"Niveau 1";"Niveau 2";"Niveau 3";"Niveau 4"},0)-1),
1/6,0)+IF((MATCH(INDEX(Data_metier!$D:$D,MATCH($A28,Data_metier!$B:$B,0)),{"Non Concerné";"Niveau 1";"Niveau 2";"Niveau 3";"Niveau 4"},0)-1)&gt;(MATCH(INDEX(Data_metier!$D:$D,MATCH(J$1,Data_metier!$B:$B,0)),{"Non Concerné";"Niveau 1";"Niveau 2";"Niveau 3";"Niveau 4"},0)-1),
1/6,0)+IF((MATCH(INDEX(Data_metier!$E:$E,MATCH($A28,Data_metier!$B:$B,0)),{"Non Concerné";"Niveau 1";"Niveau 2";"Niveau 3";"Niveau 4"},0)-1)&gt;(MATCH(INDEX(Data_metier!$E:$E,MATCH(J$1,Data_metier!$B:$B,0)),{"Non Concerné";"Niveau 1";"Niveau 2";"Niveau 3";"Niveau 4"},0)-1),
1/6,0))</f>
        <v>-1</v>
      </c>
      <c r="K28">
        <f>IF(DE_respon_transv!K28=-1,-1,
DE_respon_transv!K28+IF((MATCH(INDEX(Data_metier!$C:$C,MATCH($A28,Data_metier!$B:$B,0)),{"Non Concerné";"Niveau 1";"Niveau 2";"Niveau 3";"Niveau 4"},0)-1)&gt;(MATCH(INDEX(Data_metier!$C:$C,MATCH(K$1,Data_metier!$B:$B,0)),{"Non Concerné";"Niveau 1";"Niveau 2";"Niveau 3";"Niveau 4"},0)-1),
1/6,0)+IF((MATCH(INDEX(Data_metier!$D:$D,MATCH($A28,Data_metier!$B:$B,0)),{"Non Concerné";"Niveau 1";"Niveau 2";"Niveau 3";"Niveau 4"},0)-1)&gt;(MATCH(INDEX(Data_metier!$D:$D,MATCH(K$1,Data_metier!$B:$B,0)),{"Non Concerné";"Niveau 1";"Niveau 2";"Niveau 3";"Niveau 4"},0)-1),
1/6,0)+IF((MATCH(INDEX(Data_metier!$E:$E,MATCH($A28,Data_metier!$B:$B,0)),{"Non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28">
        <f>IF(DE_respon_transv!L28=-1,-1,
DE_respon_transv!L28+IF((MATCH(INDEX(Data_metier!$C:$C,MATCH($A28,Data_metier!$B:$B,0)),{"Non Concerné";"Niveau 1";"Niveau 2";"Niveau 3";"Niveau 4"},0)-1)&gt;(MATCH(INDEX(Data_metier!$C:$C,MATCH(L$1,Data_metier!$B:$B,0)),{"Non Concerné";"Niveau 1";"Niveau 2";"Niveau 3";"Niveau 4"},0)-1),
1/6,0)+IF((MATCH(INDEX(Data_metier!$D:$D,MATCH($A28,Data_metier!$B:$B,0)),{"Non Concerné";"Niveau 1";"Niveau 2";"Niveau 3";"Niveau 4"},0)-1)&gt;(MATCH(INDEX(Data_metier!$D:$D,MATCH(L$1,Data_metier!$B:$B,0)),{"Non Concerné";"Niveau 1";"Niveau 2";"Niveau 3";"Niveau 4"},0)-1),
1/6,0)+IF((MATCH(INDEX(Data_metier!$E:$E,MATCH($A28,Data_metier!$B:$B,0)),{"Non Concerné";"Niveau 1";"Niveau 2";"Niveau 3";"Niveau 4"},0)-1)&gt;(MATCH(INDEX(Data_metier!$E:$E,MATCH(L$1,Data_metier!$B:$B,0)),{"Non Concerné";"Niveau 1";"Niveau 2";"Niveau 3";"Niveau 4"},0)-1),
1/6,0))</f>
        <v>1</v>
      </c>
      <c r="M28">
        <f>IF(DE_respon_transv!M28=-1,-1,
DE_respon_transv!M28+IF((MATCH(INDEX(Data_metier!$C:$C,MATCH($A28,Data_metier!$B:$B,0)),{"Non Concerné";"Niveau 1";"Niveau 2";"Niveau 3";"Niveau 4"},0)-1)&gt;(MATCH(INDEX(Data_metier!$C:$C,MATCH(M$1,Data_metier!$B:$B,0)),{"Non Concerné";"Niveau 1";"Niveau 2";"Niveau 3";"Niveau 4"},0)-1),
1/6,0)+IF((MATCH(INDEX(Data_metier!$D:$D,MATCH($A28,Data_metier!$B:$B,0)),{"Non Concerné";"Niveau 1";"Niveau 2";"Niveau 3";"Niveau 4"},0)-1)&gt;(MATCH(INDEX(Data_metier!$D:$D,MATCH(M$1,Data_metier!$B:$B,0)),{"Non Concerné";"Niveau 1";"Niveau 2";"Niveau 3";"Niveau 4"},0)-1),
1/6,0)+IF((MATCH(INDEX(Data_metier!$E:$E,MATCH($A28,Data_metier!$B:$B,0)),{"Non Concerné";"Niveau 1";"Niveau 2";"Niveau 3";"Niveau 4"},0)-1)&gt;(MATCH(INDEX(Data_metier!$E:$E,MATCH(M$1,Data_metier!$B:$B,0)),{"Non Concerné";"Niveau 1";"Niveau 2";"Niveau 3";"Niveau 4"},0)-1),
1/6,0))</f>
        <v>0.16666666666666666</v>
      </c>
      <c r="N28">
        <f>IF(DE_respon_transv!N28=-1,-1,
DE_respon_transv!N28+IF((MATCH(INDEX(Data_metier!$C:$C,MATCH($A28,Data_metier!$B:$B,0)),{"Non Concerné";"Niveau 1";"Niveau 2";"Niveau 3";"Niveau 4"},0)-1)&gt;(MATCH(INDEX(Data_metier!$C:$C,MATCH(N$1,Data_metier!$B:$B,0)),{"Non Concerné";"Niveau 1";"Niveau 2";"Niveau 3";"Niveau 4"},0)-1),
1/6,0)+IF((MATCH(INDEX(Data_metier!$D:$D,MATCH($A28,Data_metier!$B:$B,0)),{"Non Concerné";"Niveau 1";"Niveau 2";"Niveau 3";"Niveau 4"},0)-1)&gt;(MATCH(INDEX(Data_metier!$D:$D,MATCH(N$1,Data_metier!$B:$B,0)),{"Non Concerné";"Niveau 1";"Niveau 2";"Niveau 3";"Niveau 4"},0)-1),
1/6,0)+IF((MATCH(INDEX(Data_metier!$E:$E,MATCH($A28,Data_metier!$B:$B,0)),{"Non Concerné";"Niveau 1";"Niveau 2";"Niveau 3";"Niveau 4"},0)-1)&gt;(MATCH(INDEX(Data_metier!$E:$E,MATCH(N$1,Data_metier!$B:$B,0)),{"Non Concerné";"Niveau 1";"Niveau 2";"Niveau 3";"Niveau 4"},0)-1),
1/6,0))</f>
        <v>-1</v>
      </c>
      <c r="O28">
        <f>IF(DE_respon_transv!O28=-1,-1,
DE_respon_transv!O28+IF((MATCH(INDEX(Data_metier!$C:$C,MATCH($A28,Data_metier!$B:$B,0)),{"Non Concerné";"Niveau 1";"Niveau 2";"Niveau 3";"Niveau 4"},0)-1)&gt;(MATCH(INDEX(Data_metier!$C:$C,MATCH(O$1,Data_metier!$B:$B,0)),{"Non Concerné";"Niveau 1";"Niveau 2";"Niveau 3";"Niveau 4"},0)-1),
1/6,0)+IF((MATCH(INDEX(Data_metier!$D:$D,MATCH($A28,Data_metier!$B:$B,0)),{"Non Concerné";"Niveau 1";"Niveau 2";"Niveau 3";"Niveau 4"},0)-1)&gt;(MATCH(INDEX(Data_metier!$D:$D,MATCH(O$1,Data_metier!$B:$B,0)),{"Non Concerné";"Niveau 1";"Niveau 2";"Niveau 3";"Niveau 4"},0)-1),
1/6,0)+IF((MATCH(INDEX(Data_metier!$E:$E,MATCH($A28,Data_metier!$B:$B,0)),{"Non Concerné";"Niveau 1";"Niveau 2";"Niveau 3";"Niveau 4"},0)-1)&gt;(MATCH(INDEX(Data_metier!$E:$E,MATCH(O$1,Data_metier!$B:$B,0)),{"Non Concerné";"Niveau 1";"Niveau 2";"Niveau 3";"Niveau 4"},0)-1),
1/6,0))</f>
        <v>1</v>
      </c>
      <c r="P28">
        <f>IF(DE_respon_transv!P28=-1,-1,
DE_respon_transv!P28+IF((MATCH(INDEX(Data_metier!$C:$C,MATCH($A28,Data_metier!$B:$B,0)),{"Non Concerné";"Niveau 1";"Niveau 2";"Niveau 3";"Niveau 4"},0)-1)&gt;(MATCH(INDEX(Data_metier!$C:$C,MATCH(P$1,Data_metier!$B:$B,0)),{"Non Concerné";"Niveau 1";"Niveau 2";"Niveau 3";"Niveau 4"},0)-1),
1/6,0)+IF((MATCH(INDEX(Data_metier!$D:$D,MATCH($A28,Data_metier!$B:$B,0)),{"Non Concerné";"Niveau 1";"Niveau 2";"Niveau 3";"Niveau 4"},0)-1)&gt;(MATCH(INDEX(Data_metier!$D:$D,MATCH(P$1,Data_metier!$B:$B,0)),{"Non Concerné";"Niveau 1";"Niveau 2";"Niveau 3";"Niveau 4"},0)-1),
1/6,0)+IF((MATCH(INDEX(Data_metier!$E:$E,MATCH($A28,Data_metier!$B:$B,0)),{"Non Concerné";"Niveau 1";"Niveau 2";"Niveau 3";"Niveau 4"},0)-1)&gt;(MATCH(INDEX(Data_metier!$E:$E,MATCH(P$1,Data_metier!$B:$B,0)),{"Non Concerné";"Niveau 1";"Niveau 2";"Niveau 3";"Niveau 4"},0)-1),
1/6,0))</f>
        <v>1.3333333333333335</v>
      </c>
      <c r="Q28">
        <f>IF(DE_respon_transv!Q28=-1,-1,
DE_respon_transv!Q28+IF((MATCH(INDEX(Data_metier!$C:$C,MATCH($A28,Data_metier!$B:$B,0)),{"Non Concerné";"Niveau 1";"Niveau 2";"Niveau 3";"Niveau 4"},0)-1)&gt;(MATCH(INDEX(Data_metier!$C:$C,MATCH(Q$1,Data_metier!$B:$B,0)),{"Non Concerné";"Niveau 1";"Niveau 2";"Niveau 3";"Niveau 4"},0)-1),
1/6,0)+IF((MATCH(INDEX(Data_metier!$D:$D,MATCH($A28,Data_metier!$B:$B,0)),{"Non Concerné";"Niveau 1";"Niveau 2";"Niveau 3";"Niveau 4"},0)-1)&gt;(MATCH(INDEX(Data_metier!$D:$D,MATCH(Q$1,Data_metier!$B:$B,0)),{"Non Concerné";"Niveau 1";"Niveau 2";"Niveau 3";"Niveau 4"},0)-1),
1/6,0)+IF((MATCH(INDEX(Data_metier!$E:$E,MATCH($A28,Data_metier!$B:$B,0)),{"Non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28">
        <f>IF(DE_respon_transv!R28=-1,-1,
DE_respon_transv!R28+IF((MATCH(INDEX(Data_metier!$C:$C,MATCH($A28,Data_metier!$B:$B,0)),{"Non Concerné";"Niveau 1";"Niveau 2";"Niveau 3";"Niveau 4"},0)-1)&gt;(MATCH(INDEX(Data_metier!$C:$C,MATCH(R$1,Data_metier!$B:$B,0)),{"Non Concerné";"Niveau 1";"Niveau 2";"Niveau 3";"Niveau 4"},0)-1),
1/6,0)+IF((MATCH(INDEX(Data_metier!$D:$D,MATCH($A28,Data_metier!$B:$B,0)),{"Non Concerné";"Niveau 1";"Niveau 2";"Niveau 3";"Niveau 4"},0)-1)&gt;(MATCH(INDEX(Data_metier!$D:$D,MATCH(R$1,Data_metier!$B:$B,0)),{"Non Concerné";"Niveau 1";"Niveau 2";"Niveau 3";"Niveau 4"},0)-1),
1/6,0)+IF((MATCH(INDEX(Data_metier!$E:$E,MATCH($A28,Data_metier!$B:$B,0)),{"Non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28">
        <f>IF(DE_respon_transv!S28=-1,-1,
DE_respon_transv!S28+IF((MATCH(INDEX(Data_metier!$C:$C,MATCH($A28,Data_metier!$B:$B,0)),{"Non Concerné";"Niveau 1";"Niveau 2";"Niveau 3";"Niveau 4"},0)-1)&gt;(MATCH(INDEX(Data_metier!$C:$C,MATCH(S$1,Data_metier!$B:$B,0)),{"Non Concerné";"Niveau 1";"Niveau 2";"Niveau 3";"Niveau 4"},0)-1),
1/6,0)+IF((MATCH(INDEX(Data_metier!$D:$D,MATCH($A28,Data_metier!$B:$B,0)),{"Non Concerné";"Niveau 1";"Niveau 2";"Niveau 3";"Niveau 4"},0)-1)&gt;(MATCH(INDEX(Data_metier!$D:$D,MATCH(S$1,Data_metier!$B:$B,0)),{"Non Concerné";"Niveau 1";"Niveau 2";"Niveau 3";"Niveau 4"},0)-1),
1/6,0)+IF((MATCH(INDEX(Data_metier!$E:$E,MATCH($A28,Data_metier!$B:$B,0)),{"Non Concerné";"Niveau 1";"Niveau 2";"Niveau 3";"Niveau 4"},0)-1)&gt;(MATCH(INDEX(Data_metier!$E:$E,MATCH(S$1,Data_metier!$B:$B,0)),{"Non Concerné";"Niveau 1";"Niveau 2";"Niveau 3";"Niveau 4"},0)-1),
1/6,0))</f>
        <v>1.3333333333333335</v>
      </c>
      <c r="T28">
        <f>IF(DE_respon_transv!T28=-1,-1,
DE_respon_transv!T28+IF((MATCH(INDEX(Data_metier!$C:$C,MATCH($A28,Data_metier!$B:$B,0)),{"Non Concerné";"Niveau 1";"Niveau 2";"Niveau 3";"Niveau 4"},0)-1)&gt;(MATCH(INDEX(Data_metier!$C:$C,MATCH(T$1,Data_metier!$B:$B,0)),{"Non Concerné";"Niveau 1";"Niveau 2";"Niveau 3";"Niveau 4"},0)-1),
1/6,0)+IF((MATCH(INDEX(Data_metier!$D:$D,MATCH($A28,Data_metier!$B:$B,0)),{"Non Concerné";"Niveau 1";"Niveau 2";"Niveau 3";"Niveau 4"},0)-1)&gt;(MATCH(INDEX(Data_metier!$D:$D,MATCH(T$1,Data_metier!$B:$B,0)),{"Non Concerné";"Niveau 1";"Niveau 2";"Niveau 3";"Niveau 4"},0)-1),
1/6,0)+IF((MATCH(INDEX(Data_metier!$E:$E,MATCH($A28,Data_metier!$B:$B,0)),{"Non Concerné";"Niveau 1";"Niveau 2";"Niveau 3";"Niveau 4"},0)-1)&gt;(MATCH(INDEX(Data_metier!$E:$E,MATCH(T$1,Data_metier!$B:$B,0)),{"Non Concerné";"Niveau 1";"Niveau 2";"Niveau 3";"Niveau 4"},0)-1),
1/6,0))</f>
        <v>1.1666666666666667</v>
      </c>
      <c r="U28">
        <f>IF(DE_respon_transv!U28=-1,-1,
DE_respon_transv!U28+IF((MATCH(INDEX(Data_metier!$C:$C,MATCH($A28,Data_metier!$B:$B,0)),{"Non Concerné";"Niveau 1";"Niveau 2";"Niveau 3";"Niveau 4"},0)-1)&gt;(MATCH(INDEX(Data_metier!$C:$C,MATCH(U$1,Data_metier!$B:$B,0)),{"Non Concerné";"Niveau 1";"Niveau 2";"Niveau 3";"Niveau 4"},0)-1),
1/6,0)+IF((MATCH(INDEX(Data_metier!$D:$D,MATCH($A28,Data_metier!$B:$B,0)),{"Non Concerné";"Niveau 1";"Niveau 2";"Niveau 3";"Niveau 4"},0)-1)&gt;(MATCH(INDEX(Data_metier!$D:$D,MATCH(U$1,Data_metier!$B:$B,0)),{"Non Concerné";"Niveau 1";"Niveau 2";"Niveau 3";"Niveau 4"},0)-1),
1/6,0)+IF((MATCH(INDEX(Data_metier!$E:$E,MATCH($A28,Data_metier!$B:$B,0)),{"Non Concerné";"Niveau 1";"Niveau 2";"Niveau 3";"Niveau 4"},0)-1)&gt;(MATCH(INDEX(Data_metier!$E:$E,MATCH(U$1,Data_metier!$B:$B,0)),{"Non Concerné";"Niveau 1";"Niveau 2";"Niveau 3";"Niveau 4"},0)-1),
1/6,0))</f>
        <v>1.3333333333333335</v>
      </c>
      <c r="V28">
        <f>IF(DE_respon_transv!V28=-1,-1,
DE_respon_transv!V28+IF((MATCH(INDEX(Data_metier!$C:$C,MATCH($A28,Data_metier!$B:$B,0)),{"Non Concerné";"Niveau 1";"Niveau 2";"Niveau 3";"Niveau 4"},0)-1)&gt;(MATCH(INDEX(Data_metier!$C:$C,MATCH(V$1,Data_metier!$B:$B,0)),{"Non Concerné";"Niveau 1";"Niveau 2";"Niveau 3";"Niveau 4"},0)-1),
1/6,0)+IF((MATCH(INDEX(Data_metier!$D:$D,MATCH($A28,Data_metier!$B:$B,0)),{"Non Concerné";"Niveau 1";"Niveau 2";"Niveau 3";"Niveau 4"},0)-1)&gt;(MATCH(INDEX(Data_metier!$D:$D,MATCH(V$1,Data_metier!$B:$B,0)),{"Non Concerné";"Niveau 1";"Niveau 2";"Niveau 3";"Niveau 4"},0)-1),
1/6,0)+IF((MATCH(INDEX(Data_metier!$E:$E,MATCH($A28,Data_metier!$B:$B,0)),{"Non Concerné";"Niveau 1";"Niveau 2";"Niveau 3";"Niveau 4"},0)-1)&gt;(MATCH(INDEX(Data_metier!$E:$E,MATCH(V$1,Data_metier!$B:$B,0)),{"Non Concerné";"Niveau 1";"Niveau 2";"Niveau 3";"Niveau 4"},0)-1),
1/6,0))</f>
        <v>0</v>
      </c>
      <c r="W28">
        <f>IF(DE_respon_transv!W28=-1,-1,
DE_respon_transv!W28+IF((MATCH(INDEX(Data_metier!$C:$C,MATCH($A28,Data_metier!$B:$B,0)),{"Non Concerné";"Niveau 1";"Niveau 2";"Niveau 3";"Niveau 4"},0)-1)&gt;(MATCH(INDEX(Data_metier!$C:$C,MATCH(W$1,Data_metier!$B:$B,0)),{"Non Concerné";"Niveau 1";"Niveau 2";"Niveau 3";"Niveau 4"},0)-1),
1/6,0)+IF((MATCH(INDEX(Data_metier!$D:$D,MATCH($A28,Data_metier!$B:$B,0)),{"Non Concerné";"Niveau 1";"Niveau 2";"Niveau 3";"Niveau 4"},0)-1)&gt;(MATCH(INDEX(Data_metier!$D:$D,MATCH(W$1,Data_metier!$B:$B,0)),{"Non Concerné";"Niveau 1";"Niveau 2";"Niveau 3";"Niveau 4"},0)-1),
1/6,0)+IF((MATCH(INDEX(Data_metier!$E:$E,MATCH($A28,Data_metier!$B:$B,0)),{"Non Concerné";"Niveau 1";"Niveau 2";"Niveau 3";"Niveau 4"},0)-1)&gt;(MATCH(INDEX(Data_metier!$E:$E,MATCH(W$1,Data_metier!$B:$B,0)),{"Non Concerné";"Niveau 1";"Niveau 2";"Niveau 3";"Niveau 4"},0)-1),
1/6,0))</f>
        <v>0</v>
      </c>
      <c r="X28">
        <f>IF(DE_respon_transv!X28=-1,-1,
DE_respon_transv!X28+IF((MATCH(INDEX(Data_metier!$C:$C,MATCH($A28,Data_metier!$B:$B,0)),{"Non Concerné";"Niveau 1";"Niveau 2";"Niveau 3";"Niveau 4"},0)-1)&gt;(MATCH(INDEX(Data_metier!$C:$C,MATCH(X$1,Data_metier!$B:$B,0)),{"Non Concerné";"Niveau 1";"Niveau 2";"Niveau 3";"Niveau 4"},0)-1),
1/6,0)+IF((MATCH(INDEX(Data_metier!$D:$D,MATCH($A28,Data_metier!$B:$B,0)),{"Non Concerné";"Niveau 1";"Niveau 2";"Niveau 3";"Niveau 4"},0)-1)&gt;(MATCH(INDEX(Data_metier!$D:$D,MATCH(X$1,Data_metier!$B:$B,0)),{"Non Concerné";"Niveau 1";"Niveau 2";"Niveau 3";"Niveau 4"},0)-1),
1/6,0)+IF((MATCH(INDEX(Data_metier!$E:$E,MATCH($A28,Data_metier!$B:$B,0)),{"Non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28">
        <f>IF(DE_respon_transv!Y28=-1,-1,
DE_respon_transv!Y28+IF((MATCH(INDEX(Data_metier!$C:$C,MATCH($A28,Data_metier!$B:$B,0)),{"Non Concerné";"Niveau 1";"Niveau 2";"Niveau 3";"Niveau 4"},0)-1)&gt;(MATCH(INDEX(Data_metier!$C:$C,MATCH(Y$1,Data_metier!$B:$B,0)),{"Non Concerné";"Niveau 1";"Niveau 2";"Niveau 3";"Niveau 4"},0)-1),
1/6,0)+IF((MATCH(INDEX(Data_metier!$D:$D,MATCH($A28,Data_metier!$B:$B,0)),{"Non Concerné";"Niveau 1";"Niveau 2";"Niveau 3";"Niveau 4"},0)-1)&gt;(MATCH(INDEX(Data_metier!$D:$D,MATCH(Y$1,Data_metier!$B:$B,0)),{"Non Concerné";"Niveau 1";"Niveau 2";"Niveau 3";"Niveau 4"},0)-1),
1/6,0)+IF((MATCH(INDEX(Data_metier!$E:$E,MATCH($A28,Data_metier!$B:$B,0)),{"Non Concerné";"Niveau 1";"Niveau 2";"Niveau 3";"Niveau 4"},0)-1)&gt;(MATCH(INDEX(Data_metier!$E:$E,MATCH(Y$1,Data_metier!$B:$B,0)),{"Non Concerné";"Niveau 1";"Niveau 2";"Niveau 3";"Niveau 4"},0)-1),
1/6,0))</f>
        <v>1.3333333333333335</v>
      </c>
      <c r="Z28">
        <f>IF(DE_respon_transv!Z28=-1,-1,
DE_respon_transv!Z28+IF((MATCH(INDEX(Data_metier!$C:$C,MATCH($A28,Data_metier!$B:$B,0)),{"Non Concerné";"Niveau 1";"Niveau 2";"Niveau 3";"Niveau 4"},0)-1)&gt;(MATCH(INDEX(Data_metier!$C:$C,MATCH(Z$1,Data_metier!$B:$B,0)),{"Non Concerné";"Niveau 1";"Niveau 2";"Niveau 3";"Niveau 4"},0)-1),
1/6,0)+IF((MATCH(INDEX(Data_metier!$D:$D,MATCH($A28,Data_metier!$B:$B,0)),{"Non Concerné";"Niveau 1";"Niveau 2";"Niveau 3";"Niveau 4"},0)-1)&gt;(MATCH(INDEX(Data_metier!$D:$D,MATCH(Z$1,Data_metier!$B:$B,0)),{"Non Concerné";"Niveau 1";"Niveau 2";"Niveau 3";"Niveau 4"},0)-1),
1/6,0)+IF((MATCH(INDEX(Data_metier!$E:$E,MATCH($A28,Data_metier!$B:$B,0)),{"Non Concerné";"Niveau 1";"Niveau 2";"Niveau 3";"Niveau 4"},0)-1)&gt;(MATCH(INDEX(Data_metier!$E:$E,MATCH(Z$1,Data_metier!$B:$B,0)),{"Non Concerné";"Niveau 1";"Niveau 2";"Niveau 3";"Niveau 4"},0)-1),
1/6,0))</f>
        <v>1.3333333333333335</v>
      </c>
      <c r="AA28">
        <f>IF(DE_respon_transv!AA28=-1,-1,
DE_respon_transv!AA28+IF((MATCH(INDEX(Data_metier!$C:$C,MATCH($A28,Data_metier!$B:$B,0)),{"Non Concerné";"Niveau 1";"Niveau 2";"Niveau 3";"Niveau 4"},0)-1)&gt;(MATCH(INDEX(Data_metier!$C:$C,MATCH(AA$1,Data_metier!$B:$B,0)),{"Non Concerné";"Niveau 1";"Niveau 2";"Niveau 3";"Niveau 4"},0)-1),
1/6,0)+IF((MATCH(INDEX(Data_metier!$D:$D,MATCH($A28,Data_metier!$B:$B,0)),{"Non Concerné";"Niveau 1";"Niveau 2";"Niveau 3";"Niveau 4"},0)-1)&gt;(MATCH(INDEX(Data_metier!$D:$D,MATCH(AA$1,Data_metier!$B:$B,0)),{"Non Concerné";"Niveau 1";"Niveau 2";"Niveau 3";"Niveau 4"},0)-1),
1/6,0)+IF((MATCH(INDEX(Data_metier!$E:$E,MATCH($A28,Data_metier!$B:$B,0)),{"Non Concerné";"Niveau 1";"Niveau 2";"Niveau 3";"Niveau 4"},0)-1)&gt;(MATCH(INDEX(Data_metier!$E:$E,MATCH(AA$1,Data_metier!$B:$B,0)),{"Non Concerné";"Niveau 1";"Niveau 2";"Niveau 3";"Niveau 4"},0)-1),
1/6,0))</f>
        <v>1.3333333333333335</v>
      </c>
      <c r="AB28">
        <f>IF(DE_respon_transv!AB28=-1,-1,
DE_respon_transv!AB28+IF((MATCH(INDEX(Data_metier!$C:$C,MATCH($A28,Data_metier!$B:$B,0)),{"Non Concerné";"Niveau 1";"Niveau 2";"Niveau 3";"Niveau 4"},0)-1)&gt;(MATCH(INDEX(Data_metier!$C:$C,MATCH(AB$1,Data_metier!$B:$B,0)),{"Non Concerné";"Niveau 1";"Niveau 2";"Niveau 3";"Niveau 4"},0)-1),
1/6,0)+IF((MATCH(INDEX(Data_metier!$D:$D,MATCH($A28,Data_metier!$B:$B,0)),{"Non Concerné";"Niveau 1";"Niveau 2";"Niveau 3";"Niveau 4"},0)-1)&gt;(MATCH(INDEX(Data_metier!$D:$D,MATCH(AB$1,Data_metier!$B:$B,0)),{"Non Concerné";"Niveau 1";"Niveau 2";"Niveau 3";"Niveau 4"},0)-1),
1/6,0)+IF((MATCH(INDEX(Data_metier!$E:$E,MATCH($A28,Data_metier!$B:$B,0)),{"Non Concerné";"Niveau 1";"Niveau 2";"Niveau 3";"Niveau 4"},0)-1)&gt;(MATCH(INDEX(Data_metier!$E:$E,MATCH(AB$1,Data_metier!$B:$B,0)),{"Non Concerné";"Niveau 1";"Niveau 2";"Niveau 3";"Niveau 4"},0)-1),
1/6,0))</f>
        <v>0</v>
      </c>
      <c r="AC28">
        <f>IF(DE_respon_transv!AC28=-1,-1,
DE_respon_transv!AC28+IF((MATCH(INDEX(Data_metier!$C:$C,MATCH($A28,Data_metier!$B:$B,0)),{"Non Concerné";"Niveau 1";"Niveau 2";"Niveau 3";"Niveau 4"},0)-1)&gt;(MATCH(INDEX(Data_metier!$C:$C,MATCH(AC$1,Data_metier!$B:$B,0)),{"Non Concerné";"Niveau 1";"Niveau 2";"Niveau 3";"Niveau 4"},0)-1),
1/6,0)+IF((MATCH(INDEX(Data_metier!$D:$D,MATCH($A28,Data_metier!$B:$B,0)),{"Non Concerné";"Niveau 1";"Niveau 2";"Niveau 3";"Niveau 4"},0)-1)&gt;(MATCH(INDEX(Data_metier!$D:$D,MATCH(AC$1,Data_metier!$B:$B,0)),{"Non Concerné";"Niveau 1";"Niveau 2";"Niveau 3";"Niveau 4"},0)-1),
1/6,0)+IF((MATCH(INDEX(Data_metier!$E:$E,MATCH($A28,Data_metier!$B:$B,0)),{"Non Concerné";"Niveau 1";"Niveau 2";"Niveau 3";"Niveau 4"},0)-1)&gt;(MATCH(INDEX(Data_metier!$E:$E,MATCH(AC$1,Data_metier!$B:$B,0)),{"Non Concerné";"Niveau 1";"Niveau 2";"Niveau 3";"Niveau 4"},0)-1),
1/6,0))</f>
        <v>0</v>
      </c>
      <c r="AD28">
        <f>IF(DE_respon_transv!AD28=-1,-1,
DE_respon_transv!AD28+IF((MATCH(INDEX(Data_metier!$C:$C,MATCH($A28,Data_metier!$B:$B,0)),{"Non Concerné";"Niveau 1";"Niveau 2";"Niveau 3";"Niveau 4"},0)-1)&gt;(MATCH(INDEX(Data_metier!$C:$C,MATCH(AD$1,Data_metier!$B:$B,0)),{"Non Concerné";"Niveau 1";"Niveau 2";"Niveau 3";"Niveau 4"},0)-1),
1/6,0)+IF((MATCH(INDEX(Data_metier!$D:$D,MATCH($A28,Data_metier!$B:$B,0)),{"Non Concerné";"Niveau 1";"Niveau 2";"Niveau 3";"Niveau 4"},0)-1)&gt;(MATCH(INDEX(Data_metier!$D:$D,MATCH(AD$1,Data_metier!$B:$B,0)),{"Non Concerné";"Niveau 1";"Niveau 2";"Niveau 3";"Niveau 4"},0)-1),
1/6,0)+IF((MATCH(INDEX(Data_metier!$E:$E,MATCH($A28,Data_metier!$B:$B,0)),{"Non Concerné";"Niveau 1";"Niveau 2";"Niveau 3";"Niveau 4"},0)-1)&gt;(MATCH(INDEX(Data_metier!$E:$E,MATCH(AD$1,Data_metier!$B:$B,0)),{"Non Concerné";"Niveau 1";"Niveau 2";"Niveau 3";"Niveau 4"},0)-1),
1/6,0))</f>
        <v>-1</v>
      </c>
    </row>
    <row r="29" spans="1:30">
      <c r="A29" t="str">
        <v>Mécanicien(ne)-sertisseur(euse)</v>
      </c>
      <c r="B29">
        <f>IF(DE_respon_transv!B29=-1,-1,
DE_respon_transv!B29+IF((MATCH(INDEX(Data_metier!$C:$C,MATCH($A29,Data_metier!$B:$B,0)),{"Non Concerné";"Niveau 1";"Niveau 2";"Niveau 3";"Niveau 4"},0)-1)&gt;(MATCH(INDEX(Data_metier!$C:$C,MATCH(B$1,Data_metier!$B:$B,0)),{"Non Concerné";"Niveau 1";"Niveau 2";"Niveau 3";"Niveau 4"},0)-1),
1/6,0)+IF((MATCH(INDEX(Data_metier!$D:$D,MATCH($A29,Data_metier!$B:$B,0)),{"Non Concerné";"Niveau 1";"Niveau 2";"Niveau 3";"Niveau 4"},0)-1)&gt;(MATCH(INDEX(Data_metier!$D:$D,MATCH(B$1,Data_metier!$B:$B,0)),{"Non Concerné";"Niveau 1";"Niveau 2";"Niveau 3";"Niveau 4"},0)-1),
1/6,0)+IF((MATCH(INDEX(Data_metier!$E:$E,MATCH($A29,Data_metier!$B:$B,0)),{"Non Concerné";"Niveau 1";"Niveau 2";"Niveau 3";"Niveau 4"},0)-1)&gt;(MATCH(INDEX(Data_metier!$E:$E,MATCH(B$1,Data_metier!$B:$B,0)),{"Non Concerné";"Niveau 1";"Niveau 2";"Niveau 3";"Niveau 4"},0)-1),
1/6,0))</f>
        <v>0.33333333333333331</v>
      </c>
      <c r="C29">
        <f>IF(DE_respon_transv!C29=-1,-1,
DE_respon_transv!C29+IF((MATCH(INDEX(Data_metier!$C:$C,MATCH($A29,Data_metier!$B:$B,0)),{"Non Concerné";"Niveau 1";"Niveau 2";"Niveau 3";"Niveau 4"},0)-1)&gt;(MATCH(INDEX(Data_metier!$C:$C,MATCH(C$1,Data_metier!$B:$B,0)),{"Non Concerné";"Niveau 1";"Niveau 2";"Niveau 3";"Niveau 4"},0)-1),
1/6,0)+IF((MATCH(INDEX(Data_metier!$D:$D,MATCH($A29,Data_metier!$B:$B,0)),{"Non Concerné";"Niveau 1";"Niveau 2";"Niveau 3";"Niveau 4"},0)-1)&gt;(MATCH(INDEX(Data_metier!$D:$D,MATCH(C$1,Data_metier!$B:$B,0)),{"Non Concerné";"Niveau 1";"Niveau 2";"Niveau 3";"Niveau 4"},0)-1),
1/6,0)+IF((MATCH(INDEX(Data_metier!$E:$E,MATCH($A29,Data_metier!$B:$B,0)),{"Non Concerné";"Niveau 1";"Niveau 2";"Niveau 3";"Niveau 4"},0)-1)&gt;(MATCH(INDEX(Data_metier!$E:$E,MATCH(C$1,Data_metier!$B:$B,0)),{"Non Concerné";"Niveau 1";"Niveau 2";"Niveau 3";"Niveau 4"},0)-1),
1/6,0))</f>
        <v>0</v>
      </c>
      <c r="D29">
        <f>IF(DE_respon_transv!D29=-1,-1,
DE_respon_transv!D29+IF((MATCH(INDEX(Data_metier!$C:$C,MATCH($A29,Data_metier!$B:$B,0)),{"Non Concerné";"Niveau 1";"Niveau 2";"Niveau 3";"Niveau 4"},0)-1)&gt;(MATCH(INDEX(Data_metier!$C:$C,MATCH(D$1,Data_metier!$B:$B,0)),{"Non Concerné";"Niveau 1";"Niveau 2";"Niveau 3";"Niveau 4"},0)-1),
1/6,0)+IF((MATCH(INDEX(Data_metier!$D:$D,MATCH($A29,Data_metier!$B:$B,0)),{"Non Concerné";"Niveau 1";"Niveau 2";"Niveau 3";"Niveau 4"},0)-1)&gt;(MATCH(INDEX(Data_metier!$D:$D,MATCH(D$1,Data_metier!$B:$B,0)),{"Non Concerné";"Niveau 1";"Niveau 2";"Niveau 3";"Niveau 4"},0)-1),
1/6,0)+IF((MATCH(INDEX(Data_metier!$E:$E,MATCH($A29,Data_metier!$B:$B,0)),{"Non Concerné";"Niveau 1";"Niveau 2";"Niveau 3";"Niveau 4"},0)-1)&gt;(MATCH(INDEX(Data_metier!$E:$E,MATCH(D$1,Data_metier!$B:$B,0)),{"Non Concerné";"Niveau 1";"Niveau 2";"Niveau 3";"Niveau 4"},0)-1),
1/6,0))</f>
        <v>1.3333333333333335</v>
      </c>
      <c r="E29">
        <f>IF(DE_respon_transv!E29=-1,-1,
DE_respon_transv!E29+IF((MATCH(INDEX(Data_metier!$C:$C,MATCH($A29,Data_metier!$B:$B,0)),{"Non Concerné";"Niveau 1";"Niveau 2";"Niveau 3";"Niveau 4"},0)-1)&gt;(MATCH(INDEX(Data_metier!$C:$C,MATCH(E$1,Data_metier!$B:$B,0)),{"Non Concerné";"Niveau 1";"Niveau 2";"Niveau 3";"Niveau 4"},0)-1),
1/6,0)+IF((MATCH(INDEX(Data_metier!$D:$D,MATCH($A29,Data_metier!$B:$B,0)),{"Non Concerné";"Niveau 1";"Niveau 2";"Niveau 3";"Niveau 4"},0)-1)&gt;(MATCH(INDEX(Data_metier!$D:$D,MATCH(E$1,Data_metier!$B:$B,0)),{"Non Concerné";"Niveau 1";"Niveau 2";"Niveau 3";"Niveau 4"},0)-1),
1/6,0)+IF((MATCH(INDEX(Data_metier!$E:$E,MATCH($A29,Data_metier!$B:$B,0)),{"Non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29">
        <f>IF(DE_respon_transv!F29=-1,-1,
DE_respon_transv!F29+IF((MATCH(INDEX(Data_metier!$C:$C,MATCH($A29,Data_metier!$B:$B,0)),{"Non Concerné";"Niveau 1";"Niveau 2";"Niveau 3";"Niveau 4"},0)-1)&gt;(MATCH(INDEX(Data_metier!$C:$C,MATCH(F$1,Data_metier!$B:$B,0)),{"Non Concerné";"Niveau 1";"Niveau 2";"Niveau 3";"Niveau 4"},0)-1),
1/6,0)+IF((MATCH(INDEX(Data_metier!$D:$D,MATCH($A29,Data_metier!$B:$B,0)),{"Non Concerné";"Niveau 1";"Niveau 2";"Niveau 3";"Niveau 4"},0)-1)&gt;(MATCH(INDEX(Data_metier!$D:$D,MATCH(F$1,Data_metier!$B:$B,0)),{"Non Concerné";"Niveau 1";"Niveau 2";"Niveau 3";"Niveau 4"},0)-1),
1/6,0)+IF((MATCH(INDEX(Data_metier!$E:$E,MATCH($A29,Data_metier!$B:$B,0)),{"Non Concerné";"Niveau 1";"Niveau 2";"Niveau 3";"Niveau 4"},0)-1)&gt;(MATCH(INDEX(Data_metier!$E:$E,MATCH(F$1,Data_metier!$B:$B,0)),{"Non Concerné";"Niveau 1";"Niveau 2";"Niveau 3";"Niveau 4"},0)-1),
1/6,0))</f>
        <v>-1</v>
      </c>
      <c r="G29">
        <f>IF(DE_respon_transv!G29=-1,-1,
DE_respon_transv!G29+IF((MATCH(INDEX(Data_metier!$C:$C,MATCH($A29,Data_metier!$B:$B,0)),{"Non Concerné";"Niveau 1";"Niveau 2";"Niveau 3";"Niveau 4"},0)-1)&gt;(MATCH(INDEX(Data_metier!$C:$C,MATCH(G$1,Data_metier!$B:$B,0)),{"Non Concerné";"Niveau 1";"Niveau 2";"Niveau 3";"Niveau 4"},0)-1),
1/6,0)+IF((MATCH(INDEX(Data_metier!$D:$D,MATCH($A29,Data_metier!$B:$B,0)),{"Non Concerné";"Niveau 1";"Niveau 2";"Niveau 3";"Niveau 4"},0)-1)&gt;(MATCH(INDEX(Data_metier!$D:$D,MATCH(G$1,Data_metier!$B:$B,0)),{"Non Concerné";"Niveau 1";"Niveau 2";"Niveau 3";"Niveau 4"},0)-1),
1/6,0)+IF((MATCH(INDEX(Data_metier!$E:$E,MATCH($A29,Data_metier!$B:$B,0)),{"Non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29">
        <f>IF(DE_respon_transv!H29=-1,-1,
DE_respon_transv!H29+IF((MATCH(INDEX(Data_metier!$C:$C,MATCH($A29,Data_metier!$B:$B,0)),{"Non Concerné";"Niveau 1";"Niveau 2";"Niveau 3";"Niveau 4"},0)-1)&gt;(MATCH(INDEX(Data_metier!$C:$C,MATCH(H$1,Data_metier!$B:$B,0)),{"Non Concerné";"Niveau 1";"Niveau 2";"Niveau 3";"Niveau 4"},0)-1),
1/6,0)+IF((MATCH(INDEX(Data_metier!$D:$D,MATCH($A29,Data_metier!$B:$B,0)),{"Non Concerné";"Niveau 1";"Niveau 2";"Niveau 3";"Niveau 4"},0)-1)&gt;(MATCH(INDEX(Data_metier!$D:$D,MATCH(H$1,Data_metier!$B:$B,0)),{"Non Concerné";"Niveau 1";"Niveau 2";"Niveau 3";"Niveau 4"},0)-1),
1/6,0)+IF((MATCH(INDEX(Data_metier!$E:$E,MATCH($A29,Data_metier!$B:$B,0)),{"Non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29">
        <f>IF(DE_respon_transv!I29=-1,-1,
DE_respon_transv!I29+IF((MATCH(INDEX(Data_metier!$C:$C,MATCH($A29,Data_metier!$B:$B,0)),{"Non Concerné";"Niveau 1";"Niveau 2";"Niveau 3";"Niveau 4"},0)-1)&gt;(MATCH(INDEX(Data_metier!$C:$C,MATCH(I$1,Data_metier!$B:$B,0)),{"Non Concerné";"Niveau 1";"Niveau 2";"Niveau 3";"Niveau 4"},0)-1),
1/6,0)+IF((MATCH(INDEX(Data_metier!$D:$D,MATCH($A29,Data_metier!$B:$B,0)),{"Non Concerné";"Niveau 1";"Niveau 2";"Niveau 3";"Niveau 4"},0)-1)&gt;(MATCH(INDEX(Data_metier!$D:$D,MATCH(I$1,Data_metier!$B:$B,0)),{"Non Concerné";"Niveau 1";"Niveau 2";"Niveau 3";"Niveau 4"},0)-1),
1/6,0)+IF((MATCH(INDEX(Data_metier!$E:$E,MATCH($A29,Data_metier!$B:$B,0)),{"Non Concerné";"Niveau 1";"Niveau 2";"Niveau 3";"Niveau 4"},0)-1)&gt;(MATCH(INDEX(Data_metier!$E:$E,MATCH(I$1,Data_metier!$B:$B,0)),{"Non Concerné";"Niveau 1";"Niveau 2";"Niveau 3";"Niveau 4"},0)-1),
1/6,0))</f>
        <v>1.3333333333333335</v>
      </c>
      <c r="J29">
        <f>IF(DE_respon_transv!J29=-1,-1,
DE_respon_transv!J29+IF((MATCH(INDEX(Data_metier!$C:$C,MATCH($A29,Data_metier!$B:$B,0)),{"Non Concerné";"Niveau 1";"Niveau 2";"Niveau 3";"Niveau 4"},0)-1)&gt;(MATCH(INDEX(Data_metier!$C:$C,MATCH(J$1,Data_metier!$B:$B,0)),{"Non Concerné";"Niveau 1";"Niveau 2";"Niveau 3";"Niveau 4"},0)-1),
1/6,0)+IF((MATCH(INDEX(Data_metier!$D:$D,MATCH($A29,Data_metier!$B:$B,0)),{"Non Concerné";"Niveau 1";"Niveau 2";"Niveau 3";"Niveau 4"},0)-1)&gt;(MATCH(INDEX(Data_metier!$D:$D,MATCH(J$1,Data_metier!$B:$B,0)),{"Non Concerné";"Niveau 1";"Niveau 2";"Niveau 3";"Niveau 4"},0)-1),
1/6,0)+IF((MATCH(INDEX(Data_metier!$E:$E,MATCH($A29,Data_metier!$B:$B,0)),{"Non Concerné";"Niveau 1";"Niveau 2";"Niveau 3";"Niveau 4"},0)-1)&gt;(MATCH(INDEX(Data_metier!$E:$E,MATCH(J$1,Data_metier!$B:$B,0)),{"Non Concerné";"Niveau 1";"Niveau 2";"Niveau 3";"Niveau 4"},0)-1),
1/6,0))</f>
        <v>-1</v>
      </c>
      <c r="K29">
        <f>IF(DE_respon_transv!K29=-1,-1,
DE_respon_transv!K29+IF((MATCH(INDEX(Data_metier!$C:$C,MATCH($A29,Data_metier!$B:$B,0)),{"Non Concerné";"Niveau 1";"Niveau 2";"Niveau 3";"Niveau 4"},0)-1)&gt;(MATCH(INDEX(Data_metier!$C:$C,MATCH(K$1,Data_metier!$B:$B,0)),{"Non Concerné";"Niveau 1";"Niveau 2";"Niveau 3";"Niveau 4"},0)-1),
1/6,0)+IF((MATCH(INDEX(Data_metier!$D:$D,MATCH($A29,Data_metier!$B:$B,0)),{"Non Concerné";"Niveau 1";"Niveau 2";"Niveau 3";"Niveau 4"},0)-1)&gt;(MATCH(INDEX(Data_metier!$D:$D,MATCH(K$1,Data_metier!$B:$B,0)),{"Non Concerné";"Niveau 1";"Niveau 2";"Niveau 3";"Niveau 4"},0)-1),
1/6,0)+IF((MATCH(INDEX(Data_metier!$E:$E,MATCH($A29,Data_metier!$B:$B,0)),{"Non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29">
        <f>IF(DE_respon_transv!L29=-1,-1,
DE_respon_transv!L29+IF((MATCH(INDEX(Data_metier!$C:$C,MATCH($A29,Data_metier!$B:$B,0)),{"Non Concerné";"Niveau 1";"Niveau 2";"Niveau 3";"Niveau 4"},0)-1)&gt;(MATCH(INDEX(Data_metier!$C:$C,MATCH(L$1,Data_metier!$B:$B,0)),{"Non Concerné";"Niveau 1";"Niveau 2";"Niveau 3";"Niveau 4"},0)-1),
1/6,0)+IF((MATCH(INDEX(Data_metier!$D:$D,MATCH($A29,Data_metier!$B:$B,0)),{"Non Concerné";"Niveau 1";"Niveau 2";"Niveau 3";"Niveau 4"},0)-1)&gt;(MATCH(INDEX(Data_metier!$D:$D,MATCH(L$1,Data_metier!$B:$B,0)),{"Non Concerné";"Niveau 1";"Niveau 2";"Niveau 3";"Niveau 4"},0)-1),
1/6,0)+IF((MATCH(INDEX(Data_metier!$E:$E,MATCH($A29,Data_metier!$B:$B,0)),{"Non Concerné";"Niveau 1";"Niveau 2";"Niveau 3";"Niveau 4"},0)-1)&gt;(MATCH(INDEX(Data_metier!$E:$E,MATCH(L$1,Data_metier!$B:$B,0)),{"Non Concerné";"Niveau 1";"Niveau 2";"Niveau 3";"Niveau 4"},0)-1),
1/6,0))</f>
        <v>1</v>
      </c>
      <c r="M29">
        <f>IF(DE_respon_transv!M29=-1,-1,
DE_respon_transv!M29+IF((MATCH(INDEX(Data_metier!$C:$C,MATCH($A29,Data_metier!$B:$B,0)),{"Non Concerné";"Niveau 1";"Niveau 2";"Niveau 3";"Niveau 4"},0)-1)&gt;(MATCH(INDEX(Data_metier!$C:$C,MATCH(M$1,Data_metier!$B:$B,0)),{"Non Concerné";"Niveau 1";"Niveau 2";"Niveau 3";"Niveau 4"},0)-1),
1/6,0)+IF((MATCH(INDEX(Data_metier!$D:$D,MATCH($A29,Data_metier!$B:$B,0)),{"Non Concerné";"Niveau 1";"Niveau 2";"Niveau 3";"Niveau 4"},0)-1)&gt;(MATCH(INDEX(Data_metier!$D:$D,MATCH(M$1,Data_metier!$B:$B,0)),{"Non Concerné";"Niveau 1";"Niveau 2";"Niveau 3";"Niveau 4"},0)-1),
1/6,0)+IF((MATCH(INDEX(Data_metier!$E:$E,MATCH($A29,Data_metier!$B:$B,0)),{"Non Concerné";"Niveau 1";"Niveau 2";"Niveau 3";"Niveau 4"},0)-1)&gt;(MATCH(INDEX(Data_metier!$E:$E,MATCH(M$1,Data_metier!$B:$B,0)),{"Non Concerné";"Niveau 1";"Niveau 2";"Niveau 3";"Niveau 4"},0)-1),
1/6,0))</f>
        <v>0.16666666666666666</v>
      </c>
      <c r="N29">
        <f>IF(DE_respon_transv!N29=-1,-1,
DE_respon_transv!N29+IF((MATCH(INDEX(Data_metier!$C:$C,MATCH($A29,Data_metier!$B:$B,0)),{"Non Concerné";"Niveau 1";"Niveau 2";"Niveau 3";"Niveau 4"},0)-1)&gt;(MATCH(INDEX(Data_metier!$C:$C,MATCH(N$1,Data_metier!$B:$B,0)),{"Non Concerné";"Niveau 1";"Niveau 2";"Niveau 3";"Niveau 4"},0)-1),
1/6,0)+IF((MATCH(INDEX(Data_metier!$D:$D,MATCH($A29,Data_metier!$B:$B,0)),{"Non Concerné";"Niveau 1";"Niveau 2";"Niveau 3";"Niveau 4"},0)-1)&gt;(MATCH(INDEX(Data_metier!$D:$D,MATCH(N$1,Data_metier!$B:$B,0)),{"Non Concerné";"Niveau 1";"Niveau 2";"Niveau 3";"Niveau 4"},0)-1),
1/6,0)+IF((MATCH(INDEX(Data_metier!$E:$E,MATCH($A29,Data_metier!$B:$B,0)),{"Non Concerné";"Niveau 1";"Niveau 2";"Niveau 3";"Niveau 4"},0)-1)&gt;(MATCH(INDEX(Data_metier!$E:$E,MATCH(N$1,Data_metier!$B:$B,0)),{"Non Concerné";"Niveau 1";"Niveau 2";"Niveau 3";"Niveau 4"},0)-1),
1/6,0))</f>
        <v>-1</v>
      </c>
      <c r="O29">
        <f>IF(DE_respon_transv!O29=-1,-1,
DE_respon_transv!O29+IF((MATCH(INDEX(Data_metier!$C:$C,MATCH($A29,Data_metier!$B:$B,0)),{"Non Concerné";"Niveau 1";"Niveau 2";"Niveau 3";"Niveau 4"},0)-1)&gt;(MATCH(INDEX(Data_metier!$C:$C,MATCH(O$1,Data_metier!$B:$B,0)),{"Non Concerné";"Niveau 1";"Niveau 2";"Niveau 3";"Niveau 4"},0)-1),
1/6,0)+IF((MATCH(INDEX(Data_metier!$D:$D,MATCH($A29,Data_metier!$B:$B,0)),{"Non Concerné";"Niveau 1";"Niveau 2";"Niveau 3";"Niveau 4"},0)-1)&gt;(MATCH(INDEX(Data_metier!$D:$D,MATCH(O$1,Data_metier!$B:$B,0)),{"Non Concerné";"Niveau 1";"Niveau 2";"Niveau 3";"Niveau 4"},0)-1),
1/6,0)+IF((MATCH(INDEX(Data_metier!$E:$E,MATCH($A29,Data_metier!$B:$B,0)),{"Non Concerné";"Niveau 1";"Niveau 2";"Niveau 3";"Niveau 4"},0)-1)&gt;(MATCH(INDEX(Data_metier!$E:$E,MATCH(O$1,Data_metier!$B:$B,0)),{"Non Concerné";"Niveau 1";"Niveau 2";"Niveau 3";"Niveau 4"},0)-1),
1/6,0))</f>
        <v>1</v>
      </c>
      <c r="P29">
        <f>IF(DE_respon_transv!P29=-1,-1,
DE_respon_transv!P29+IF((MATCH(INDEX(Data_metier!$C:$C,MATCH($A29,Data_metier!$B:$B,0)),{"Non Concerné";"Niveau 1";"Niveau 2";"Niveau 3";"Niveau 4"},0)-1)&gt;(MATCH(INDEX(Data_metier!$C:$C,MATCH(P$1,Data_metier!$B:$B,0)),{"Non Concerné";"Niveau 1";"Niveau 2";"Niveau 3";"Niveau 4"},0)-1),
1/6,0)+IF((MATCH(INDEX(Data_metier!$D:$D,MATCH($A29,Data_metier!$B:$B,0)),{"Non Concerné";"Niveau 1";"Niveau 2";"Niveau 3";"Niveau 4"},0)-1)&gt;(MATCH(INDEX(Data_metier!$D:$D,MATCH(P$1,Data_metier!$B:$B,0)),{"Non Concerné";"Niveau 1";"Niveau 2";"Niveau 3";"Niveau 4"},0)-1),
1/6,0)+IF((MATCH(INDEX(Data_metier!$E:$E,MATCH($A29,Data_metier!$B:$B,0)),{"Non Concerné";"Niveau 1";"Niveau 2";"Niveau 3";"Niveau 4"},0)-1)&gt;(MATCH(INDEX(Data_metier!$E:$E,MATCH(P$1,Data_metier!$B:$B,0)),{"Non Concerné";"Niveau 1";"Niveau 2";"Niveau 3";"Niveau 4"},0)-1),
1/6,0))</f>
        <v>1.3333333333333335</v>
      </c>
      <c r="Q29">
        <f>IF(DE_respon_transv!Q29=-1,-1,
DE_respon_transv!Q29+IF((MATCH(INDEX(Data_metier!$C:$C,MATCH($A29,Data_metier!$B:$B,0)),{"Non Concerné";"Niveau 1";"Niveau 2";"Niveau 3";"Niveau 4"},0)-1)&gt;(MATCH(INDEX(Data_metier!$C:$C,MATCH(Q$1,Data_metier!$B:$B,0)),{"Non Concerné";"Niveau 1";"Niveau 2";"Niveau 3";"Niveau 4"},0)-1),
1/6,0)+IF((MATCH(INDEX(Data_metier!$D:$D,MATCH($A29,Data_metier!$B:$B,0)),{"Non Concerné";"Niveau 1";"Niveau 2";"Niveau 3";"Niveau 4"},0)-1)&gt;(MATCH(INDEX(Data_metier!$D:$D,MATCH(Q$1,Data_metier!$B:$B,0)),{"Non Concerné";"Niveau 1";"Niveau 2";"Niveau 3";"Niveau 4"},0)-1),
1/6,0)+IF((MATCH(INDEX(Data_metier!$E:$E,MATCH($A29,Data_metier!$B:$B,0)),{"Non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29">
        <f>IF(DE_respon_transv!R29=-1,-1,
DE_respon_transv!R29+IF((MATCH(INDEX(Data_metier!$C:$C,MATCH($A29,Data_metier!$B:$B,0)),{"Non Concerné";"Niveau 1";"Niveau 2";"Niveau 3";"Niveau 4"},0)-1)&gt;(MATCH(INDEX(Data_metier!$C:$C,MATCH(R$1,Data_metier!$B:$B,0)),{"Non Concerné";"Niveau 1";"Niveau 2";"Niveau 3";"Niveau 4"},0)-1),
1/6,0)+IF((MATCH(INDEX(Data_metier!$D:$D,MATCH($A29,Data_metier!$B:$B,0)),{"Non Concerné";"Niveau 1";"Niveau 2";"Niveau 3";"Niveau 4"},0)-1)&gt;(MATCH(INDEX(Data_metier!$D:$D,MATCH(R$1,Data_metier!$B:$B,0)),{"Non Concerné";"Niveau 1";"Niveau 2";"Niveau 3";"Niveau 4"},0)-1),
1/6,0)+IF((MATCH(INDEX(Data_metier!$E:$E,MATCH($A29,Data_metier!$B:$B,0)),{"Non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29">
        <f>IF(DE_respon_transv!S29=-1,-1,
DE_respon_transv!S29+IF((MATCH(INDEX(Data_metier!$C:$C,MATCH($A29,Data_metier!$B:$B,0)),{"Non Concerné";"Niveau 1";"Niveau 2";"Niveau 3";"Niveau 4"},0)-1)&gt;(MATCH(INDEX(Data_metier!$C:$C,MATCH(S$1,Data_metier!$B:$B,0)),{"Non Concerné";"Niveau 1";"Niveau 2";"Niveau 3";"Niveau 4"},0)-1),
1/6,0)+IF((MATCH(INDEX(Data_metier!$D:$D,MATCH($A29,Data_metier!$B:$B,0)),{"Non Concerné";"Niveau 1";"Niveau 2";"Niveau 3";"Niveau 4"},0)-1)&gt;(MATCH(INDEX(Data_metier!$D:$D,MATCH(S$1,Data_metier!$B:$B,0)),{"Non Concerné";"Niveau 1";"Niveau 2";"Niveau 3";"Niveau 4"},0)-1),
1/6,0)+IF((MATCH(INDEX(Data_metier!$E:$E,MATCH($A29,Data_metier!$B:$B,0)),{"Non Concerné";"Niveau 1";"Niveau 2";"Niveau 3";"Niveau 4"},0)-1)&gt;(MATCH(INDEX(Data_metier!$E:$E,MATCH(S$1,Data_metier!$B:$B,0)),{"Non Concerné";"Niveau 1";"Niveau 2";"Niveau 3";"Niveau 4"},0)-1),
1/6,0))</f>
        <v>1.3333333333333335</v>
      </c>
      <c r="T29">
        <f>IF(DE_respon_transv!T29=-1,-1,
DE_respon_transv!T29+IF((MATCH(INDEX(Data_metier!$C:$C,MATCH($A29,Data_metier!$B:$B,0)),{"Non Concerné";"Niveau 1";"Niveau 2";"Niveau 3";"Niveau 4"},0)-1)&gt;(MATCH(INDEX(Data_metier!$C:$C,MATCH(T$1,Data_metier!$B:$B,0)),{"Non Concerné";"Niveau 1";"Niveau 2";"Niveau 3";"Niveau 4"},0)-1),
1/6,0)+IF((MATCH(INDEX(Data_metier!$D:$D,MATCH($A29,Data_metier!$B:$B,0)),{"Non Concerné";"Niveau 1";"Niveau 2";"Niveau 3";"Niveau 4"},0)-1)&gt;(MATCH(INDEX(Data_metier!$D:$D,MATCH(T$1,Data_metier!$B:$B,0)),{"Non Concerné";"Niveau 1";"Niveau 2";"Niveau 3";"Niveau 4"},0)-1),
1/6,0)+IF((MATCH(INDEX(Data_metier!$E:$E,MATCH($A29,Data_metier!$B:$B,0)),{"Non Concerné";"Niveau 1";"Niveau 2";"Niveau 3";"Niveau 4"},0)-1)&gt;(MATCH(INDEX(Data_metier!$E:$E,MATCH(T$1,Data_metier!$B:$B,0)),{"Non Concerné";"Niveau 1";"Niveau 2";"Niveau 3";"Niveau 4"},0)-1),
1/6,0))</f>
        <v>1.1666666666666667</v>
      </c>
      <c r="U29">
        <f>IF(DE_respon_transv!U29=-1,-1,
DE_respon_transv!U29+IF((MATCH(INDEX(Data_metier!$C:$C,MATCH($A29,Data_metier!$B:$B,0)),{"Non Concerné";"Niveau 1";"Niveau 2";"Niveau 3";"Niveau 4"},0)-1)&gt;(MATCH(INDEX(Data_metier!$C:$C,MATCH(U$1,Data_metier!$B:$B,0)),{"Non Concerné";"Niveau 1";"Niveau 2";"Niveau 3";"Niveau 4"},0)-1),
1/6,0)+IF((MATCH(INDEX(Data_metier!$D:$D,MATCH($A29,Data_metier!$B:$B,0)),{"Non Concerné";"Niveau 1";"Niveau 2";"Niveau 3";"Niveau 4"},0)-1)&gt;(MATCH(INDEX(Data_metier!$D:$D,MATCH(U$1,Data_metier!$B:$B,0)),{"Non Concerné";"Niveau 1";"Niveau 2";"Niveau 3";"Niveau 4"},0)-1),
1/6,0)+IF((MATCH(INDEX(Data_metier!$E:$E,MATCH($A29,Data_metier!$B:$B,0)),{"Non Concerné";"Niveau 1";"Niveau 2";"Niveau 3";"Niveau 4"},0)-1)&gt;(MATCH(INDEX(Data_metier!$E:$E,MATCH(U$1,Data_metier!$B:$B,0)),{"Non Concerné";"Niveau 1";"Niveau 2";"Niveau 3";"Niveau 4"},0)-1),
1/6,0))</f>
        <v>1.3333333333333335</v>
      </c>
      <c r="V29">
        <f>IF(DE_respon_transv!V29=-1,-1,
DE_respon_transv!V29+IF((MATCH(INDEX(Data_metier!$C:$C,MATCH($A29,Data_metier!$B:$B,0)),{"Non Concerné";"Niveau 1";"Niveau 2";"Niveau 3";"Niveau 4"},0)-1)&gt;(MATCH(INDEX(Data_metier!$C:$C,MATCH(V$1,Data_metier!$B:$B,0)),{"Non Concerné";"Niveau 1";"Niveau 2";"Niveau 3";"Niveau 4"},0)-1),
1/6,0)+IF((MATCH(INDEX(Data_metier!$D:$D,MATCH($A29,Data_metier!$B:$B,0)),{"Non Concerné";"Niveau 1";"Niveau 2";"Niveau 3";"Niveau 4"},0)-1)&gt;(MATCH(INDEX(Data_metier!$D:$D,MATCH(V$1,Data_metier!$B:$B,0)),{"Non Concerné";"Niveau 1";"Niveau 2";"Niveau 3";"Niveau 4"},0)-1),
1/6,0)+IF((MATCH(INDEX(Data_metier!$E:$E,MATCH($A29,Data_metier!$B:$B,0)),{"Non Concerné";"Niveau 1";"Niveau 2";"Niveau 3";"Niveau 4"},0)-1)&gt;(MATCH(INDEX(Data_metier!$E:$E,MATCH(V$1,Data_metier!$B:$B,0)),{"Non Concerné";"Niveau 1";"Niveau 2";"Niveau 3";"Niveau 4"},0)-1),
1/6,0))</f>
        <v>0</v>
      </c>
      <c r="W29">
        <f>IF(DE_respon_transv!W29=-1,-1,
DE_respon_transv!W29+IF((MATCH(INDEX(Data_metier!$C:$C,MATCH($A29,Data_metier!$B:$B,0)),{"Non Concerné";"Niveau 1";"Niveau 2";"Niveau 3";"Niveau 4"},0)-1)&gt;(MATCH(INDEX(Data_metier!$C:$C,MATCH(W$1,Data_metier!$B:$B,0)),{"Non Concerné";"Niveau 1";"Niveau 2";"Niveau 3";"Niveau 4"},0)-1),
1/6,0)+IF((MATCH(INDEX(Data_metier!$D:$D,MATCH($A29,Data_metier!$B:$B,0)),{"Non Concerné";"Niveau 1";"Niveau 2";"Niveau 3";"Niveau 4"},0)-1)&gt;(MATCH(INDEX(Data_metier!$D:$D,MATCH(W$1,Data_metier!$B:$B,0)),{"Non Concerné";"Niveau 1";"Niveau 2";"Niveau 3";"Niveau 4"},0)-1),
1/6,0)+IF((MATCH(INDEX(Data_metier!$E:$E,MATCH($A29,Data_metier!$B:$B,0)),{"Non Concerné";"Niveau 1";"Niveau 2";"Niveau 3";"Niveau 4"},0)-1)&gt;(MATCH(INDEX(Data_metier!$E:$E,MATCH(W$1,Data_metier!$B:$B,0)),{"Non Concerné";"Niveau 1";"Niveau 2";"Niveau 3";"Niveau 4"},0)-1),
1/6,0))</f>
        <v>0</v>
      </c>
      <c r="X29">
        <f>IF(DE_respon_transv!X29=-1,-1,
DE_respon_transv!X29+IF((MATCH(INDEX(Data_metier!$C:$C,MATCH($A29,Data_metier!$B:$B,0)),{"Non Concerné";"Niveau 1";"Niveau 2";"Niveau 3";"Niveau 4"},0)-1)&gt;(MATCH(INDEX(Data_metier!$C:$C,MATCH(X$1,Data_metier!$B:$B,0)),{"Non Concerné";"Niveau 1";"Niveau 2";"Niveau 3";"Niveau 4"},0)-1),
1/6,0)+IF((MATCH(INDEX(Data_metier!$D:$D,MATCH($A29,Data_metier!$B:$B,0)),{"Non Concerné";"Niveau 1";"Niveau 2";"Niveau 3";"Niveau 4"},0)-1)&gt;(MATCH(INDEX(Data_metier!$D:$D,MATCH(X$1,Data_metier!$B:$B,0)),{"Non Concerné";"Niveau 1";"Niveau 2";"Niveau 3";"Niveau 4"},0)-1),
1/6,0)+IF((MATCH(INDEX(Data_metier!$E:$E,MATCH($A29,Data_metier!$B:$B,0)),{"Non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29">
        <f>IF(DE_respon_transv!Y29=-1,-1,
DE_respon_transv!Y29+IF((MATCH(INDEX(Data_metier!$C:$C,MATCH($A29,Data_metier!$B:$B,0)),{"Non Concerné";"Niveau 1";"Niveau 2";"Niveau 3";"Niveau 4"},0)-1)&gt;(MATCH(INDEX(Data_metier!$C:$C,MATCH(Y$1,Data_metier!$B:$B,0)),{"Non Concerné";"Niveau 1";"Niveau 2";"Niveau 3";"Niveau 4"},0)-1),
1/6,0)+IF((MATCH(INDEX(Data_metier!$D:$D,MATCH($A29,Data_metier!$B:$B,0)),{"Non Concerné";"Niveau 1";"Niveau 2";"Niveau 3";"Niveau 4"},0)-1)&gt;(MATCH(INDEX(Data_metier!$D:$D,MATCH(Y$1,Data_metier!$B:$B,0)),{"Non Concerné";"Niveau 1";"Niveau 2";"Niveau 3";"Niveau 4"},0)-1),
1/6,0)+IF((MATCH(INDEX(Data_metier!$E:$E,MATCH($A29,Data_metier!$B:$B,0)),{"Non Concerné";"Niveau 1";"Niveau 2";"Niveau 3";"Niveau 4"},0)-1)&gt;(MATCH(INDEX(Data_metier!$E:$E,MATCH(Y$1,Data_metier!$B:$B,0)),{"Non Concerné";"Niveau 1";"Niveau 2";"Niveau 3";"Niveau 4"},0)-1),
1/6,0))</f>
        <v>1.3333333333333335</v>
      </c>
      <c r="Z29">
        <f>IF(DE_respon_transv!Z29=-1,-1,
DE_respon_transv!Z29+IF((MATCH(INDEX(Data_metier!$C:$C,MATCH($A29,Data_metier!$B:$B,0)),{"Non Concerné";"Niveau 1";"Niveau 2";"Niveau 3";"Niveau 4"},0)-1)&gt;(MATCH(INDEX(Data_metier!$C:$C,MATCH(Z$1,Data_metier!$B:$B,0)),{"Non Concerné";"Niveau 1";"Niveau 2";"Niveau 3";"Niveau 4"},0)-1),
1/6,0)+IF((MATCH(INDEX(Data_metier!$D:$D,MATCH($A29,Data_metier!$B:$B,0)),{"Non Concerné";"Niveau 1";"Niveau 2";"Niveau 3";"Niveau 4"},0)-1)&gt;(MATCH(INDEX(Data_metier!$D:$D,MATCH(Z$1,Data_metier!$B:$B,0)),{"Non Concerné";"Niveau 1";"Niveau 2";"Niveau 3";"Niveau 4"},0)-1),
1/6,0)+IF((MATCH(INDEX(Data_metier!$E:$E,MATCH($A29,Data_metier!$B:$B,0)),{"Non Concerné";"Niveau 1";"Niveau 2";"Niveau 3";"Niveau 4"},0)-1)&gt;(MATCH(INDEX(Data_metier!$E:$E,MATCH(Z$1,Data_metier!$B:$B,0)),{"Non Concerné";"Niveau 1";"Niveau 2";"Niveau 3";"Niveau 4"},0)-1),
1/6,0))</f>
        <v>1.3333333333333335</v>
      </c>
      <c r="AA29">
        <f>IF(DE_respon_transv!AA29=-1,-1,
DE_respon_transv!AA29+IF((MATCH(INDEX(Data_metier!$C:$C,MATCH($A29,Data_metier!$B:$B,0)),{"Non Concerné";"Niveau 1";"Niveau 2";"Niveau 3";"Niveau 4"},0)-1)&gt;(MATCH(INDEX(Data_metier!$C:$C,MATCH(AA$1,Data_metier!$B:$B,0)),{"Non Concerné";"Niveau 1";"Niveau 2";"Niveau 3";"Niveau 4"},0)-1),
1/6,0)+IF((MATCH(INDEX(Data_metier!$D:$D,MATCH($A29,Data_metier!$B:$B,0)),{"Non Concerné";"Niveau 1";"Niveau 2";"Niveau 3";"Niveau 4"},0)-1)&gt;(MATCH(INDEX(Data_metier!$D:$D,MATCH(AA$1,Data_metier!$B:$B,0)),{"Non Concerné";"Niveau 1";"Niveau 2";"Niveau 3";"Niveau 4"},0)-1),
1/6,0)+IF((MATCH(INDEX(Data_metier!$E:$E,MATCH($A29,Data_metier!$B:$B,0)),{"Non Concerné";"Niveau 1";"Niveau 2";"Niveau 3";"Niveau 4"},0)-1)&gt;(MATCH(INDEX(Data_metier!$E:$E,MATCH(AA$1,Data_metier!$B:$B,0)),{"Non Concerné";"Niveau 1";"Niveau 2";"Niveau 3";"Niveau 4"},0)-1),
1/6,0))</f>
        <v>1.3333333333333335</v>
      </c>
      <c r="AB29">
        <f>IF(DE_respon_transv!AB29=-1,-1,
DE_respon_transv!AB29+IF((MATCH(INDEX(Data_metier!$C:$C,MATCH($A29,Data_metier!$B:$B,0)),{"Non Concerné";"Niveau 1";"Niveau 2";"Niveau 3";"Niveau 4"},0)-1)&gt;(MATCH(INDEX(Data_metier!$C:$C,MATCH(AB$1,Data_metier!$B:$B,0)),{"Non Concerné";"Niveau 1";"Niveau 2";"Niveau 3";"Niveau 4"},0)-1),
1/6,0)+IF((MATCH(INDEX(Data_metier!$D:$D,MATCH($A29,Data_metier!$B:$B,0)),{"Non Concerné";"Niveau 1";"Niveau 2";"Niveau 3";"Niveau 4"},0)-1)&gt;(MATCH(INDEX(Data_metier!$D:$D,MATCH(AB$1,Data_metier!$B:$B,0)),{"Non Concerné";"Niveau 1";"Niveau 2";"Niveau 3";"Niveau 4"},0)-1),
1/6,0)+IF((MATCH(INDEX(Data_metier!$E:$E,MATCH($A29,Data_metier!$B:$B,0)),{"Non Concerné";"Niveau 1";"Niveau 2";"Niveau 3";"Niveau 4"},0)-1)&gt;(MATCH(INDEX(Data_metier!$E:$E,MATCH(AB$1,Data_metier!$B:$B,0)),{"Non Concerné";"Niveau 1";"Niveau 2";"Niveau 3";"Niveau 4"},0)-1),
1/6,0))</f>
        <v>0</v>
      </c>
      <c r="AC29">
        <f>IF(DE_respon_transv!AC29=-1,-1,
DE_respon_transv!AC29+IF((MATCH(INDEX(Data_metier!$C:$C,MATCH($A29,Data_metier!$B:$B,0)),{"Non Concerné";"Niveau 1";"Niveau 2";"Niveau 3";"Niveau 4"},0)-1)&gt;(MATCH(INDEX(Data_metier!$C:$C,MATCH(AC$1,Data_metier!$B:$B,0)),{"Non Concerné";"Niveau 1";"Niveau 2";"Niveau 3";"Niveau 4"},0)-1),
1/6,0)+IF((MATCH(INDEX(Data_metier!$D:$D,MATCH($A29,Data_metier!$B:$B,0)),{"Non Concerné";"Niveau 1";"Niveau 2";"Niveau 3";"Niveau 4"},0)-1)&gt;(MATCH(INDEX(Data_metier!$D:$D,MATCH(AC$1,Data_metier!$B:$B,0)),{"Non Concerné";"Niveau 1";"Niveau 2";"Niveau 3";"Niveau 4"},0)-1),
1/6,0)+IF((MATCH(INDEX(Data_metier!$E:$E,MATCH($A29,Data_metier!$B:$B,0)),{"Non Concerné";"Niveau 1";"Niveau 2";"Niveau 3";"Niveau 4"},0)-1)&gt;(MATCH(INDEX(Data_metier!$E:$E,MATCH(AC$1,Data_metier!$B:$B,0)),{"Non Concerné";"Niveau 1";"Niveau 2";"Niveau 3";"Niveau 4"},0)-1),
1/6,0))</f>
        <v>0</v>
      </c>
      <c r="AD29">
        <f>IF(DE_respon_transv!AD29=-1,-1,
DE_respon_transv!AD29+IF((MATCH(INDEX(Data_metier!$C:$C,MATCH($A29,Data_metier!$B:$B,0)),{"Non Concerné";"Niveau 1";"Niveau 2";"Niveau 3";"Niveau 4"},0)-1)&gt;(MATCH(INDEX(Data_metier!$C:$C,MATCH(AD$1,Data_metier!$B:$B,0)),{"Non Concerné";"Niveau 1";"Niveau 2";"Niveau 3";"Niveau 4"},0)-1),
1/6,0)+IF((MATCH(INDEX(Data_metier!$D:$D,MATCH($A29,Data_metier!$B:$B,0)),{"Non Concerné";"Niveau 1";"Niveau 2";"Niveau 3";"Niveau 4"},0)-1)&gt;(MATCH(INDEX(Data_metier!$D:$D,MATCH(AD$1,Data_metier!$B:$B,0)),{"Non Concerné";"Niveau 1";"Niveau 2";"Niveau 3";"Niveau 4"},0)-1),
1/6,0)+IF((MATCH(INDEX(Data_metier!$E:$E,MATCH($A29,Data_metier!$B:$B,0)),{"Non Concerné";"Niveau 1";"Niveau 2";"Niveau 3";"Niveau 4"},0)-1)&gt;(MATCH(INDEX(Data_metier!$E:$E,MATCH(AD$1,Data_metier!$B:$B,0)),{"Non Concerné";"Niveau 1";"Niveau 2";"Niveau 3";"Niveau 4"},0)-1),
1/6,0))</f>
        <v>-1</v>
      </c>
    </row>
    <row r="30" spans="1:30">
      <c r="A30" t="str">
        <v>Electromécanicien(ne) de maintenance industrielle</v>
      </c>
      <c r="B30">
        <f>IF(DE_respon_transv!B30=-1,-1,
DE_respon_transv!B30+IF((MATCH(INDEX(Data_metier!$C:$C,MATCH($A30,Data_metier!$B:$B,0)),{"Non Concerné";"Niveau 1";"Niveau 2";"Niveau 3";"Niveau 4"},0)-1)&gt;(MATCH(INDEX(Data_metier!$C:$C,MATCH(B$1,Data_metier!$B:$B,0)),{"Non Concerné";"Niveau 1";"Niveau 2";"Niveau 3";"Niveau 4"},0)-1),
1/6,0)+IF((MATCH(INDEX(Data_metier!$D:$D,MATCH($A30,Data_metier!$B:$B,0)),{"Non Concerné";"Niveau 1";"Niveau 2";"Niveau 3";"Niveau 4"},0)-1)&gt;(MATCH(INDEX(Data_metier!$D:$D,MATCH(B$1,Data_metier!$B:$B,0)),{"Non Concerné";"Niveau 1";"Niveau 2";"Niveau 3";"Niveau 4"},0)-1),
1/6,0)+IF((MATCH(INDEX(Data_metier!$E:$E,MATCH($A30,Data_metier!$B:$B,0)),{"Non Concerné";"Niveau 1";"Niveau 2";"Niveau 3";"Niveau 4"},0)-1)&gt;(MATCH(INDEX(Data_metier!$E:$E,MATCH(B$1,Data_metier!$B:$B,0)),{"Non Concerné";"Niveau 1";"Niveau 2";"Niveau 3";"Niveau 4"},0)-1),
1/6,0))</f>
        <v>1.3333333333333335</v>
      </c>
      <c r="C30">
        <f>IF(DE_respon_transv!C30=-1,-1,
DE_respon_transv!C30+IF((MATCH(INDEX(Data_metier!$C:$C,MATCH($A30,Data_metier!$B:$B,0)),{"Non Concerné";"Niveau 1";"Niveau 2";"Niveau 3";"Niveau 4"},0)-1)&gt;(MATCH(INDEX(Data_metier!$C:$C,MATCH(C$1,Data_metier!$B:$B,0)),{"Non Concerné";"Niveau 1";"Niveau 2";"Niveau 3";"Niveau 4"},0)-1),
1/6,0)+IF((MATCH(INDEX(Data_metier!$D:$D,MATCH($A30,Data_metier!$B:$B,0)),{"Non Concerné";"Niveau 1";"Niveau 2";"Niveau 3";"Niveau 4"},0)-1)&gt;(MATCH(INDEX(Data_metier!$D:$D,MATCH(C$1,Data_metier!$B:$B,0)),{"Non Concerné";"Niveau 1";"Niveau 2";"Niveau 3";"Niveau 4"},0)-1),
1/6,0)+IF((MATCH(INDEX(Data_metier!$E:$E,MATCH($A30,Data_metier!$B:$B,0)),{"Non Concerné";"Niveau 1";"Niveau 2";"Niveau 3";"Niveau 4"},0)-1)&gt;(MATCH(INDEX(Data_metier!$E:$E,MATCH(C$1,Data_metier!$B:$B,0)),{"Non Concerné";"Niveau 1";"Niveau 2";"Niveau 3";"Niveau 4"},0)-1),
1/6,0))</f>
        <v>1</v>
      </c>
      <c r="D30">
        <f>IF(DE_respon_transv!D30=-1,-1,
DE_respon_transv!D30+IF((MATCH(INDEX(Data_metier!$C:$C,MATCH($A30,Data_metier!$B:$B,0)),{"Non Concerné";"Niveau 1";"Niveau 2";"Niveau 3";"Niveau 4"},0)-1)&gt;(MATCH(INDEX(Data_metier!$C:$C,MATCH(D$1,Data_metier!$B:$B,0)),{"Non Concerné";"Niveau 1";"Niveau 2";"Niveau 3";"Niveau 4"},0)-1),
1/6,0)+IF((MATCH(INDEX(Data_metier!$D:$D,MATCH($A30,Data_metier!$B:$B,0)),{"Non Concerné";"Niveau 1";"Niveau 2";"Niveau 3";"Niveau 4"},0)-1)&gt;(MATCH(INDEX(Data_metier!$D:$D,MATCH(D$1,Data_metier!$B:$B,0)),{"Non Concerné";"Niveau 1";"Niveau 2";"Niveau 3";"Niveau 4"},0)-1),
1/6,0)+IF((MATCH(INDEX(Data_metier!$E:$E,MATCH($A30,Data_metier!$B:$B,0)),{"Non Concerné";"Niveau 1";"Niveau 2";"Niveau 3";"Niveau 4"},0)-1)&gt;(MATCH(INDEX(Data_metier!$E:$E,MATCH(D$1,Data_metier!$B:$B,0)),{"Non Concerné";"Niveau 1";"Niveau 2";"Niveau 3";"Niveau 4"},0)-1),
1/6,0))</f>
        <v>2.333333333333333</v>
      </c>
      <c r="E30">
        <f>IF(DE_respon_transv!E30=-1,-1,
DE_respon_transv!E30+IF((MATCH(INDEX(Data_metier!$C:$C,MATCH($A30,Data_metier!$B:$B,0)),{"Non Concerné";"Niveau 1";"Niveau 2";"Niveau 3";"Niveau 4"},0)-1)&gt;(MATCH(INDEX(Data_metier!$C:$C,MATCH(E$1,Data_metier!$B:$B,0)),{"Non Concerné";"Niveau 1";"Niveau 2";"Niveau 3";"Niveau 4"},0)-1),
1/6,0)+IF((MATCH(INDEX(Data_metier!$D:$D,MATCH($A30,Data_metier!$B:$B,0)),{"Non Concerné";"Niveau 1";"Niveau 2";"Niveau 3";"Niveau 4"},0)-1)&gt;(MATCH(INDEX(Data_metier!$D:$D,MATCH(E$1,Data_metier!$B:$B,0)),{"Non Concerné";"Niveau 1";"Niveau 2";"Niveau 3";"Niveau 4"},0)-1),
1/6,0)+IF((MATCH(INDEX(Data_metier!$E:$E,MATCH($A30,Data_metier!$B:$B,0)),{"Non Concerné";"Niveau 1";"Niveau 2";"Niveau 3";"Niveau 4"},0)-1)&gt;(MATCH(INDEX(Data_metier!$E:$E,MATCH(E$1,Data_metier!$B:$B,0)),{"Non Concerné";"Niveau 1";"Niveau 2";"Niveau 3";"Niveau 4"},0)-1),
1/6,0))</f>
        <v>-1</v>
      </c>
      <c r="F30">
        <f>IF(DE_respon_transv!F30=-1,-1,
DE_respon_transv!F30+IF((MATCH(INDEX(Data_metier!$C:$C,MATCH($A30,Data_metier!$B:$B,0)),{"Non Concerné";"Niveau 1";"Niveau 2";"Niveau 3";"Niveau 4"},0)-1)&gt;(MATCH(INDEX(Data_metier!$C:$C,MATCH(F$1,Data_metier!$B:$B,0)),{"Non Concerné";"Niveau 1";"Niveau 2";"Niveau 3";"Niveau 4"},0)-1),
1/6,0)+IF((MATCH(INDEX(Data_metier!$D:$D,MATCH($A30,Data_metier!$B:$B,0)),{"Non Concerné";"Niveau 1";"Niveau 2";"Niveau 3";"Niveau 4"},0)-1)&gt;(MATCH(INDEX(Data_metier!$D:$D,MATCH(F$1,Data_metier!$B:$B,0)),{"Non Concerné";"Niveau 1";"Niveau 2";"Niveau 3";"Niveau 4"},0)-1),
1/6,0)+IF((MATCH(INDEX(Data_metier!$E:$E,MATCH($A30,Data_metier!$B:$B,0)),{"Non Concerné";"Niveau 1";"Niveau 2";"Niveau 3";"Niveau 4"},0)-1)&gt;(MATCH(INDEX(Data_metier!$E:$E,MATCH(F$1,Data_metier!$B:$B,0)),{"Non Concerné";"Niveau 1";"Niveau 2";"Niveau 3";"Niveau 4"},0)-1),
1/6,0))</f>
        <v>-1</v>
      </c>
      <c r="G30">
        <f>IF(DE_respon_transv!G30=-1,-1,
DE_respon_transv!G30+IF((MATCH(INDEX(Data_metier!$C:$C,MATCH($A30,Data_metier!$B:$B,0)),{"Non Concerné";"Niveau 1";"Niveau 2";"Niveau 3";"Niveau 4"},0)-1)&gt;(MATCH(INDEX(Data_metier!$C:$C,MATCH(G$1,Data_metier!$B:$B,0)),{"Non Concerné";"Niveau 1";"Niveau 2";"Niveau 3";"Niveau 4"},0)-1),
1/6,0)+IF((MATCH(INDEX(Data_metier!$D:$D,MATCH($A30,Data_metier!$B:$B,0)),{"Non Concerné";"Niveau 1";"Niveau 2";"Niveau 3";"Niveau 4"},0)-1)&gt;(MATCH(INDEX(Data_metier!$D:$D,MATCH(G$1,Data_metier!$B:$B,0)),{"Non Concerné";"Niveau 1";"Niveau 2";"Niveau 3";"Niveau 4"},0)-1),
1/6,0)+IF((MATCH(INDEX(Data_metier!$E:$E,MATCH($A30,Data_metier!$B:$B,0)),{"Non Concerné";"Niveau 1";"Niveau 2";"Niveau 3";"Niveau 4"},0)-1)&gt;(MATCH(INDEX(Data_metier!$E:$E,MATCH(G$1,Data_metier!$B:$B,0)),{"Non Concerné";"Niveau 1";"Niveau 2";"Niveau 3";"Niveau 4"},0)-1),
1/6,0))</f>
        <v>-1</v>
      </c>
      <c r="H30">
        <f>IF(DE_respon_transv!H30=-1,-1,
DE_respon_transv!H30+IF((MATCH(INDEX(Data_metier!$C:$C,MATCH($A30,Data_metier!$B:$B,0)),{"Non Concerné";"Niveau 1";"Niveau 2";"Niveau 3";"Niveau 4"},0)-1)&gt;(MATCH(INDEX(Data_metier!$C:$C,MATCH(H$1,Data_metier!$B:$B,0)),{"Non Concerné";"Niveau 1";"Niveau 2";"Niveau 3";"Niveau 4"},0)-1),
1/6,0)+IF((MATCH(INDEX(Data_metier!$D:$D,MATCH($A30,Data_metier!$B:$B,0)),{"Non Concerné";"Niveau 1";"Niveau 2";"Niveau 3";"Niveau 4"},0)-1)&gt;(MATCH(INDEX(Data_metier!$D:$D,MATCH(H$1,Data_metier!$B:$B,0)),{"Non Concerné";"Niveau 1";"Niveau 2";"Niveau 3";"Niveau 4"},0)-1),
1/6,0)+IF((MATCH(INDEX(Data_metier!$E:$E,MATCH($A30,Data_metier!$B:$B,0)),{"Non Concerné";"Niveau 1";"Niveau 2";"Niveau 3";"Niveau 4"},0)-1)&gt;(MATCH(INDEX(Data_metier!$E:$E,MATCH(H$1,Data_metier!$B:$B,0)),{"Non Concerné";"Niveau 1";"Niveau 2";"Niveau 3";"Niveau 4"},0)-1),
1/6,0))</f>
        <v>-1</v>
      </c>
      <c r="I30">
        <f>IF(DE_respon_transv!I30=-1,-1,
DE_respon_transv!I30+IF((MATCH(INDEX(Data_metier!$C:$C,MATCH($A30,Data_metier!$B:$B,0)),{"Non Concerné";"Niveau 1";"Niveau 2";"Niveau 3";"Niveau 4"},0)-1)&gt;(MATCH(INDEX(Data_metier!$C:$C,MATCH(I$1,Data_metier!$B:$B,0)),{"Non Concerné";"Niveau 1";"Niveau 2";"Niveau 3";"Niveau 4"},0)-1),
1/6,0)+IF((MATCH(INDEX(Data_metier!$D:$D,MATCH($A30,Data_metier!$B:$B,0)),{"Non Concerné";"Niveau 1";"Niveau 2";"Niveau 3";"Niveau 4"},0)-1)&gt;(MATCH(INDEX(Data_metier!$D:$D,MATCH(I$1,Data_metier!$B:$B,0)),{"Non Concerné";"Niveau 1";"Niveau 2";"Niveau 3";"Niveau 4"},0)-1),
1/6,0)+IF((MATCH(INDEX(Data_metier!$E:$E,MATCH($A30,Data_metier!$B:$B,0)),{"Non Concerné";"Niveau 1";"Niveau 2";"Niveau 3";"Niveau 4"},0)-1)&gt;(MATCH(INDEX(Data_metier!$E:$E,MATCH(I$1,Data_metier!$B:$B,0)),{"Non Concerné";"Niveau 1";"Niveau 2";"Niveau 3";"Niveau 4"},0)-1),
1/6,0))</f>
        <v>2.333333333333333</v>
      </c>
      <c r="J30">
        <f>IF(DE_respon_transv!J30=-1,-1,
DE_respon_transv!J30+IF((MATCH(INDEX(Data_metier!$C:$C,MATCH($A30,Data_metier!$B:$B,0)),{"Non Concerné";"Niveau 1";"Niveau 2";"Niveau 3";"Niveau 4"},0)-1)&gt;(MATCH(INDEX(Data_metier!$C:$C,MATCH(J$1,Data_metier!$B:$B,0)),{"Non Concerné";"Niveau 1";"Niveau 2";"Niveau 3";"Niveau 4"},0)-1),
1/6,0)+IF((MATCH(INDEX(Data_metier!$D:$D,MATCH($A30,Data_metier!$B:$B,0)),{"Non Concerné";"Niveau 1";"Niveau 2";"Niveau 3";"Niveau 4"},0)-1)&gt;(MATCH(INDEX(Data_metier!$D:$D,MATCH(J$1,Data_metier!$B:$B,0)),{"Non Concerné";"Niveau 1";"Niveau 2";"Niveau 3";"Niveau 4"},0)-1),
1/6,0)+IF((MATCH(INDEX(Data_metier!$E:$E,MATCH($A30,Data_metier!$B:$B,0)),{"Non Concerné";"Niveau 1";"Niveau 2";"Niveau 3";"Niveau 4"},0)-1)&gt;(MATCH(INDEX(Data_metier!$E:$E,MATCH(J$1,Data_metier!$B:$B,0)),{"Non Concerné";"Niveau 1";"Niveau 2";"Niveau 3";"Niveau 4"},0)-1),
1/6,0))</f>
        <v>-1</v>
      </c>
      <c r="K30">
        <f>IF(DE_respon_transv!K30=-1,-1,
DE_respon_transv!K30+IF((MATCH(INDEX(Data_metier!$C:$C,MATCH($A30,Data_metier!$B:$B,0)),{"Non Concerné";"Niveau 1";"Niveau 2";"Niveau 3";"Niveau 4"},0)-1)&gt;(MATCH(INDEX(Data_metier!$C:$C,MATCH(K$1,Data_metier!$B:$B,0)),{"Non Concerné";"Niveau 1";"Niveau 2";"Niveau 3";"Niveau 4"},0)-1),
1/6,0)+IF((MATCH(INDEX(Data_metier!$D:$D,MATCH($A30,Data_metier!$B:$B,0)),{"Non Concerné";"Niveau 1";"Niveau 2";"Niveau 3";"Niveau 4"},0)-1)&gt;(MATCH(INDEX(Data_metier!$D:$D,MATCH(K$1,Data_metier!$B:$B,0)),{"Non Concerné";"Niveau 1";"Niveau 2";"Niveau 3";"Niveau 4"},0)-1),
1/6,0)+IF((MATCH(INDEX(Data_metier!$E:$E,MATCH($A30,Data_metier!$B:$B,0)),{"Non Concerné";"Niveau 1";"Niveau 2";"Niveau 3";"Niveau 4"},0)-1)&gt;(MATCH(INDEX(Data_metier!$E:$E,MATCH(K$1,Data_metier!$B:$B,0)),{"Non Concerné";"Niveau 1";"Niveau 2";"Niveau 3";"Niveau 4"},0)-1),
1/6,0))</f>
        <v>-1</v>
      </c>
      <c r="L30">
        <f>IF(DE_respon_transv!L30=-1,-1,
DE_respon_transv!L30+IF((MATCH(INDEX(Data_metier!$C:$C,MATCH($A30,Data_metier!$B:$B,0)),{"Non Concerné";"Niveau 1";"Niveau 2";"Niveau 3";"Niveau 4"},0)-1)&gt;(MATCH(INDEX(Data_metier!$C:$C,MATCH(L$1,Data_metier!$B:$B,0)),{"Non Concerné";"Niveau 1";"Niveau 2";"Niveau 3";"Niveau 4"},0)-1),
1/6,0)+IF((MATCH(INDEX(Data_metier!$D:$D,MATCH($A30,Data_metier!$B:$B,0)),{"Non Concerné";"Niveau 1";"Niveau 2";"Niveau 3";"Niveau 4"},0)-1)&gt;(MATCH(INDEX(Data_metier!$D:$D,MATCH(L$1,Data_metier!$B:$B,0)),{"Non Concerné";"Niveau 1";"Niveau 2";"Niveau 3";"Niveau 4"},0)-1),
1/6,0)+IF((MATCH(INDEX(Data_metier!$E:$E,MATCH($A30,Data_metier!$B:$B,0)),{"Non Concerné";"Niveau 1";"Niveau 2";"Niveau 3";"Niveau 4"},0)-1)&gt;(MATCH(INDEX(Data_metier!$E:$E,MATCH(L$1,Data_metier!$B:$B,0)),{"Non Concerné";"Niveau 1";"Niveau 2";"Niveau 3";"Niveau 4"},0)-1),
1/6,0))</f>
        <v>2</v>
      </c>
      <c r="M30">
        <f>IF(DE_respon_transv!M30=-1,-1,
DE_respon_transv!M30+IF((MATCH(INDEX(Data_metier!$C:$C,MATCH($A30,Data_metier!$B:$B,0)),{"Non Concerné";"Niveau 1";"Niveau 2";"Niveau 3";"Niveau 4"},0)-1)&gt;(MATCH(INDEX(Data_metier!$C:$C,MATCH(M$1,Data_metier!$B:$B,0)),{"Non Concerné";"Niveau 1";"Niveau 2";"Niveau 3";"Niveau 4"},0)-1),
1/6,0)+IF((MATCH(INDEX(Data_metier!$D:$D,MATCH($A30,Data_metier!$B:$B,0)),{"Non Concerné";"Niveau 1";"Niveau 2";"Niveau 3";"Niveau 4"},0)-1)&gt;(MATCH(INDEX(Data_metier!$D:$D,MATCH(M$1,Data_metier!$B:$B,0)),{"Non Concerné";"Niveau 1";"Niveau 2";"Niveau 3";"Niveau 4"},0)-1),
1/6,0)+IF((MATCH(INDEX(Data_metier!$E:$E,MATCH($A30,Data_metier!$B:$B,0)),{"Non Concerné";"Niveau 1";"Niveau 2";"Niveau 3";"Niveau 4"},0)-1)&gt;(MATCH(INDEX(Data_metier!$E:$E,MATCH(M$1,Data_metier!$B:$B,0)),{"Non Concerné";"Niveau 1";"Niveau 2";"Niveau 3";"Niveau 4"},0)-1),
1/6,0))</f>
        <v>1.1666666666666667</v>
      </c>
      <c r="N30">
        <f>IF(DE_respon_transv!N30=-1,-1,
DE_respon_transv!N30+IF((MATCH(INDEX(Data_metier!$C:$C,MATCH($A30,Data_metier!$B:$B,0)),{"Non Concerné";"Niveau 1";"Niveau 2";"Niveau 3";"Niveau 4"},0)-1)&gt;(MATCH(INDEX(Data_metier!$C:$C,MATCH(N$1,Data_metier!$B:$B,0)),{"Non Concerné";"Niveau 1";"Niveau 2";"Niveau 3";"Niveau 4"},0)-1),
1/6,0)+IF((MATCH(INDEX(Data_metier!$D:$D,MATCH($A30,Data_metier!$B:$B,0)),{"Non Concerné";"Niveau 1";"Niveau 2";"Niveau 3";"Niveau 4"},0)-1)&gt;(MATCH(INDEX(Data_metier!$D:$D,MATCH(N$1,Data_metier!$B:$B,0)),{"Non Concerné";"Niveau 1";"Niveau 2";"Niveau 3";"Niveau 4"},0)-1),
1/6,0)+IF((MATCH(INDEX(Data_metier!$E:$E,MATCH($A30,Data_metier!$B:$B,0)),{"Non Concerné";"Niveau 1";"Niveau 2";"Niveau 3";"Niveau 4"},0)-1)&gt;(MATCH(INDEX(Data_metier!$E:$E,MATCH(N$1,Data_metier!$B:$B,0)),{"Non Concerné";"Niveau 1";"Niveau 2";"Niveau 3";"Niveau 4"},0)-1),
1/6,0))</f>
        <v>-1</v>
      </c>
      <c r="O30">
        <f>IF(DE_respon_transv!O30=-1,-1,
DE_respon_transv!O30+IF((MATCH(INDEX(Data_metier!$C:$C,MATCH($A30,Data_metier!$B:$B,0)),{"Non Concerné";"Niveau 1";"Niveau 2";"Niveau 3";"Niveau 4"},0)-1)&gt;(MATCH(INDEX(Data_metier!$C:$C,MATCH(O$1,Data_metier!$B:$B,0)),{"Non Concerné";"Niveau 1";"Niveau 2";"Niveau 3";"Niveau 4"},0)-1),
1/6,0)+IF((MATCH(INDEX(Data_metier!$D:$D,MATCH($A30,Data_metier!$B:$B,0)),{"Non Concerné";"Niveau 1";"Niveau 2";"Niveau 3";"Niveau 4"},0)-1)&gt;(MATCH(INDEX(Data_metier!$D:$D,MATCH(O$1,Data_metier!$B:$B,0)),{"Non Concerné";"Niveau 1";"Niveau 2";"Niveau 3";"Niveau 4"},0)-1),
1/6,0)+IF((MATCH(INDEX(Data_metier!$E:$E,MATCH($A30,Data_metier!$B:$B,0)),{"Non Concerné";"Niveau 1";"Niveau 2";"Niveau 3";"Niveau 4"},0)-1)&gt;(MATCH(INDEX(Data_metier!$E:$E,MATCH(O$1,Data_metier!$B:$B,0)),{"Non Concerné";"Niveau 1";"Niveau 2";"Niveau 3";"Niveau 4"},0)-1),
1/6,0))</f>
        <v>2</v>
      </c>
      <c r="P30">
        <f>IF(DE_respon_transv!P30=-1,-1,
DE_respon_transv!P30+IF((MATCH(INDEX(Data_metier!$C:$C,MATCH($A30,Data_metier!$B:$B,0)),{"Non Concerné";"Niveau 1";"Niveau 2";"Niveau 3";"Niveau 4"},0)-1)&gt;(MATCH(INDEX(Data_metier!$C:$C,MATCH(P$1,Data_metier!$B:$B,0)),{"Non Concerné";"Niveau 1";"Niveau 2";"Niveau 3";"Niveau 4"},0)-1),
1/6,0)+IF((MATCH(INDEX(Data_metier!$D:$D,MATCH($A30,Data_metier!$B:$B,0)),{"Non Concerné";"Niveau 1";"Niveau 2";"Niveau 3";"Niveau 4"},0)-1)&gt;(MATCH(INDEX(Data_metier!$D:$D,MATCH(P$1,Data_metier!$B:$B,0)),{"Non Concerné";"Niveau 1";"Niveau 2";"Niveau 3";"Niveau 4"},0)-1),
1/6,0)+IF((MATCH(INDEX(Data_metier!$E:$E,MATCH($A30,Data_metier!$B:$B,0)),{"Non Concerné";"Niveau 1";"Niveau 2";"Niveau 3";"Niveau 4"},0)-1)&gt;(MATCH(INDEX(Data_metier!$E:$E,MATCH(P$1,Data_metier!$B:$B,0)),{"Non Concerné";"Niveau 1";"Niveau 2";"Niveau 3";"Niveau 4"},0)-1),
1/6,0))</f>
        <v>2.333333333333333</v>
      </c>
      <c r="Q30">
        <f>IF(DE_respon_transv!Q30=-1,-1,
DE_respon_transv!Q30+IF((MATCH(INDEX(Data_metier!$C:$C,MATCH($A30,Data_metier!$B:$B,0)),{"Non Concerné";"Niveau 1";"Niveau 2";"Niveau 3";"Niveau 4"},0)-1)&gt;(MATCH(INDEX(Data_metier!$C:$C,MATCH(Q$1,Data_metier!$B:$B,0)),{"Non Concerné";"Niveau 1";"Niveau 2";"Niveau 3";"Niveau 4"},0)-1),
1/6,0)+IF((MATCH(INDEX(Data_metier!$D:$D,MATCH($A30,Data_metier!$B:$B,0)),{"Non Concerné";"Niveau 1";"Niveau 2";"Niveau 3";"Niveau 4"},0)-1)&gt;(MATCH(INDEX(Data_metier!$D:$D,MATCH(Q$1,Data_metier!$B:$B,0)),{"Non Concerné";"Niveau 1";"Niveau 2";"Niveau 3";"Niveau 4"},0)-1),
1/6,0)+IF((MATCH(INDEX(Data_metier!$E:$E,MATCH($A30,Data_metier!$B:$B,0)),{"Non Concerné";"Niveau 1";"Niveau 2";"Niveau 3";"Niveau 4"},0)-1)&gt;(MATCH(INDEX(Data_metier!$E:$E,MATCH(Q$1,Data_metier!$B:$B,0)),{"Non Concerné";"Niveau 1";"Niveau 2";"Niveau 3";"Niveau 4"},0)-1),
1/6,0))</f>
        <v>-1</v>
      </c>
      <c r="R30">
        <f>IF(DE_respon_transv!R30=-1,-1,
DE_respon_transv!R30+IF((MATCH(INDEX(Data_metier!$C:$C,MATCH($A30,Data_metier!$B:$B,0)),{"Non Concerné";"Niveau 1";"Niveau 2";"Niveau 3";"Niveau 4"},0)-1)&gt;(MATCH(INDEX(Data_metier!$C:$C,MATCH(R$1,Data_metier!$B:$B,0)),{"Non Concerné";"Niveau 1";"Niveau 2";"Niveau 3";"Niveau 4"},0)-1),
1/6,0)+IF((MATCH(INDEX(Data_metier!$D:$D,MATCH($A30,Data_metier!$B:$B,0)),{"Non Concerné";"Niveau 1";"Niveau 2";"Niveau 3";"Niveau 4"},0)-1)&gt;(MATCH(INDEX(Data_metier!$D:$D,MATCH(R$1,Data_metier!$B:$B,0)),{"Non Concerné";"Niveau 1";"Niveau 2";"Niveau 3";"Niveau 4"},0)-1),
1/6,0)+IF((MATCH(INDEX(Data_metier!$E:$E,MATCH($A30,Data_metier!$B:$B,0)),{"Non Concerné";"Niveau 1";"Niveau 2";"Niveau 3";"Niveau 4"},0)-1)&gt;(MATCH(INDEX(Data_metier!$E:$E,MATCH(R$1,Data_metier!$B:$B,0)),{"Non Concerné";"Niveau 1";"Niveau 2";"Niveau 3";"Niveau 4"},0)-1),
1/6,0))</f>
        <v>-1</v>
      </c>
      <c r="S30">
        <f>IF(DE_respon_transv!S30=-1,-1,
DE_respon_transv!S30+IF((MATCH(INDEX(Data_metier!$C:$C,MATCH($A30,Data_metier!$B:$B,0)),{"Non Concerné";"Niveau 1";"Niveau 2";"Niveau 3";"Niveau 4"},0)-1)&gt;(MATCH(INDEX(Data_metier!$C:$C,MATCH(S$1,Data_metier!$B:$B,0)),{"Non Concerné";"Niveau 1";"Niveau 2";"Niveau 3";"Niveau 4"},0)-1),
1/6,0)+IF((MATCH(INDEX(Data_metier!$D:$D,MATCH($A30,Data_metier!$B:$B,0)),{"Non Concerné";"Niveau 1";"Niveau 2";"Niveau 3";"Niveau 4"},0)-1)&gt;(MATCH(INDEX(Data_metier!$D:$D,MATCH(S$1,Data_metier!$B:$B,0)),{"Non Concerné";"Niveau 1";"Niveau 2";"Niveau 3";"Niveau 4"},0)-1),
1/6,0)+IF((MATCH(INDEX(Data_metier!$E:$E,MATCH($A30,Data_metier!$B:$B,0)),{"Non Concerné";"Niveau 1";"Niveau 2";"Niveau 3";"Niveau 4"},0)-1)&gt;(MATCH(INDEX(Data_metier!$E:$E,MATCH(S$1,Data_metier!$B:$B,0)),{"Non Concerné";"Niveau 1";"Niveau 2";"Niveau 3";"Niveau 4"},0)-1),
1/6,0))</f>
        <v>2.333333333333333</v>
      </c>
      <c r="T30">
        <f>IF(DE_respon_transv!T30=-1,-1,
DE_respon_transv!T30+IF((MATCH(INDEX(Data_metier!$C:$C,MATCH($A30,Data_metier!$B:$B,0)),{"Non Concerné";"Niveau 1";"Niveau 2";"Niveau 3";"Niveau 4"},0)-1)&gt;(MATCH(INDEX(Data_metier!$C:$C,MATCH(T$1,Data_metier!$B:$B,0)),{"Non Concerné";"Niveau 1";"Niveau 2";"Niveau 3";"Niveau 4"},0)-1),
1/6,0)+IF((MATCH(INDEX(Data_metier!$D:$D,MATCH($A30,Data_metier!$B:$B,0)),{"Non Concerné";"Niveau 1";"Niveau 2";"Niveau 3";"Niveau 4"},0)-1)&gt;(MATCH(INDEX(Data_metier!$D:$D,MATCH(T$1,Data_metier!$B:$B,0)),{"Non Concerné";"Niveau 1";"Niveau 2";"Niveau 3";"Niveau 4"},0)-1),
1/6,0)+IF((MATCH(INDEX(Data_metier!$E:$E,MATCH($A30,Data_metier!$B:$B,0)),{"Non Concerné";"Niveau 1";"Niveau 2";"Niveau 3";"Niveau 4"},0)-1)&gt;(MATCH(INDEX(Data_metier!$E:$E,MATCH(T$1,Data_metier!$B:$B,0)),{"Non Concerné";"Niveau 1";"Niveau 2";"Niveau 3";"Niveau 4"},0)-1),
1/6,0))</f>
        <v>2.1666666666666665</v>
      </c>
      <c r="U30">
        <f>IF(DE_respon_transv!U30=-1,-1,
DE_respon_transv!U30+IF((MATCH(INDEX(Data_metier!$C:$C,MATCH($A30,Data_metier!$B:$B,0)),{"Non Concerné";"Niveau 1";"Niveau 2";"Niveau 3";"Niveau 4"},0)-1)&gt;(MATCH(INDEX(Data_metier!$C:$C,MATCH(U$1,Data_metier!$B:$B,0)),{"Non Concerné";"Niveau 1";"Niveau 2";"Niveau 3";"Niveau 4"},0)-1),
1/6,0)+IF((MATCH(INDEX(Data_metier!$D:$D,MATCH($A30,Data_metier!$B:$B,0)),{"Non Concerné";"Niveau 1";"Niveau 2";"Niveau 3";"Niveau 4"},0)-1)&gt;(MATCH(INDEX(Data_metier!$D:$D,MATCH(U$1,Data_metier!$B:$B,0)),{"Non Concerné";"Niveau 1";"Niveau 2";"Niveau 3";"Niveau 4"},0)-1),
1/6,0)+IF((MATCH(INDEX(Data_metier!$E:$E,MATCH($A30,Data_metier!$B:$B,0)),{"Non Concerné";"Niveau 1";"Niveau 2";"Niveau 3";"Niveau 4"},0)-1)&gt;(MATCH(INDEX(Data_metier!$E:$E,MATCH(U$1,Data_metier!$B:$B,0)),{"Non Concerné";"Niveau 1";"Niveau 2";"Niveau 3";"Niveau 4"},0)-1),
1/6,0))</f>
        <v>2.333333333333333</v>
      </c>
      <c r="V30">
        <f>IF(DE_respon_transv!V30=-1,-1,
DE_respon_transv!V30+IF((MATCH(INDEX(Data_metier!$C:$C,MATCH($A30,Data_metier!$B:$B,0)),{"Non Concerné";"Niveau 1";"Niveau 2";"Niveau 3";"Niveau 4"},0)-1)&gt;(MATCH(INDEX(Data_metier!$C:$C,MATCH(V$1,Data_metier!$B:$B,0)),{"Non Concerné";"Niveau 1";"Niveau 2";"Niveau 3";"Niveau 4"},0)-1),
1/6,0)+IF((MATCH(INDEX(Data_metier!$D:$D,MATCH($A30,Data_metier!$B:$B,0)),{"Non Concerné";"Niveau 1";"Niveau 2";"Niveau 3";"Niveau 4"},0)-1)&gt;(MATCH(INDEX(Data_metier!$D:$D,MATCH(V$1,Data_metier!$B:$B,0)),{"Non Concerné";"Niveau 1";"Niveau 2";"Niveau 3";"Niveau 4"},0)-1),
1/6,0)+IF((MATCH(INDEX(Data_metier!$E:$E,MATCH($A30,Data_metier!$B:$B,0)),{"Non Concerné";"Niveau 1";"Niveau 2";"Niveau 3";"Niveau 4"},0)-1)&gt;(MATCH(INDEX(Data_metier!$E:$E,MATCH(V$1,Data_metier!$B:$B,0)),{"Non Concerné";"Niveau 1";"Niveau 2";"Niveau 3";"Niveau 4"},0)-1),
1/6,0))</f>
        <v>1</v>
      </c>
      <c r="W30">
        <f>IF(DE_respon_transv!W30=-1,-1,
DE_respon_transv!W30+IF((MATCH(INDEX(Data_metier!$C:$C,MATCH($A30,Data_metier!$B:$B,0)),{"Non Concerné";"Niveau 1";"Niveau 2";"Niveau 3";"Niveau 4"},0)-1)&gt;(MATCH(INDEX(Data_metier!$C:$C,MATCH(W$1,Data_metier!$B:$B,0)),{"Non Concerné";"Niveau 1";"Niveau 2";"Niveau 3";"Niveau 4"},0)-1),
1/6,0)+IF((MATCH(INDEX(Data_metier!$D:$D,MATCH($A30,Data_metier!$B:$B,0)),{"Non Concerné";"Niveau 1";"Niveau 2";"Niveau 3";"Niveau 4"},0)-1)&gt;(MATCH(INDEX(Data_metier!$D:$D,MATCH(W$1,Data_metier!$B:$B,0)),{"Non Concerné";"Niveau 1";"Niveau 2";"Niveau 3";"Niveau 4"},0)-1),
1/6,0)+IF((MATCH(INDEX(Data_metier!$E:$E,MATCH($A30,Data_metier!$B:$B,0)),{"Non Concerné";"Niveau 1";"Niveau 2";"Niveau 3";"Niveau 4"},0)-1)&gt;(MATCH(INDEX(Data_metier!$E:$E,MATCH(W$1,Data_metier!$B:$B,0)),{"Non Concerné";"Niveau 1";"Niveau 2";"Niveau 3";"Niveau 4"},0)-1),
1/6,0))</f>
        <v>1</v>
      </c>
      <c r="X30">
        <f>IF(DE_respon_transv!X30=-1,-1,
DE_respon_transv!X30+IF((MATCH(INDEX(Data_metier!$C:$C,MATCH($A30,Data_metier!$B:$B,0)),{"Non Concerné";"Niveau 1";"Niveau 2";"Niveau 3";"Niveau 4"},0)-1)&gt;(MATCH(INDEX(Data_metier!$C:$C,MATCH(X$1,Data_metier!$B:$B,0)),{"Non Concerné";"Niveau 1";"Niveau 2";"Niveau 3";"Niveau 4"},0)-1),
1/6,0)+IF((MATCH(INDEX(Data_metier!$D:$D,MATCH($A30,Data_metier!$B:$B,0)),{"Non Concerné";"Niveau 1";"Niveau 2";"Niveau 3";"Niveau 4"},0)-1)&gt;(MATCH(INDEX(Data_metier!$D:$D,MATCH(X$1,Data_metier!$B:$B,0)),{"Non Concerné";"Niveau 1";"Niveau 2";"Niveau 3";"Niveau 4"},0)-1),
1/6,0)+IF((MATCH(INDEX(Data_metier!$E:$E,MATCH($A30,Data_metier!$B:$B,0)),{"Non Concerné";"Niveau 1";"Niveau 2";"Niveau 3";"Niveau 4"},0)-1)&gt;(MATCH(INDEX(Data_metier!$E:$E,MATCH(X$1,Data_metier!$B:$B,0)),{"Non Concerné";"Niveau 1";"Niveau 2";"Niveau 3";"Niveau 4"},0)-1),
1/6,0))</f>
        <v>-1</v>
      </c>
      <c r="Y30">
        <f>IF(DE_respon_transv!Y30=-1,-1,
DE_respon_transv!Y30+IF((MATCH(INDEX(Data_metier!$C:$C,MATCH($A30,Data_metier!$B:$B,0)),{"Non Concerné";"Niveau 1";"Niveau 2";"Niveau 3";"Niveau 4"},0)-1)&gt;(MATCH(INDEX(Data_metier!$C:$C,MATCH(Y$1,Data_metier!$B:$B,0)),{"Non Concerné";"Niveau 1";"Niveau 2";"Niveau 3";"Niveau 4"},0)-1),
1/6,0)+IF((MATCH(INDEX(Data_metier!$D:$D,MATCH($A30,Data_metier!$B:$B,0)),{"Non Concerné";"Niveau 1";"Niveau 2";"Niveau 3";"Niveau 4"},0)-1)&gt;(MATCH(INDEX(Data_metier!$D:$D,MATCH(Y$1,Data_metier!$B:$B,0)),{"Non Concerné";"Niveau 1";"Niveau 2";"Niveau 3";"Niveau 4"},0)-1),
1/6,0)+IF((MATCH(INDEX(Data_metier!$E:$E,MATCH($A30,Data_metier!$B:$B,0)),{"Non Concerné";"Niveau 1";"Niveau 2";"Niveau 3";"Niveau 4"},0)-1)&gt;(MATCH(INDEX(Data_metier!$E:$E,MATCH(Y$1,Data_metier!$B:$B,0)),{"Non Concerné";"Niveau 1";"Niveau 2";"Niveau 3";"Niveau 4"},0)-1),
1/6,0))</f>
        <v>2.333333333333333</v>
      </c>
      <c r="Z30">
        <f>IF(DE_respon_transv!Z30=-1,-1,
DE_respon_transv!Z30+IF((MATCH(INDEX(Data_metier!$C:$C,MATCH($A30,Data_metier!$B:$B,0)),{"Non Concerné";"Niveau 1";"Niveau 2";"Niveau 3";"Niveau 4"},0)-1)&gt;(MATCH(INDEX(Data_metier!$C:$C,MATCH(Z$1,Data_metier!$B:$B,0)),{"Non Concerné";"Niveau 1";"Niveau 2";"Niveau 3";"Niveau 4"},0)-1),
1/6,0)+IF((MATCH(INDEX(Data_metier!$D:$D,MATCH($A30,Data_metier!$B:$B,0)),{"Non Concerné";"Niveau 1";"Niveau 2";"Niveau 3";"Niveau 4"},0)-1)&gt;(MATCH(INDEX(Data_metier!$D:$D,MATCH(Z$1,Data_metier!$B:$B,0)),{"Non Concerné";"Niveau 1";"Niveau 2";"Niveau 3";"Niveau 4"},0)-1),
1/6,0)+IF((MATCH(INDEX(Data_metier!$E:$E,MATCH($A30,Data_metier!$B:$B,0)),{"Non Concerné";"Niveau 1";"Niveau 2";"Niveau 3";"Niveau 4"},0)-1)&gt;(MATCH(INDEX(Data_metier!$E:$E,MATCH(Z$1,Data_metier!$B:$B,0)),{"Non Concerné";"Niveau 1";"Niveau 2";"Niveau 3";"Niveau 4"},0)-1),
1/6,0))</f>
        <v>2.333333333333333</v>
      </c>
      <c r="AA30">
        <f>IF(DE_respon_transv!AA30=-1,-1,
DE_respon_transv!AA30+IF((MATCH(INDEX(Data_metier!$C:$C,MATCH($A30,Data_metier!$B:$B,0)),{"Non Concerné";"Niveau 1";"Niveau 2";"Niveau 3";"Niveau 4"},0)-1)&gt;(MATCH(INDEX(Data_metier!$C:$C,MATCH(AA$1,Data_metier!$B:$B,0)),{"Non Concerné";"Niveau 1";"Niveau 2";"Niveau 3";"Niveau 4"},0)-1),
1/6,0)+IF((MATCH(INDEX(Data_metier!$D:$D,MATCH($A30,Data_metier!$B:$B,0)),{"Non Concerné";"Niveau 1";"Niveau 2";"Niveau 3";"Niveau 4"},0)-1)&gt;(MATCH(INDEX(Data_metier!$D:$D,MATCH(AA$1,Data_metier!$B:$B,0)),{"Non Concerné";"Niveau 1";"Niveau 2";"Niveau 3";"Niveau 4"},0)-1),
1/6,0)+IF((MATCH(INDEX(Data_metier!$E:$E,MATCH($A30,Data_metier!$B:$B,0)),{"Non Concerné";"Niveau 1";"Niveau 2";"Niveau 3";"Niveau 4"},0)-1)&gt;(MATCH(INDEX(Data_metier!$E:$E,MATCH(AA$1,Data_metier!$B:$B,0)),{"Non Concerné";"Niveau 1";"Niveau 2";"Niveau 3";"Niveau 4"},0)-1),
1/6,0))</f>
        <v>2.333333333333333</v>
      </c>
      <c r="AB30">
        <f>IF(DE_respon_transv!AB30=-1,-1,
DE_respon_transv!AB30+IF((MATCH(INDEX(Data_metier!$C:$C,MATCH($A30,Data_metier!$B:$B,0)),{"Non Concerné";"Niveau 1";"Niveau 2";"Niveau 3";"Niveau 4"},0)-1)&gt;(MATCH(INDEX(Data_metier!$C:$C,MATCH(AB$1,Data_metier!$B:$B,0)),{"Non Concerné";"Niveau 1";"Niveau 2";"Niveau 3";"Niveau 4"},0)-1),
1/6,0)+IF((MATCH(INDEX(Data_metier!$D:$D,MATCH($A30,Data_metier!$B:$B,0)),{"Non Concerné";"Niveau 1";"Niveau 2";"Niveau 3";"Niveau 4"},0)-1)&gt;(MATCH(INDEX(Data_metier!$D:$D,MATCH(AB$1,Data_metier!$B:$B,0)),{"Non Concerné";"Niveau 1";"Niveau 2";"Niveau 3";"Niveau 4"},0)-1),
1/6,0)+IF((MATCH(INDEX(Data_metier!$E:$E,MATCH($A30,Data_metier!$B:$B,0)),{"Non Concerné";"Niveau 1";"Niveau 2";"Niveau 3";"Niveau 4"},0)-1)&gt;(MATCH(INDEX(Data_metier!$E:$E,MATCH(AB$1,Data_metier!$B:$B,0)),{"Non Concerné";"Niveau 1";"Niveau 2";"Niveau 3";"Niveau 4"},0)-1),
1/6,0))</f>
        <v>1</v>
      </c>
      <c r="AC30">
        <f>IF(DE_respon_transv!AC30=-1,-1,
DE_respon_transv!AC30+IF((MATCH(INDEX(Data_metier!$C:$C,MATCH($A30,Data_metier!$B:$B,0)),{"Non Concerné";"Niveau 1";"Niveau 2";"Niveau 3";"Niveau 4"},0)-1)&gt;(MATCH(INDEX(Data_metier!$C:$C,MATCH(AC$1,Data_metier!$B:$B,0)),{"Non Concerné";"Niveau 1";"Niveau 2";"Niveau 3";"Niveau 4"},0)-1),
1/6,0)+IF((MATCH(INDEX(Data_metier!$D:$D,MATCH($A30,Data_metier!$B:$B,0)),{"Non Concerné";"Niveau 1";"Niveau 2";"Niveau 3";"Niveau 4"},0)-1)&gt;(MATCH(INDEX(Data_metier!$D:$D,MATCH(AC$1,Data_metier!$B:$B,0)),{"Non Concerné";"Niveau 1";"Niveau 2";"Niveau 3";"Niveau 4"},0)-1),
1/6,0)+IF((MATCH(INDEX(Data_metier!$E:$E,MATCH($A30,Data_metier!$B:$B,0)),{"Non Concerné";"Niveau 1";"Niveau 2";"Niveau 3";"Niveau 4"},0)-1)&gt;(MATCH(INDEX(Data_metier!$E:$E,MATCH(AC$1,Data_metier!$B:$B,0)),{"Non Concerné";"Niveau 1";"Niveau 2";"Niveau 3";"Niveau 4"},0)-1),
1/6,0))</f>
        <v>1</v>
      </c>
      <c r="AD30">
        <f>IF(DE_respon_transv!AD30=-1,-1,
DE_respon_transv!AD30+IF((MATCH(INDEX(Data_metier!$C:$C,MATCH($A30,Data_metier!$B:$B,0)),{"Non Concerné";"Niveau 1";"Niveau 2";"Niveau 3";"Niveau 4"},0)-1)&gt;(MATCH(INDEX(Data_metier!$C:$C,MATCH(AD$1,Data_metier!$B:$B,0)),{"Non Concerné";"Niveau 1";"Niveau 2";"Niveau 3";"Niveau 4"},0)-1),
1/6,0)+IF((MATCH(INDEX(Data_metier!$D:$D,MATCH($A30,Data_metier!$B:$B,0)),{"Non Concerné";"Niveau 1";"Niveau 2";"Niveau 3";"Niveau 4"},0)-1)&gt;(MATCH(INDEX(Data_metier!$D:$D,MATCH(AD$1,Data_metier!$B:$B,0)),{"Non Concerné";"Niveau 1";"Niveau 2";"Niveau 3";"Niveau 4"},0)-1),
1/6,0)+IF((MATCH(INDEX(Data_metier!$E:$E,MATCH($A30,Data_metier!$B:$B,0)),{"Non Concerné";"Niveau 1";"Niveau 2";"Niveau 3";"Niveau 4"},0)-1)&gt;(MATCH(INDEX(Data_metier!$E:$E,MATCH(AD$1,Data_metier!$B:$B,0)),{"Non Concerné";"Niveau 1";"Niveau 2";"Niveau 3";"Niveau 4"},0)-1),
1/6,0))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AC46-FC81-41BE-A9D3-4E2FFB09EAAB}">
  <sheetPr codeName="Feuil8"/>
  <dimension ref="A1:AD30"/>
  <sheetViews>
    <sheetView workbookViewId="0">
      <selection activeCell="H8" sqref="H8"/>
    </sheetView>
  </sheetViews>
  <sheetFormatPr defaultColWidth="11.42578125" defaultRowHeight="15"/>
  <cols>
    <col min="1" max="1" width="35.28515625" style="55" customWidth="1"/>
    <col min="2" max="2" width="15.5703125" bestFit="1" customWidth="1"/>
  </cols>
  <sheetData>
    <row r="1" spans="1:30" s="55" customFormat="1">
      <c r="B1" s="55" t="str" cm="1">
        <f t="array" ref="B1:AD1">TRANSPOSE(Tableau1[INT_METIER])</f>
        <v>Caviste</v>
      </c>
      <c r="C1" s="55" t="str">
        <v>Agent de silo</v>
      </c>
      <c r="D1" s="55" t="str">
        <v>Opérateur(trice) logistique</v>
      </c>
      <c r="E1" s="55" t="str">
        <v>Manager(euse) logistique</v>
      </c>
      <c r="F1" s="55" t="str">
        <v>Maître(sse) de chai</v>
      </c>
      <c r="G1" s="55" t="str">
        <v>Superviseur(se) de production (fabrication / conditionnement)</v>
      </c>
      <c r="H1" s="55" t="str">
        <v>Spécialiste planning / ordonnancement</v>
      </c>
      <c r="I1" s="55" t="str">
        <v>Opérateur(trice) logistique</v>
      </c>
      <c r="J1" s="55" t="str">
        <v>Logisticien(ne) approvisionneur(se)</v>
      </c>
      <c r="K1" s="55" t="str">
        <v>Responsable de production de produits alimentaires (fabrication / conditionnement)</v>
      </c>
      <c r="L1" s="55" t="str">
        <v>Chauffeur(se) livreur(se)</v>
      </c>
      <c r="M1" s="55" t="str">
        <v>Régleur(se)</v>
      </c>
      <c r="N1" s="55" t="str">
        <v>Spécialiste procédés et installations de production alimentaire</v>
      </c>
      <c r="O1" s="55" t="str">
        <v>Conducteur(trice) de livraison et de collecte</v>
      </c>
      <c r="P1" s="55" t="str">
        <v>Opérateur(trice) hygiène / sanitation</v>
      </c>
      <c r="Q1" s="55" t="str">
        <v>Chef(fe) de silo</v>
      </c>
      <c r="R1" s="55" t="str">
        <v>Acheteur(se) / négociateur(trice) de matières premières</v>
      </c>
      <c r="S1" s="55" t="str">
        <v>Opérateur(trice) de production alimentaire</v>
      </c>
      <c r="T1" s="55" t="str">
        <v>Conducteur(trice) de machine(s) de production alimentaire (fabrication / conditionnement)</v>
      </c>
      <c r="U1" s="55" t="str">
        <v>Boulanger(ère)/pâtissier(ère) industriel(le)</v>
      </c>
      <c r="V1" s="55" t="str">
        <v>Conducteur(trice) de ligne(s)de production alimentaire (fabrication/conditionnement)</v>
      </c>
      <c r="W1" s="55" t="str">
        <v>Conducteur(trice) de process de production alimentaire</v>
      </c>
      <c r="X1" s="55" t="str">
        <v>Responsable de plateforme/ d’exploitation logistique</v>
      </c>
      <c r="Y1" s="55" t="str">
        <v>Opérateur(trice) de transformation des viandes</v>
      </c>
      <c r="Z1" s="55" t="str">
        <v>Fromager(ère) industriel(le)</v>
      </c>
      <c r="AA1" s="55" t="str">
        <v>Opérateur(trice) de préparation de poissons et de produits de la mer</v>
      </c>
      <c r="AB1" s="55" t="str">
        <v>Mécanicien(ne) de maintenance industrielle</v>
      </c>
      <c r="AC1" s="55" t="str">
        <v>Mécanicien(ne)-sertisseur(euse)</v>
      </c>
      <c r="AD1" s="55" t="str">
        <v>Electromécanicien(ne) de maintenance industrielle</v>
      </c>
    </row>
    <row r="2" spans="1:30">
      <c r="A2" s="55" t="str" cm="1">
        <f t="array" ref="A2:A30">Tableau1[INT_METIER]</f>
        <v>Caviste</v>
      </c>
      <c r="B2">
        <f>IF(DE_ress_transv!B2=-1,-1,
DE_ress_transv!B2+IF(AND(INDEX(Data_metier!$G:$G,MATCH(B$1,Data_metier!$B:$B,0))="Non",
INDEX(Data_metier!$G:$G,MATCH($A2,Data_metier!$B:$B,0))="Oui, en amont OU aval"),
0.5,
IF(AND(INDEX(Data_metier!$G:$G,MATCH(B$1,Data_metier!$B:$B,0))="Non",
INDEX(Data_metier!$G:$G,MATCH($A2,Data_metier!$B:$B,0))="Oui, en amont ET aval"),
1,
IF(AND(INDEX(Data_metier!$G:$G,MATCH(B$1,Data_metier!$B:$B,0))="Oui, en amont OU aval",
INDEX(Data_metier!$G:$G,MATCH($A2,Data_metier!$B:$B,0))="Oui, en amont ET aval"),
0.5,
0))))</f>
        <v>0</v>
      </c>
      <c r="C2">
        <f>IF(DE_ress_transv!C2=-1,-1,
DE_ress_transv!C2+IF(AND(INDEX(Data_metier!$G:$G,MATCH(C$1,Data_metier!$B:$B,0))="Non",
INDEX(Data_metier!$G:$G,MATCH($A2,Data_metier!$B:$B,0))="Oui, en amont OU aval"),
0.5,
IF(AND(INDEX(Data_metier!$G:$G,MATCH(C$1,Data_metier!$B:$B,0))="Non",
INDEX(Data_metier!$G:$G,MATCH($A2,Data_metier!$B:$B,0))="Oui, en amont ET aval"),
1,
IF(AND(INDEX(Data_metier!$G:$G,MATCH(C$1,Data_metier!$B:$B,0))="Oui, en amont OU aval",
INDEX(Data_metier!$G:$G,MATCH($A2,Data_metier!$B:$B,0))="Oui, en amont ET aval"),
0.5,
0))))</f>
        <v>0.5</v>
      </c>
      <c r="D2">
        <f>IF(DE_ress_transv!D2=-1,-1,
DE_ress_transv!D2+IF(AND(INDEX(Data_metier!$G:$G,MATCH(D$1,Data_metier!$B:$B,0))="Non",
INDEX(Data_metier!$G:$G,MATCH($A2,Data_metier!$B:$B,0))="Oui, en amont OU aval"),
0.5,
IF(AND(INDEX(Data_metier!$G:$G,MATCH(D$1,Data_metier!$B:$B,0))="Non",
INDEX(Data_metier!$G:$G,MATCH($A2,Data_metier!$B:$B,0))="Oui, en amont ET aval"),
1,
IF(AND(INDEX(Data_metier!$G:$G,MATCH(D$1,Data_metier!$B:$B,0))="Oui, en amont OU aval",
INDEX(Data_metier!$G:$G,MATCH($A2,Data_metier!$B:$B,0))="Oui, en amont ET aval"),
0.5,
0))))</f>
        <v>1.5</v>
      </c>
      <c r="E2">
        <f>IF(DE_ress_transv!E2=-1,-1,
DE_ress_transv!E2+IF(AND(INDEX(Data_metier!$G:$G,MATCH(E$1,Data_metier!$B:$B,0))="Non",
INDEX(Data_metier!$G:$G,MATCH($A2,Data_metier!$B:$B,0))="Oui, en amont OU aval"),
0.5,
IF(AND(INDEX(Data_metier!$G:$G,MATCH(E$1,Data_metier!$B:$B,0))="Non",
INDEX(Data_metier!$G:$G,MATCH($A2,Data_metier!$B:$B,0))="Oui, en amont ET aval"),
1,
IF(AND(INDEX(Data_metier!$G:$G,MATCH(E$1,Data_metier!$B:$B,0))="Oui, en amont OU aval",
INDEX(Data_metier!$G:$G,MATCH($A2,Data_metier!$B:$B,0))="Oui, en amont ET aval"),
0.5,
0))))</f>
        <v>-1</v>
      </c>
      <c r="F2">
        <f>IF(DE_ress_transv!F2=-1,-1,
DE_ress_transv!F2+IF(AND(INDEX(Data_metier!$G:$G,MATCH(F$1,Data_metier!$B:$B,0))="Non",
INDEX(Data_metier!$G:$G,MATCH($A2,Data_metier!$B:$B,0))="Oui, en amont OU aval"),
0.5,
IF(AND(INDEX(Data_metier!$G:$G,MATCH(F$1,Data_metier!$B:$B,0))="Non",
INDEX(Data_metier!$G:$G,MATCH($A2,Data_metier!$B:$B,0))="Oui, en amont ET aval"),
1,
IF(AND(INDEX(Data_metier!$G:$G,MATCH(F$1,Data_metier!$B:$B,0))="Oui, en amont OU aval",
INDEX(Data_metier!$G:$G,MATCH($A2,Data_metier!$B:$B,0))="Oui, en amont ET aval"),
0.5,
0))))</f>
        <v>-1</v>
      </c>
      <c r="G2">
        <f>IF(DE_ress_transv!G2=-1,-1,
DE_ress_transv!G2+IF(AND(INDEX(Data_metier!$G:$G,MATCH(G$1,Data_metier!$B:$B,0))="Non",
INDEX(Data_metier!$G:$G,MATCH($A2,Data_metier!$B:$B,0))="Oui, en amont OU aval"),
0.5,
IF(AND(INDEX(Data_metier!$G:$G,MATCH(G$1,Data_metier!$B:$B,0))="Non",
INDEX(Data_metier!$G:$G,MATCH($A2,Data_metier!$B:$B,0))="Oui, en amont ET aval"),
1,
IF(AND(INDEX(Data_metier!$G:$G,MATCH(G$1,Data_metier!$B:$B,0))="Oui, en amont OU aval",
INDEX(Data_metier!$G:$G,MATCH($A2,Data_metier!$B:$B,0))="Oui, en amont ET aval"),
0.5,
0))))</f>
        <v>-1</v>
      </c>
      <c r="H2">
        <f>IF(DE_ress_transv!H2=-1,-1,
DE_ress_transv!H2+IF(AND(INDEX(Data_metier!$G:$G,MATCH(H$1,Data_metier!$B:$B,0))="Non",
INDEX(Data_metier!$G:$G,MATCH($A2,Data_metier!$B:$B,0))="Oui, en amont OU aval"),
0.5,
IF(AND(INDEX(Data_metier!$G:$G,MATCH(H$1,Data_metier!$B:$B,0))="Non",
INDEX(Data_metier!$G:$G,MATCH($A2,Data_metier!$B:$B,0))="Oui, en amont ET aval"),
1,
IF(AND(INDEX(Data_metier!$G:$G,MATCH(H$1,Data_metier!$B:$B,0))="Oui, en amont OU aval",
INDEX(Data_metier!$G:$G,MATCH($A2,Data_metier!$B:$B,0))="Oui, en amont ET aval"),
0.5,
0))))</f>
        <v>-1</v>
      </c>
      <c r="I2">
        <f>IF(DE_ress_transv!I2=-1,-1,
DE_ress_transv!I2+IF(AND(INDEX(Data_metier!$G:$G,MATCH(I$1,Data_metier!$B:$B,0))="Non",
INDEX(Data_metier!$G:$G,MATCH($A2,Data_metier!$B:$B,0))="Oui, en amont OU aval"),
0.5,
IF(AND(INDEX(Data_metier!$G:$G,MATCH(I$1,Data_metier!$B:$B,0))="Non",
INDEX(Data_metier!$G:$G,MATCH($A2,Data_metier!$B:$B,0))="Oui, en amont ET aval"),
1,
IF(AND(INDEX(Data_metier!$G:$G,MATCH(I$1,Data_metier!$B:$B,0))="Oui, en amont OU aval",
INDEX(Data_metier!$G:$G,MATCH($A2,Data_metier!$B:$B,0))="Oui, en amont ET aval"),
0.5,
0))))</f>
        <v>1.5</v>
      </c>
      <c r="J2">
        <f>IF(DE_ress_transv!J2=-1,-1,
DE_ress_transv!J2+IF(AND(INDEX(Data_metier!$G:$G,MATCH(J$1,Data_metier!$B:$B,0))="Non",
INDEX(Data_metier!$G:$G,MATCH($A2,Data_metier!$B:$B,0))="Oui, en amont OU aval"),
0.5,
IF(AND(INDEX(Data_metier!$G:$G,MATCH(J$1,Data_metier!$B:$B,0))="Non",
INDEX(Data_metier!$G:$G,MATCH($A2,Data_metier!$B:$B,0))="Oui, en amont ET aval"),
1,
IF(AND(INDEX(Data_metier!$G:$G,MATCH(J$1,Data_metier!$B:$B,0))="Oui, en amont OU aval",
INDEX(Data_metier!$G:$G,MATCH($A2,Data_metier!$B:$B,0))="Oui, en amont ET aval"),
0.5,
0))))</f>
        <v>-1</v>
      </c>
      <c r="K2">
        <f>IF(DE_ress_transv!K2=-1,-1,
DE_ress_transv!K2+IF(AND(INDEX(Data_metier!$G:$G,MATCH(K$1,Data_metier!$B:$B,0))="Non",
INDEX(Data_metier!$G:$G,MATCH($A2,Data_metier!$B:$B,0))="Oui, en amont OU aval"),
0.5,
IF(AND(INDEX(Data_metier!$G:$G,MATCH(K$1,Data_metier!$B:$B,0))="Non",
INDEX(Data_metier!$G:$G,MATCH($A2,Data_metier!$B:$B,0))="Oui, en amont ET aval"),
1,
IF(AND(INDEX(Data_metier!$G:$G,MATCH(K$1,Data_metier!$B:$B,0))="Oui, en amont OU aval",
INDEX(Data_metier!$G:$G,MATCH($A2,Data_metier!$B:$B,0))="Oui, en amont ET aval"),
0.5,
0))))</f>
        <v>-1</v>
      </c>
      <c r="L2">
        <f>IF(DE_ress_transv!L2=-1,-1,
DE_ress_transv!L2+IF(AND(INDEX(Data_metier!$G:$G,MATCH(L$1,Data_metier!$B:$B,0))="Non",
INDEX(Data_metier!$G:$G,MATCH($A2,Data_metier!$B:$B,0))="Oui, en amont OU aval"),
0.5,
IF(AND(INDEX(Data_metier!$G:$G,MATCH(L$1,Data_metier!$B:$B,0))="Non",
INDEX(Data_metier!$G:$G,MATCH($A2,Data_metier!$B:$B,0))="Oui, en amont ET aval"),
1,
IF(AND(INDEX(Data_metier!$G:$G,MATCH(L$1,Data_metier!$B:$B,0))="Oui, en amont OU aval",
INDEX(Data_metier!$G:$G,MATCH($A2,Data_metier!$B:$B,0))="Oui, en amont ET aval"),
0.5,
0))))</f>
        <v>1.5</v>
      </c>
      <c r="M2">
        <f>IF(DE_ress_transv!M2=-1,-1,
DE_ress_transv!M2+IF(AND(INDEX(Data_metier!$G:$G,MATCH(M$1,Data_metier!$B:$B,0))="Non",
INDEX(Data_metier!$G:$G,MATCH($A2,Data_metier!$B:$B,0))="Oui, en amont OU aval"),
0.5,
IF(AND(INDEX(Data_metier!$G:$G,MATCH(M$1,Data_metier!$B:$B,0))="Non",
INDEX(Data_metier!$G:$G,MATCH($A2,Data_metier!$B:$B,0))="Oui, en amont ET aval"),
1,
IF(AND(INDEX(Data_metier!$G:$G,MATCH(M$1,Data_metier!$B:$B,0))="Oui, en amont OU aval",
INDEX(Data_metier!$G:$G,MATCH($A2,Data_metier!$B:$B,0))="Oui, en amont ET aval"),
0.5,
0))))</f>
        <v>0.5</v>
      </c>
      <c r="N2">
        <f>IF(DE_ress_transv!N2=-1,-1,
DE_ress_transv!N2+IF(AND(INDEX(Data_metier!$G:$G,MATCH(N$1,Data_metier!$B:$B,0))="Non",
INDEX(Data_metier!$G:$G,MATCH($A2,Data_metier!$B:$B,0))="Oui, en amont OU aval"),
0.5,
IF(AND(INDEX(Data_metier!$G:$G,MATCH(N$1,Data_metier!$B:$B,0))="Non",
INDEX(Data_metier!$G:$G,MATCH($A2,Data_metier!$B:$B,0))="Oui, en amont ET aval"),
1,
IF(AND(INDEX(Data_metier!$G:$G,MATCH(N$1,Data_metier!$B:$B,0))="Oui, en amont OU aval",
INDEX(Data_metier!$G:$G,MATCH($A2,Data_metier!$B:$B,0))="Oui, en amont ET aval"),
0.5,
0))))</f>
        <v>-1</v>
      </c>
      <c r="O2">
        <f>IF(DE_ress_transv!O2=-1,-1,
DE_ress_transv!O2+IF(AND(INDEX(Data_metier!$G:$G,MATCH(O$1,Data_metier!$B:$B,0))="Non",
INDEX(Data_metier!$G:$G,MATCH($A2,Data_metier!$B:$B,0))="Oui, en amont OU aval"),
0.5,
IF(AND(INDEX(Data_metier!$G:$G,MATCH(O$1,Data_metier!$B:$B,0))="Non",
INDEX(Data_metier!$G:$G,MATCH($A2,Data_metier!$B:$B,0))="Oui, en amont ET aval"),
1,
IF(AND(INDEX(Data_metier!$G:$G,MATCH(O$1,Data_metier!$B:$B,0))="Oui, en amont OU aval",
INDEX(Data_metier!$G:$G,MATCH($A2,Data_metier!$B:$B,0))="Oui, en amont ET aval"),
0.5,
0))))</f>
        <v>1.5</v>
      </c>
      <c r="P2">
        <f>IF(DE_ress_transv!P2=-1,-1,
DE_ress_transv!P2+IF(AND(INDEX(Data_metier!$G:$G,MATCH(P$1,Data_metier!$B:$B,0))="Non",
INDEX(Data_metier!$G:$G,MATCH($A2,Data_metier!$B:$B,0))="Oui, en amont OU aval"),
0.5,
IF(AND(INDEX(Data_metier!$G:$G,MATCH(P$1,Data_metier!$B:$B,0))="Non",
INDEX(Data_metier!$G:$G,MATCH($A2,Data_metier!$B:$B,0))="Oui, en amont ET aval"),
1,
IF(AND(INDEX(Data_metier!$G:$G,MATCH(P$1,Data_metier!$B:$B,0))="Oui, en amont OU aval",
INDEX(Data_metier!$G:$G,MATCH($A2,Data_metier!$B:$B,0))="Oui, en amont ET aval"),
0.5,
0))))</f>
        <v>1.5</v>
      </c>
      <c r="Q2">
        <f>IF(DE_ress_transv!Q2=-1,-1,
DE_ress_transv!Q2+IF(AND(INDEX(Data_metier!$G:$G,MATCH(Q$1,Data_metier!$B:$B,0))="Non",
INDEX(Data_metier!$G:$G,MATCH($A2,Data_metier!$B:$B,0))="Oui, en amont OU aval"),
0.5,
IF(AND(INDEX(Data_metier!$G:$G,MATCH(Q$1,Data_metier!$B:$B,0))="Non",
INDEX(Data_metier!$G:$G,MATCH($A2,Data_metier!$B:$B,0))="Oui, en amont ET aval"),
1,
IF(AND(INDEX(Data_metier!$G:$G,MATCH(Q$1,Data_metier!$B:$B,0))="Oui, en amont OU aval",
INDEX(Data_metier!$G:$G,MATCH($A2,Data_metier!$B:$B,0))="Oui, en amont ET aval"),
0.5,
0))))</f>
        <v>-1</v>
      </c>
      <c r="R2">
        <f>IF(DE_ress_transv!R2=-1,-1,
DE_ress_transv!R2+IF(AND(INDEX(Data_metier!$G:$G,MATCH(R$1,Data_metier!$B:$B,0))="Non",
INDEX(Data_metier!$G:$G,MATCH($A2,Data_metier!$B:$B,0))="Oui, en amont OU aval"),
0.5,
IF(AND(INDEX(Data_metier!$G:$G,MATCH(R$1,Data_metier!$B:$B,0))="Non",
INDEX(Data_metier!$G:$G,MATCH($A2,Data_metier!$B:$B,0))="Oui, en amont ET aval"),
1,
IF(AND(INDEX(Data_metier!$G:$G,MATCH(R$1,Data_metier!$B:$B,0))="Oui, en amont OU aval",
INDEX(Data_metier!$G:$G,MATCH($A2,Data_metier!$B:$B,0))="Oui, en amont ET aval"),
0.5,
0))))</f>
        <v>-1</v>
      </c>
      <c r="S2">
        <f>IF(DE_ress_transv!S2=-1,-1,
DE_ress_transv!S2+IF(AND(INDEX(Data_metier!$G:$G,MATCH(S$1,Data_metier!$B:$B,0))="Non",
INDEX(Data_metier!$G:$G,MATCH($A2,Data_metier!$B:$B,0))="Oui, en amont OU aval"),
0.5,
IF(AND(INDEX(Data_metier!$G:$G,MATCH(S$1,Data_metier!$B:$B,0))="Non",
INDEX(Data_metier!$G:$G,MATCH($A2,Data_metier!$B:$B,0))="Oui, en amont ET aval"),
1,
IF(AND(INDEX(Data_metier!$G:$G,MATCH(S$1,Data_metier!$B:$B,0))="Oui, en amont OU aval",
INDEX(Data_metier!$G:$G,MATCH($A2,Data_metier!$B:$B,0))="Oui, en amont ET aval"),
0.5,
0))))</f>
        <v>1.5</v>
      </c>
      <c r="T2">
        <f>IF(DE_ress_transv!T2=-1,-1,
DE_ress_transv!T2+IF(AND(INDEX(Data_metier!$G:$G,MATCH(T$1,Data_metier!$B:$B,0))="Non",
INDEX(Data_metier!$G:$G,MATCH($A2,Data_metier!$B:$B,0))="Oui, en amont OU aval"),
0.5,
IF(AND(INDEX(Data_metier!$G:$G,MATCH(T$1,Data_metier!$B:$B,0))="Non",
INDEX(Data_metier!$G:$G,MATCH($A2,Data_metier!$B:$B,0))="Oui, en amont ET aval"),
1,
IF(AND(INDEX(Data_metier!$G:$G,MATCH(T$1,Data_metier!$B:$B,0))="Oui, en amont OU aval",
INDEX(Data_metier!$G:$G,MATCH($A2,Data_metier!$B:$B,0))="Oui, en amont ET aval"),
0.5,
0))))</f>
        <v>1.5</v>
      </c>
      <c r="U2">
        <f>IF(DE_ress_transv!U2=-1,-1,
DE_ress_transv!U2+IF(AND(INDEX(Data_metier!$G:$G,MATCH(U$1,Data_metier!$B:$B,0))="Non",
INDEX(Data_metier!$G:$G,MATCH($A2,Data_metier!$B:$B,0))="Oui, en amont OU aval"),
0.5,
IF(AND(INDEX(Data_metier!$G:$G,MATCH(U$1,Data_metier!$B:$B,0))="Non",
INDEX(Data_metier!$G:$G,MATCH($A2,Data_metier!$B:$B,0))="Oui, en amont ET aval"),
1,
IF(AND(INDEX(Data_metier!$G:$G,MATCH(U$1,Data_metier!$B:$B,0))="Oui, en amont OU aval",
INDEX(Data_metier!$G:$G,MATCH($A2,Data_metier!$B:$B,0))="Oui, en amont ET aval"),
0.5,
0))))</f>
        <v>1.5</v>
      </c>
      <c r="V2">
        <f>IF(DE_ress_transv!V2=-1,-1,
DE_ress_transv!V2+IF(AND(INDEX(Data_metier!$G:$G,MATCH(V$1,Data_metier!$B:$B,0))="Non",
INDEX(Data_metier!$G:$G,MATCH($A2,Data_metier!$B:$B,0))="Oui, en amont OU aval"),
0.5,
IF(AND(INDEX(Data_metier!$G:$G,MATCH(V$1,Data_metier!$B:$B,0))="Non",
INDEX(Data_metier!$G:$G,MATCH($A2,Data_metier!$B:$B,0))="Oui, en amont ET aval"),
1,
IF(AND(INDEX(Data_metier!$G:$G,MATCH(V$1,Data_metier!$B:$B,0))="Oui, en amont OU aval",
INDEX(Data_metier!$G:$G,MATCH($A2,Data_metier!$B:$B,0))="Oui, en amont ET aval"),
0.5,
0))))</f>
        <v>0</v>
      </c>
      <c r="W2">
        <f>IF(DE_ress_transv!W2=-1,-1,
DE_ress_transv!W2+IF(AND(INDEX(Data_metier!$G:$G,MATCH(W$1,Data_metier!$B:$B,0))="Non",
INDEX(Data_metier!$G:$G,MATCH($A2,Data_metier!$B:$B,0))="Oui, en amont OU aval"),
0.5,
IF(AND(INDEX(Data_metier!$G:$G,MATCH(W$1,Data_metier!$B:$B,0))="Non",
INDEX(Data_metier!$G:$G,MATCH($A2,Data_metier!$B:$B,0))="Oui, en amont ET aval"),
1,
IF(AND(INDEX(Data_metier!$G:$G,MATCH(W$1,Data_metier!$B:$B,0))="Oui, en amont OU aval",
INDEX(Data_metier!$G:$G,MATCH($A2,Data_metier!$B:$B,0))="Oui, en amont ET aval"),
0.5,
0))))</f>
        <v>0</v>
      </c>
      <c r="X2">
        <f>IF(DE_ress_transv!X2=-1,-1,
DE_ress_transv!X2+IF(AND(INDEX(Data_metier!$G:$G,MATCH(X$1,Data_metier!$B:$B,0))="Non",
INDEX(Data_metier!$G:$G,MATCH($A2,Data_metier!$B:$B,0))="Oui, en amont OU aval"),
0.5,
IF(AND(INDEX(Data_metier!$G:$G,MATCH(X$1,Data_metier!$B:$B,0))="Non",
INDEX(Data_metier!$G:$G,MATCH($A2,Data_metier!$B:$B,0))="Oui, en amont ET aval"),
1,
IF(AND(INDEX(Data_metier!$G:$G,MATCH(X$1,Data_metier!$B:$B,0))="Oui, en amont OU aval",
INDEX(Data_metier!$G:$G,MATCH($A2,Data_metier!$B:$B,0))="Oui, en amont ET aval"),
0.5,
0))))</f>
        <v>-1</v>
      </c>
      <c r="Y2">
        <f>IF(DE_ress_transv!Y2=-1,-1,
DE_ress_transv!Y2+IF(AND(INDEX(Data_metier!$G:$G,MATCH(Y$1,Data_metier!$B:$B,0))="Non",
INDEX(Data_metier!$G:$G,MATCH($A2,Data_metier!$B:$B,0))="Oui, en amont OU aval"),
0.5,
IF(AND(INDEX(Data_metier!$G:$G,MATCH(Y$1,Data_metier!$B:$B,0))="Non",
INDEX(Data_metier!$G:$G,MATCH($A2,Data_metier!$B:$B,0))="Oui, en amont ET aval"),
1,
IF(AND(INDEX(Data_metier!$G:$G,MATCH(Y$1,Data_metier!$B:$B,0))="Oui, en amont OU aval",
INDEX(Data_metier!$G:$G,MATCH($A2,Data_metier!$B:$B,0))="Oui, en amont ET aval"),
0.5,
0))))</f>
        <v>1.5</v>
      </c>
      <c r="Z2">
        <f>IF(DE_ress_transv!Z2=-1,-1,
DE_ress_transv!Z2+IF(AND(INDEX(Data_metier!$G:$G,MATCH(Z$1,Data_metier!$B:$B,0))="Non",
INDEX(Data_metier!$G:$G,MATCH($A2,Data_metier!$B:$B,0))="Oui, en amont OU aval"),
0.5,
IF(AND(INDEX(Data_metier!$G:$G,MATCH(Z$1,Data_metier!$B:$B,0))="Non",
INDEX(Data_metier!$G:$G,MATCH($A2,Data_metier!$B:$B,0))="Oui, en amont ET aval"),
1,
IF(AND(INDEX(Data_metier!$G:$G,MATCH(Z$1,Data_metier!$B:$B,0))="Oui, en amont OU aval",
INDEX(Data_metier!$G:$G,MATCH($A2,Data_metier!$B:$B,0))="Oui, en amont ET aval"),
0.5,
0))))</f>
        <v>1.5</v>
      </c>
      <c r="AA2">
        <f>IF(DE_ress_transv!AA2=-1,-1,
DE_ress_transv!AA2+IF(AND(INDEX(Data_metier!$G:$G,MATCH(AA$1,Data_metier!$B:$B,0))="Non",
INDEX(Data_metier!$G:$G,MATCH($A2,Data_metier!$B:$B,0))="Oui, en amont OU aval"),
0.5,
IF(AND(INDEX(Data_metier!$G:$G,MATCH(AA$1,Data_metier!$B:$B,0))="Non",
INDEX(Data_metier!$G:$G,MATCH($A2,Data_metier!$B:$B,0))="Oui, en amont ET aval"),
1,
IF(AND(INDEX(Data_metier!$G:$G,MATCH(AA$1,Data_metier!$B:$B,0))="Oui, en amont OU aval",
INDEX(Data_metier!$G:$G,MATCH($A2,Data_metier!$B:$B,0))="Oui, en amont ET aval"),
0.5,
0))))</f>
        <v>1.5</v>
      </c>
      <c r="AB2">
        <f>IF(DE_ress_transv!AB2=-1,-1,
DE_ress_transv!AB2+IF(AND(INDEX(Data_metier!$G:$G,MATCH(AB$1,Data_metier!$B:$B,0))="Non",
INDEX(Data_metier!$G:$G,MATCH($A2,Data_metier!$B:$B,0))="Oui, en amont OU aval"),
0.5,
IF(AND(INDEX(Data_metier!$G:$G,MATCH(AB$1,Data_metier!$B:$B,0))="Non",
INDEX(Data_metier!$G:$G,MATCH($A2,Data_metier!$B:$B,0))="Oui, en amont ET aval"),
1,
IF(AND(INDEX(Data_metier!$G:$G,MATCH(AB$1,Data_metier!$B:$B,0))="Oui, en amont OU aval",
INDEX(Data_metier!$G:$G,MATCH($A2,Data_metier!$B:$B,0))="Oui, en amont ET aval"),
0.5,
0))))</f>
        <v>0</v>
      </c>
      <c r="AC2">
        <f>IF(DE_ress_transv!AC2=-1,-1,
DE_ress_transv!AC2+IF(AND(INDEX(Data_metier!$G:$G,MATCH(AC$1,Data_metier!$B:$B,0))="Non",
INDEX(Data_metier!$G:$G,MATCH($A2,Data_metier!$B:$B,0))="Oui, en amont OU aval"),
0.5,
IF(AND(INDEX(Data_metier!$G:$G,MATCH(AC$1,Data_metier!$B:$B,0))="Non",
INDEX(Data_metier!$G:$G,MATCH($A2,Data_metier!$B:$B,0))="Oui, en amont ET aval"),
1,
IF(AND(INDEX(Data_metier!$G:$G,MATCH(AC$1,Data_metier!$B:$B,0))="Oui, en amont OU aval",
INDEX(Data_metier!$G:$G,MATCH($A2,Data_metier!$B:$B,0))="Oui, en amont ET aval"),
0.5,
0))))</f>
        <v>0</v>
      </c>
      <c r="AD2">
        <f>IF(DE_ress_transv!AD2=-1,-1,
DE_ress_transv!AD2+IF(AND(INDEX(Data_metier!$G:$G,MATCH(AD$1,Data_metier!$B:$B,0))="Non",
INDEX(Data_metier!$G:$G,MATCH($A2,Data_metier!$B:$B,0))="Oui, en amont OU aval"),
0.5,
IF(AND(INDEX(Data_metier!$G:$G,MATCH(AD$1,Data_metier!$B:$B,0))="Non",
INDEX(Data_metier!$G:$G,MATCH($A2,Data_metier!$B:$B,0))="Oui, en amont ET aval"),
1,
IF(AND(INDEX(Data_metier!$G:$G,MATCH(AD$1,Data_metier!$B:$B,0))="Oui, en amont OU aval",
INDEX(Data_metier!$G:$G,MATCH($A2,Data_metier!$B:$B,0))="Oui, en amont ET aval"),
0.5,
0))))</f>
        <v>-1</v>
      </c>
    </row>
    <row r="3" spans="1:30">
      <c r="A3" s="55" t="str">
        <v>Agent de silo</v>
      </c>
      <c r="B3">
        <f>IF(DE_ress_transv!B3=-1,-1,
DE_ress_transv!B3+IF(AND(INDEX(Data_metier!$G:$G,MATCH(B$1,Data_metier!$B:$B,0))="Non",
INDEX(Data_metier!$G:$G,MATCH($A3,Data_metier!$B:$B,0))="Oui, en amont OU aval"),
0.5,
IF(AND(INDEX(Data_metier!$G:$G,MATCH(B$1,Data_metier!$B:$B,0))="Non",
INDEX(Data_metier!$G:$G,MATCH($A3,Data_metier!$B:$B,0))="Oui, en amont ET aval"),
1,
IF(AND(INDEX(Data_metier!$G:$G,MATCH(B$1,Data_metier!$B:$B,0))="Oui, en amont OU aval",
INDEX(Data_metier!$G:$G,MATCH($A3,Data_metier!$B:$B,0))="Oui, en amont ET aval"),
0.5,
0))))</f>
        <v>0.33333333333333331</v>
      </c>
      <c r="C3">
        <f>IF(DE_ress_transv!C3=-1,-1,
DE_ress_transv!C3+IF(AND(INDEX(Data_metier!$G:$G,MATCH(C$1,Data_metier!$B:$B,0))="Non",
INDEX(Data_metier!$G:$G,MATCH($A3,Data_metier!$B:$B,0))="Oui, en amont OU aval"),
0.5,
IF(AND(INDEX(Data_metier!$G:$G,MATCH(C$1,Data_metier!$B:$B,0))="Non",
INDEX(Data_metier!$G:$G,MATCH($A3,Data_metier!$B:$B,0))="Oui, en amont ET aval"),
1,
IF(AND(INDEX(Data_metier!$G:$G,MATCH(C$1,Data_metier!$B:$B,0))="Oui, en amont OU aval",
INDEX(Data_metier!$G:$G,MATCH($A3,Data_metier!$B:$B,0))="Oui, en amont ET aval"),
0.5,
0))))</f>
        <v>0</v>
      </c>
      <c r="D3">
        <f>IF(DE_ress_transv!D3=-1,-1,
DE_ress_transv!D3+IF(AND(INDEX(Data_metier!$G:$G,MATCH(D$1,Data_metier!$B:$B,0))="Non",
INDEX(Data_metier!$G:$G,MATCH($A3,Data_metier!$B:$B,0))="Oui, en amont OU aval"),
0.5,
IF(AND(INDEX(Data_metier!$G:$G,MATCH(D$1,Data_metier!$B:$B,0))="Non",
INDEX(Data_metier!$G:$G,MATCH($A3,Data_metier!$B:$B,0))="Oui, en amont ET aval"),
1,
IF(AND(INDEX(Data_metier!$G:$G,MATCH(D$1,Data_metier!$B:$B,0))="Oui, en amont OU aval",
INDEX(Data_metier!$G:$G,MATCH($A3,Data_metier!$B:$B,0))="Oui, en amont ET aval"),
0.5,
0))))</f>
        <v>1.3333333333333335</v>
      </c>
      <c r="E3">
        <f>IF(DE_ress_transv!E3=-1,-1,
DE_ress_transv!E3+IF(AND(INDEX(Data_metier!$G:$G,MATCH(E$1,Data_metier!$B:$B,0))="Non",
INDEX(Data_metier!$G:$G,MATCH($A3,Data_metier!$B:$B,0))="Oui, en amont OU aval"),
0.5,
IF(AND(INDEX(Data_metier!$G:$G,MATCH(E$1,Data_metier!$B:$B,0))="Non",
INDEX(Data_metier!$G:$G,MATCH($A3,Data_metier!$B:$B,0))="Oui, en amont ET aval"),
1,
IF(AND(INDEX(Data_metier!$G:$G,MATCH(E$1,Data_metier!$B:$B,0))="Oui, en amont OU aval",
INDEX(Data_metier!$G:$G,MATCH($A3,Data_metier!$B:$B,0))="Oui, en amont ET aval"),
0.5,
0))))</f>
        <v>-1</v>
      </c>
      <c r="F3">
        <f>IF(DE_ress_transv!F3=-1,-1,
DE_ress_transv!F3+IF(AND(INDEX(Data_metier!$G:$G,MATCH(F$1,Data_metier!$B:$B,0))="Non",
INDEX(Data_metier!$G:$G,MATCH($A3,Data_metier!$B:$B,0))="Oui, en amont OU aval"),
0.5,
IF(AND(INDEX(Data_metier!$G:$G,MATCH(F$1,Data_metier!$B:$B,0))="Non",
INDEX(Data_metier!$G:$G,MATCH($A3,Data_metier!$B:$B,0))="Oui, en amont ET aval"),
1,
IF(AND(INDEX(Data_metier!$G:$G,MATCH(F$1,Data_metier!$B:$B,0))="Oui, en amont OU aval",
INDEX(Data_metier!$G:$G,MATCH($A3,Data_metier!$B:$B,0))="Oui, en amont ET aval"),
0.5,
0))))</f>
        <v>-1</v>
      </c>
      <c r="G3">
        <f>IF(DE_ress_transv!G3=-1,-1,
DE_ress_transv!G3+IF(AND(INDEX(Data_metier!$G:$G,MATCH(G$1,Data_metier!$B:$B,0))="Non",
INDEX(Data_metier!$G:$G,MATCH($A3,Data_metier!$B:$B,0))="Oui, en amont OU aval"),
0.5,
IF(AND(INDEX(Data_metier!$G:$G,MATCH(G$1,Data_metier!$B:$B,0))="Non",
INDEX(Data_metier!$G:$G,MATCH($A3,Data_metier!$B:$B,0))="Oui, en amont ET aval"),
1,
IF(AND(INDEX(Data_metier!$G:$G,MATCH(G$1,Data_metier!$B:$B,0))="Oui, en amont OU aval",
INDEX(Data_metier!$G:$G,MATCH($A3,Data_metier!$B:$B,0))="Oui, en amont ET aval"),
0.5,
0))))</f>
        <v>-1</v>
      </c>
      <c r="H3">
        <f>IF(DE_ress_transv!H3=-1,-1,
DE_ress_transv!H3+IF(AND(INDEX(Data_metier!$G:$G,MATCH(H$1,Data_metier!$B:$B,0))="Non",
INDEX(Data_metier!$G:$G,MATCH($A3,Data_metier!$B:$B,0))="Oui, en amont OU aval"),
0.5,
IF(AND(INDEX(Data_metier!$G:$G,MATCH(H$1,Data_metier!$B:$B,0))="Non",
INDEX(Data_metier!$G:$G,MATCH($A3,Data_metier!$B:$B,0))="Oui, en amont ET aval"),
1,
IF(AND(INDEX(Data_metier!$G:$G,MATCH(H$1,Data_metier!$B:$B,0))="Oui, en amont OU aval",
INDEX(Data_metier!$G:$G,MATCH($A3,Data_metier!$B:$B,0))="Oui, en amont ET aval"),
0.5,
0))))</f>
        <v>-1</v>
      </c>
      <c r="I3">
        <f>IF(DE_ress_transv!I3=-1,-1,
DE_ress_transv!I3+IF(AND(INDEX(Data_metier!$G:$G,MATCH(I$1,Data_metier!$B:$B,0))="Non",
INDEX(Data_metier!$G:$G,MATCH($A3,Data_metier!$B:$B,0))="Oui, en amont OU aval"),
0.5,
IF(AND(INDEX(Data_metier!$G:$G,MATCH(I$1,Data_metier!$B:$B,0))="Non",
INDEX(Data_metier!$G:$G,MATCH($A3,Data_metier!$B:$B,0))="Oui, en amont ET aval"),
1,
IF(AND(INDEX(Data_metier!$G:$G,MATCH(I$1,Data_metier!$B:$B,0))="Oui, en amont OU aval",
INDEX(Data_metier!$G:$G,MATCH($A3,Data_metier!$B:$B,0))="Oui, en amont ET aval"),
0.5,
0))))</f>
        <v>1.3333333333333335</v>
      </c>
      <c r="J3">
        <f>IF(DE_ress_transv!J3=-1,-1,
DE_ress_transv!J3+IF(AND(INDEX(Data_metier!$G:$G,MATCH(J$1,Data_metier!$B:$B,0))="Non",
INDEX(Data_metier!$G:$G,MATCH($A3,Data_metier!$B:$B,0))="Oui, en amont OU aval"),
0.5,
IF(AND(INDEX(Data_metier!$G:$G,MATCH(J$1,Data_metier!$B:$B,0))="Non",
INDEX(Data_metier!$G:$G,MATCH($A3,Data_metier!$B:$B,0))="Oui, en amont ET aval"),
1,
IF(AND(INDEX(Data_metier!$G:$G,MATCH(J$1,Data_metier!$B:$B,0))="Oui, en amont OU aval",
INDEX(Data_metier!$G:$G,MATCH($A3,Data_metier!$B:$B,0))="Oui, en amont ET aval"),
0.5,
0))))</f>
        <v>-1</v>
      </c>
      <c r="K3">
        <f>IF(DE_ress_transv!K3=-1,-1,
DE_ress_transv!K3+IF(AND(INDEX(Data_metier!$G:$G,MATCH(K$1,Data_metier!$B:$B,0))="Non",
INDEX(Data_metier!$G:$G,MATCH($A3,Data_metier!$B:$B,0))="Oui, en amont OU aval"),
0.5,
IF(AND(INDEX(Data_metier!$G:$G,MATCH(K$1,Data_metier!$B:$B,0))="Non",
INDEX(Data_metier!$G:$G,MATCH($A3,Data_metier!$B:$B,0))="Oui, en amont ET aval"),
1,
IF(AND(INDEX(Data_metier!$G:$G,MATCH(K$1,Data_metier!$B:$B,0))="Oui, en amont OU aval",
INDEX(Data_metier!$G:$G,MATCH($A3,Data_metier!$B:$B,0))="Oui, en amont ET aval"),
0.5,
0))))</f>
        <v>-1</v>
      </c>
      <c r="L3">
        <f>IF(DE_ress_transv!L3=-1,-1,
DE_ress_transv!L3+IF(AND(INDEX(Data_metier!$G:$G,MATCH(L$1,Data_metier!$B:$B,0))="Non",
INDEX(Data_metier!$G:$G,MATCH($A3,Data_metier!$B:$B,0))="Oui, en amont OU aval"),
0.5,
IF(AND(INDEX(Data_metier!$G:$G,MATCH(L$1,Data_metier!$B:$B,0))="Non",
INDEX(Data_metier!$G:$G,MATCH($A3,Data_metier!$B:$B,0))="Oui, en amont ET aval"),
1,
IF(AND(INDEX(Data_metier!$G:$G,MATCH(L$1,Data_metier!$B:$B,0))="Oui, en amont OU aval",
INDEX(Data_metier!$G:$G,MATCH($A3,Data_metier!$B:$B,0))="Oui, en amont ET aval"),
0.5,
0))))</f>
        <v>1</v>
      </c>
      <c r="M3">
        <f>IF(DE_ress_transv!M3=-1,-1,
DE_ress_transv!M3+IF(AND(INDEX(Data_metier!$G:$G,MATCH(M$1,Data_metier!$B:$B,0))="Non",
INDEX(Data_metier!$G:$G,MATCH($A3,Data_metier!$B:$B,0))="Oui, en amont OU aval"),
0.5,
IF(AND(INDEX(Data_metier!$G:$G,MATCH(M$1,Data_metier!$B:$B,0))="Non",
INDEX(Data_metier!$G:$G,MATCH($A3,Data_metier!$B:$B,0))="Oui, en amont ET aval"),
1,
IF(AND(INDEX(Data_metier!$G:$G,MATCH(M$1,Data_metier!$B:$B,0))="Oui, en amont OU aval",
INDEX(Data_metier!$G:$G,MATCH($A3,Data_metier!$B:$B,0))="Oui, en amont ET aval"),
0.5,
0))))</f>
        <v>0.16666666666666666</v>
      </c>
      <c r="N3">
        <f>IF(DE_ress_transv!N3=-1,-1,
DE_ress_transv!N3+IF(AND(INDEX(Data_metier!$G:$G,MATCH(N$1,Data_metier!$B:$B,0))="Non",
INDEX(Data_metier!$G:$G,MATCH($A3,Data_metier!$B:$B,0))="Oui, en amont OU aval"),
0.5,
IF(AND(INDEX(Data_metier!$G:$G,MATCH(N$1,Data_metier!$B:$B,0))="Non",
INDEX(Data_metier!$G:$G,MATCH($A3,Data_metier!$B:$B,0))="Oui, en amont ET aval"),
1,
IF(AND(INDEX(Data_metier!$G:$G,MATCH(N$1,Data_metier!$B:$B,0))="Oui, en amont OU aval",
INDEX(Data_metier!$G:$G,MATCH($A3,Data_metier!$B:$B,0))="Oui, en amont ET aval"),
0.5,
0))))</f>
        <v>-1</v>
      </c>
      <c r="O3">
        <f>IF(DE_ress_transv!O3=-1,-1,
DE_ress_transv!O3+IF(AND(INDEX(Data_metier!$G:$G,MATCH(O$1,Data_metier!$B:$B,0))="Non",
INDEX(Data_metier!$G:$G,MATCH($A3,Data_metier!$B:$B,0))="Oui, en amont OU aval"),
0.5,
IF(AND(INDEX(Data_metier!$G:$G,MATCH(O$1,Data_metier!$B:$B,0))="Non",
INDEX(Data_metier!$G:$G,MATCH($A3,Data_metier!$B:$B,0))="Oui, en amont ET aval"),
1,
IF(AND(INDEX(Data_metier!$G:$G,MATCH(O$1,Data_metier!$B:$B,0))="Oui, en amont OU aval",
INDEX(Data_metier!$G:$G,MATCH($A3,Data_metier!$B:$B,0))="Oui, en amont ET aval"),
0.5,
0))))</f>
        <v>1</v>
      </c>
      <c r="P3">
        <f>IF(DE_ress_transv!P3=-1,-1,
DE_ress_transv!P3+IF(AND(INDEX(Data_metier!$G:$G,MATCH(P$1,Data_metier!$B:$B,0))="Non",
INDEX(Data_metier!$G:$G,MATCH($A3,Data_metier!$B:$B,0))="Oui, en amont OU aval"),
0.5,
IF(AND(INDEX(Data_metier!$G:$G,MATCH(P$1,Data_metier!$B:$B,0))="Non",
INDEX(Data_metier!$G:$G,MATCH($A3,Data_metier!$B:$B,0))="Oui, en amont ET aval"),
1,
IF(AND(INDEX(Data_metier!$G:$G,MATCH(P$1,Data_metier!$B:$B,0))="Oui, en amont OU aval",
INDEX(Data_metier!$G:$G,MATCH($A3,Data_metier!$B:$B,0))="Oui, en amont ET aval"),
0.5,
0))))</f>
        <v>1.3333333333333335</v>
      </c>
      <c r="Q3">
        <f>IF(DE_ress_transv!Q3=-1,-1,
DE_ress_transv!Q3+IF(AND(INDEX(Data_metier!$G:$G,MATCH(Q$1,Data_metier!$B:$B,0))="Non",
INDEX(Data_metier!$G:$G,MATCH($A3,Data_metier!$B:$B,0))="Oui, en amont OU aval"),
0.5,
IF(AND(INDEX(Data_metier!$G:$G,MATCH(Q$1,Data_metier!$B:$B,0))="Non",
INDEX(Data_metier!$G:$G,MATCH($A3,Data_metier!$B:$B,0))="Oui, en amont ET aval"),
1,
IF(AND(INDEX(Data_metier!$G:$G,MATCH(Q$1,Data_metier!$B:$B,0))="Oui, en amont OU aval",
INDEX(Data_metier!$G:$G,MATCH($A3,Data_metier!$B:$B,0))="Oui, en amont ET aval"),
0.5,
0))))</f>
        <v>-1</v>
      </c>
      <c r="R3">
        <f>IF(DE_ress_transv!R3=-1,-1,
DE_ress_transv!R3+IF(AND(INDEX(Data_metier!$G:$G,MATCH(R$1,Data_metier!$B:$B,0))="Non",
INDEX(Data_metier!$G:$G,MATCH($A3,Data_metier!$B:$B,0))="Oui, en amont OU aval"),
0.5,
IF(AND(INDEX(Data_metier!$G:$G,MATCH(R$1,Data_metier!$B:$B,0))="Non",
INDEX(Data_metier!$G:$G,MATCH($A3,Data_metier!$B:$B,0))="Oui, en amont ET aval"),
1,
IF(AND(INDEX(Data_metier!$G:$G,MATCH(R$1,Data_metier!$B:$B,0))="Oui, en amont OU aval",
INDEX(Data_metier!$G:$G,MATCH($A3,Data_metier!$B:$B,0))="Oui, en amont ET aval"),
0.5,
0))))</f>
        <v>-1</v>
      </c>
      <c r="S3">
        <f>IF(DE_ress_transv!S3=-1,-1,
DE_ress_transv!S3+IF(AND(INDEX(Data_metier!$G:$G,MATCH(S$1,Data_metier!$B:$B,0))="Non",
INDEX(Data_metier!$G:$G,MATCH($A3,Data_metier!$B:$B,0))="Oui, en amont OU aval"),
0.5,
IF(AND(INDEX(Data_metier!$G:$G,MATCH(S$1,Data_metier!$B:$B,0))="Non",
INDEX(Data_metier!$G:$G,MATCH($A3,Data_metier!$B:$B,0))="Oui, en amont ET aval"),
1,
IF(AND(INDEX(Data_metier!$G:$G,MATCH(S$1,Data_metier!$B:$B,0))="Oui, en amont OU aval",
INDEX(Data_metier!$G:$G,MATCH($A3,Data_metier!$B:$B,0))="Oui, en amont ET aval"),
0.5,
0))))</f>
        <v>1.3333333333333335</v>
      </c>
      <c r="T3">
        <f>IF(DE_ress_transv!T3=-1,-1,
DE_ress_transv!T3+IF(AND(INDEX(Data_metier!$G:$G,MATCH(T$1,Data_metier!$B:$B,0))="Non",
INDEX(Data_metier!$G:$G,MATCH($A3,Data_metier!$B:$B,0))="Oui, en amont OU aval"),
0.5,
IF(AND(INDEX(Data_metier!$G:$G,MATCH(T$1,Data_metier!$B:$B,0))="Non",
INDEX(Data_metier!$G:$G,MATCH($A3,Data_metier!$B:$B,0))="Oui, en amont ET aval"),
1,
IF(AND(INDEX(Data_metier!$G:$G,MATCH(T$1,Data_metier!$B:$B,0))="Oui, en amont OU aval",
INDEX(Data_metier!$G:$G,MATCH($A3,Data_metier!$B:$B,0))="Oui, en amont ET aval"),
0.5,
0))))</f>
        <v>1.1666666666666667</v>
      </c>
      <c r="U3">
        <f>IF(DE_ress_transv!U3=-1,-1,
DE_ress_transv!U3+IF(AND(INDEX(Data_metier!$G:$G,MATCH(U$1,Data_metier!$B:$B,0))="Non",
INDEX(Data_metier!$G:$G,MATCH($A3,Data_metier!$B:$B,0))="Oui, en amont OU aval"),
0.5,
IF(AND(INDEX(Data_metier!$G:$G,MATCH(U$1,Data_metier!$B:$B,0))="Non",
INDEX(Data_metier!$G:$G,MATCH($A3,Data_metier!$B:$B,0))="Oui, en amont ET aval"),
1,
IF(AND(INDEX(Data_metier!$G:$G,MATCH(U$1,Data_metier!$B:$B,0))="Oui, en amont OU aval",
INDEX(Data_metier!$G:$G,MATCH($A3,Data_metier!$B:$B,0))="Oui, en amont ET aval"),
0.5,
0))))</f>
        <v>1.3333333333333335</v>
      </c>
      <c r="V3">
        <f>IF(DE_ress_transv!V3=-1,-1,
DE_ress_transv!V3+IF(AND(INDEX(Data_metier!$G:$G,MATCH(V$1,Data_metier!$B:$B,0))="Non",
INDEX(Data_metier!$G:$G,MATCH($A3,Data_metier!$B:$B,0))="Oui, en amont OU aval"),
0.5,
IF(AND(INDEX(Data_metier!$G:$G,MATCH(V$1,Data_metier!$B:$B,0))="Non",
INDEX(Data_metier!$G:$G,MATCH($A3,Data_metier!$B:$B,0))="Oui, en amont ET aval"),
1,
IF(AND(INDEX(Data_metier!$G:$G,MATCH(V$1,Data_metier!$B:$B,0))="Oui, en amont OU aval",
INDEX(Data_metier!$G:$G,MATCH($A3,Data_metier!$B:$B,0))="Oui, en amont ET aval"),
0.5,
0))))</f>
        <v>0</v>
      </c>
      <c r="W3">
        <f>IF(DE_ress_transv!W3=-1,-1,
DE_ress_transv!W3+IF(AND(INDEX(Data_metier!$G:$G,MATCH(W$1,Data_metier!$B:$B,0))="Non",
INDEX(Data_metier!$G:$G,MATCH($A3,Data_metier!$B:$B,0))="Oui, en amont OU aval"),
0.5,
IF(AND(INDEX(Data_metier!$G:$G,MATCH(W$1,Data_metier!$B:$B,0))="Non",
INDEX(Data_metier!$G:$G,MATCH($A3,Data_metier!$B:$B,0))="Oui, en amont ET aval"),
1,
IF(AND(INDEX(Data_metier!$G:$G,MATCH(W$1,Data_metier!$B:$B,0))="Oui, en amont OU aval",
INDEX(Data_metier!$G:$G,MATCH($A3,Data_metier!$B:$B,0))="Oui, en amont ET aval"),
0.5,
0))))</f>
        <v>0</v>
      </c>
      <c r="X3">
        <f>IF(DE_ress_transv!X3=-1,-1,
DE_ress_transv!X3+IF(AND(INDEX(Data_metier!$G:$G,MATCH(X$1,Data_metier!$B:$B,0))="Non",
INDEX(Data_metier!$G:$G,MATCH($A3,Data_metier!$B:$B,0))="Oui, en amont OU aval"),
0.5,
IF(AND(INDEX(Data_metier!$G:$G,MATCH(X$1,Data_metier!$B:$B,0))="Non",
INDEX(Data_metier!$G:$G,MATCH($A3,Data_metier!$B:$B,0))="Oui, en amont ET aval"),
1,
IF(AND(INDEX(Data_metier!$G:$G,MATCH(X$1,Data_metier!$B:$B,0))="Oui, en amont OU aval",
INDEX(Data_metier!$G:$G,MATCH($A3,Data_metier!$B:$B,0))="Oui, en amont ET aval"),
0.5,
0))))</f>
        <v>-1</v>
      </c>
      <c r="Y3">
        <f>IF(DE_ress_transv!Y3=-1,-1,
DE_ress_transv!Y3+IF(AND(INDEX(Data_metier!$G:$G,MATCH(Y$1,Data_metier!$B:$B,0))="Non",
INDEX(Data_metier!$G:$G,MATCH($A3,Data_metier!$B:$B,0))="Oui, en amont OU aval"),
0.5,
IF(AND(INDEX(Data_metier!$G:$G,MATCH(Y$1,Data_metier!$B:$B,0))="Non",
INDEX(Data_metier!$G:$G,MATCH($A3,Data_metier!$B:$B,0))="Oui, en amont ET aval"),
1,
IF(AND(INDEX(Data_metier!$G:$G,MATCH(Y$1,Data_metier!$B:$B,0))="Oui, en amont OU aval",
INDEX(Data_metier!$G:$G,MATCH($A3,Data_metier!$B:$B,0))="Oui, en amont ET aval"),
0.5,
0))))</f>
        <v>1.3333333333333335</v>
      </c>
      <c r="Z3">
        <f>IF(DE_ress_transv!Z3=-1,-1,
DE_ress_transv!Z3+IF(AND(INDEX(Data_metier!$G:$G,MATCH(Z$1,Data_metier!$B:$B,0))="Non",
INDEX(Data_metier!$G:$G,MATCH($A3,Data_metier!$B:$B,0))="Oui, en amont OU aval"),
0.5,
IF(AND(INDEX(Data_metier!$G:$G,MATCH(Z$1,Data_metier!$B:$B,0))="Non",
INDEX(Data_metier!$G:$G,MATCH($A3,Data_metier!$B:$B,0))="Oui, en amont ET aval"),
1,
IF(AND(INDEX(Data_metier!$G:$G,MATCH(Z$1,Data_metier!$B:$B,0))="Oui, en amont OU aval",
INDEX(Data_metier!$G:$G,MATCH($A3,Data_metier!$B:$B,0))="Oui, en amont ET aval"),
0.5,
0))))</f>
        <v>1.3333333333333335</v>
      </c>
      <c r="AA3">
        <f>IF(DE_ress_transv!AA3=-1,-1,
DE_ress_transv!AA3+IF(AND(INDEX(Data_metier!$G:$G,MATCH(AA$1,Data_metier!$B:$B,0))="Non",
INDEX(Data_metier!$G:$G,MATCH($A3,Data_metier!$B:$B,0))="Oui, en amont OU aval"),
0.5,
IF(AND(INDEX(Data_metier!$G:$G,MATCH(AA$1,Data_metier!$B:$B,0))="Non",
INDEX(Data_metier!$G:$G,MATCH($A3,Data_metier!$B:$B,0))="Oui, en amont ET aval"),
1,
IF(AND(INDEX(Data_metier!$G:$G,MATCH(AA$1,Data_metier!$B:$B,0))="Oui, en amont OU aval",
INDEX(Data_metier!$G:$G,MATCH($A3,Data_metier!$B:$B,0))="Oui, en amont ET aval"),
0.5,
0))))</f>
        <v>1.3333333333333335</v>
      </c>
      <c r="AB3">
        <f>IF(DE_ress_transv!AB3=-1,-1,
DE_ress_transv!AB3+IF(AND(INDEX(Data_metier!$G:$G,MATCH(AB$1,Data_metier!$B:$B,0))="Non",
INDEX(Data_metier!$G:$G,MATCH($A3,Data_metier!$B:$B,0))="Oui, en amont OU aval"),
0.5,
IF(AND(INDEX(Data_metier!$G:$G,MATCH(AB$1,Data_metier!$B:$B,0))="Non",
INDEX(Data_metier!$G:$G,MATCH($A3,Data_metier!$B:$B,0))="Oui, en amont ET aval"),
1,
IF(AND(INDEX(Data_metier!$G:$G,MATCH(AB$1,Data_metier!$B:$B,0))="Oui, en amont OU aval",
INDEX(Data_metier!$G:$G,MATCH($A3,Data_metier!$B:$B,0))="Oui, en amont ET aval"),
0.5,
0))))</f>
        <v>0</v>
      </c>
      <c r="AC3">
        <f>IF(DE_ress_transv!AC3=-1,-1,
DE_ress_transv!AC3+IF(AND(INDEX(Data_metier!$G:$G,MATCH(AC$1,Data_metier!$B:$B,0))="Non",
INDEX(Data_metier!$G:$G,MATCH($A3,Data_metier!$B:$B,0))="Oui, en amont OU aval"),
0.5,
IF(AND(INDEX(Data_metier!$G:$G,MATCH(AC$1,Data_metier!$B:$B,0))="Non",
INDEX(Data_metier!$G:$G,MATCH($A3,Data_metier!$B:$B,0))="Oui, en amont ET aval"),
1,
IF(AND(INDEX(Data_metier!$G:$G,MATCH(AC$1,Data_metier!$B:$B,0))="Oui, en amont OU aval",
INDEX(Data_metier!$G:$G,MATCH($A3,Data_metier!$B:$B,0))="Oui, en amont ET aval"),
0.5,
0))))</f>
        <v>0</v>
      </c>
      <c r="AD3">
        <f>IF(DE_ress_transv!AD3=-1,-1,
DE_ress_transv!AD3+IF(AND(INDEX(Data_metier!$G:$G,MATCH(AD$1,Data_metier!$B:$B,0))="Non",
INDEX(Data_metier!$G:$G,MATCH($A3,Data_metier!$B:$B,0))="Oui, en amont OU aval"),
0.5,
IF(AND(INDEX(Data_metier!$G:$G,MATCH(AD$1,Data_metier!$B:$B,0))="Non",
INDEX(Data_metier!$G:$G,MATCH($A3,Data_metier!$B:$B,0))="Oui, en amont ET aval"),
1,
IF(AND(INDEX(Data_metier!$G:$G,MATCH(AD$1,Data_metier!$B:$B,0))="Oui, en amont OU aval",
INDEX(Data_metier!$G:$G,MATCH($A3,Data_metier!$B:$B,0))="Oui, en amont ET aval"),
0.5,
0))))</f>
        <v>-1</v>
      </c>
    </row>
    <row r="4" spans="1:30">
      <c r="A4" s="55" t="str">
        <v>Opérateur(trice) logistique</v>
      </c>
      <c r="B4">
        <f>IF(DE_ress_transv!B4=-1,-1,
DE_ress_transv!B4+IF(AND(INDEX(Data_metier!$G:$G,MATCH(B$1,Data_metier!$B:$B,0))="Non",
INDEX(Data_metier!$G:$G,MATCH($A4,Data_metier!$B:$B,0))="Oui, en amont OU aval"),
0.5,
IF(AND(INDEX(Data_metier!$G:$G,MATCH(B$1,Data_metier!$B:$B,0))="Non",
INDEX(Data_metier!$G:$G,MATCH($A4,Data_metier!$B:$B,0))="Oui, en amont ET aval"),
1,
IF(AND(INDEX(Data_metier!$G:$G,MATCH(B$1,Data_metier!$B:$B,0))="Oui, en amont OU aval",
INDEX(Data_metier!$G:$G,MATCH($A4,Data_metier!$B:$B,0))="Oui, en amont ET aval"),
0.5,
0))))</f>
        <v>-1</v>
      </c>
      <c r="C4">
        <f>IF(DE_ress_transv!C4=-1,-1,
DE_ress_transv!C4+IF(AND(INDEX(Data_metier!$G:$G,MATCH(C$1,Data_metier!$B:$B,0))="Non",
INDEX(Data_metier!$G:$G,MATCH($A4,Data_metier!$B:$B,0))="Oui, en amont OU aval"),
0.5,
IF(AND(INDEX(Data_metier!$G:$G,MATCH(C$1,Data_metier!$B:$B,0))="Non",
INDEX(Data_metier!$G:$G,MATCH($A4,Data_metier!$B:$B,0))="Oui, en amont ET aval"),
1,
IF(AND(INDEX(Data_metier!$G:$G,MATCH(C$1,Data_metier!$B:$B,0))="Oui, en amont OU aval",
INDEX(Data_metier!$G:$G,MATCH($A4,Data_metier!$B:$B,0))="Oui, en amont ET aval"),
0.5,
0))))</f>
        <v>-1</v>
      </c>
      <c r="D4">
        <f>IF(DE_ress_transv!D4=-1,-1,
DE_ress_transv!D4+IF(AND(INDEX(Data_metier!$G:$G,MATCH(D$1,Data_metier!$B:$B,0))="Non",
INDEX(Data_metier!$G:$G,MATCH($A4,Data_metier!$B:$B,0))="Oui, en amont OU aval"),
0.5,
IF(AND(INDEX(Data_metier!$G:$G,MATCH(D$1,Data_metier!$B:$B,0))="Non",
INDEX(Data_metier!$G:$G,MATCH($A4,Data_metier!$B:$B,0))="Oui, en amont ET aval"),
1,
IF(AND(INDEX(Data_metier!$G:$G,MATCH(D$1,Data_metier!$B:$B,0))="Oui, en amont OU aval",
INDEX(Data_metier!$G:$G,MATCH($A4,Data_metier!$B:$B,0))="Oui, en amont ET aval"),
0.5,
0))))</f>
        <v>0</v>
      </c>
      <c r="E4">
        <f>IF(DE_ress_transv!E4=-1,-1,
DE_ress_transv!E4+IF(AND(INDEX(Data_metier!$G:$G,MATCH(E$1,Data_metier!$B:$B,0))="Non",
INDEX(Data_metier!$G:$G,MATCH($A4,Data_metier!$B:$B,0))="Oui, en amont OU aval"),
0.5,
IF(AND(INDEX(Data_metier!$G:$G,MATCH(E$1,Data_metier!$B:$B,0))="Non",
INDEX(Data_metier!$G:$G,MATCH($A4,Data_metier!$B:$B,0))="Oui, en amont ET aval"),
1,
IF(AND(INDEX(Data_metier!$G:$G,MATCH(E$1,Data_metier!$B:$B,0))="Oui, en amont OU aval",
INDEX(Data_metier!$G:$G,MATCH($A4,Data_metier!$B:$B,0))="Oui, en amont ET aval"),
0.5,
0))))</f>
        <v>-1</v>
      </c>
      <c r="F4">
        <f>IF(DE_ress_transv!F4=-1,-1,
DE_ress_transv!F4+IF(AND(INDEX(Data_metier!$G:$G,MATCH(F$1,Data_metier!$B:$B,0))="Non",
INDEX(Data_metier!$G:$G,MATCH($A4,Data_metier!$B:$B,0))="Oui, en amont OU aval"),
0.5,
IF(AND(INDEX(Data_metier!$G:$G,MATCH(F$1,Data_metier!$B:$B,0))="Non",
INDEX(Data_metier!$G:$G,MATCH($A4,Data_metier!$B:$B,0))="Oui, en amont ET aval"),
1,
IF(AND(INDEX(Data_metier!$G:$G,MATCH(F$1,Data_metier!$B:$B,0))="Oui, en amont OU aval",
INDEX(Data_metier!$G:$G,MATCH($A4,Data_metier!$B:$B,0))="Oui, en amont ET aval"),
0.5,
0))))</f>
        <v>-1</v>
      </c>
      <c r="G4">
        <f>IF(DE_ress_transv!G4=-1,-1,
DE_ress_transv!G4+IF(AND(INDEX(Data_metier!$G:$G,MATCH(G$1,Data_metier!$B:$B,0))="Non",
INDEX(Data_metier!$G:$G,MATCH($A4,Data_metier!$B:$B,0))="Oui, en amont OU aval"),
0.5,
IF(AND(INDEX(Data_metier!$G:$G,MATCH(G$1,Data_metier!$B:$B,0))="Non",
INDEX(Data_metier!$G:$G,MATCH($A4,Data_metier!$B:$B,0))="Oui, en amont ET aval"),
1,
IF(AND(INDEX(Data_metier!$G:$G,MATCH(G$1,Data_metier!$B:$B,0))="Oui, en amont OU aval",
INDEX(Data_metier!$G:$G,MATCH($A4,Data_metier!$B:$B,0))="Oui, en amont ET aval"),
0.5,
0))))</f>
        <v>-1</v>
      </c>
      <c r="H4">
        <f>IF(DE_ress_transv!H4=-1,-1,
DE_ress_transv!H4+IF(AND(INDEX(Data_metier!$G:$G,MATCH(H$1,Data_metier!$B:$B,0))="Non",
INDEX(Data_metier!$G:$G,MATCH($A4,Data_metier!$B:$B,0))="Oui, en amont OU aval"),
0.5,
IF(AND(INDEX(Data_metier!$G:$G,MATCH(H$1,Data_metier!$B:$B,0))="Non",
INDEX(Data_metier!$G:$G,MATCH($A4,Data_metier!$B:$B,0))="Oui, en amont ET aval"),
1,
IF(AND(INDEX(Data_metier!$G:$G,MATCH(H$1,Data_metier!$B:$B,0))="Oui, en amont OU aval",
INDEX(Data_metier!$G:$G,MATCH($A4,Data_metier!$B:$B,0))="Oui, en amont ET aval"),
0.5,
0))))</f>
        <v>-1</v>
      </c>
      <c r="I4">
        <f>IF(DE_ress_transv!I4=-1,-1,
DE_ress_transv!I4+IF(AND(INDEX(Data_metier!$G:$G,MATCH(I$1,Data_metier!$B:$B,0))="Non",
INDEX(Data_metier!$G:$G,MATCH($A4,Data_metier!$B:$B,0))="Oui, en amont OU aval"),
0.5,
IF(AND(INDEX(Data_metier!$G:$G,MATCH(I$1,Data_metier!$B:$B,0))="Non",
INDEX(Data_metier!$G:$G,MATCH($A4,Data_metier!$B:$B,0))="Oui, en amont ET aval"),
1,
IF(AND(INDEX(Data_metier!$G:$G,MATCH(I$1,Data_metier!$B:$B,0))="Oui, en amont OU aval",
INDEX(Data_metier!$G:$G,MATCH($A4,Data_metier!$B:$B,0))="Oui, en amont ET aval"),
0.5,
0))))</f>
        <v>0</v>
      </c>
      <c r="J4">
        <f>IF(DE_ress_transv!J4=-1,-1,
DE_ress_transv!J4+IF(AND(INDEX(Data_metier!$G:$G,MATCH(J$1,Data_metier!$B:$B,0))="Non",
INDEX(Data_metier!$G:$G,MATCH($A4,Data_metier!$B:$B,0))="Oui, en amont OU aval"),
0.5,
IF(AND(INDEX(Data_metier!$G:$G,MATCH(J$1,Data_metier!$B:$B,0))="Non",
INDEX(Data_metier!$G:$G,MATCH($A4,Data_metier!$B:$B,0))="Oui, en amont ET aval"),
1,
IF(AND(INDEX(Data_metier!$G:$G,MATCH(J$1,Data_metier!$B:$B,0))="Oui, en amont OU aval",
INDEX(Data_metier!$G:$G,MATCH($A4,Data_metier!$B:$B,0))="Oui, en amont ET aval"),
0.5,
0))))</f>
        <v>-1</v>
      </c>
      <c r="K4">
        <f>IF(DE_ress_transv!K4=-1,-1,
DE_ress_transv!K4+IF(AND(INDEX(Data_metier!$G:$G,MATCH(K$1,Data_metier!$B:$B,0))="Non",
INDEX(Data_metier!$G:$G,MATCH($A4,Data_metier!$B:$B,0))="Oui, en amont OU aval"),
0.5,
IF(AND(INDEX(Data_metier!$G:$G,MATCH(K$1,Data_metier!$B:$B,0))="Non",
INDEX(Data_metier!$G:$G,MATCH($A4,Data_metier!$B:$B,0))="Oui, en amont ET aval"),
1,
IF(AND(INDEX(Data_metier!$G:$G,MATCH(K$1,Data_metier!$B:$B,0))="Oui, en amont OU aval",
INDEX(Data_metier!$G:$G,MATCH($A4,Data_metier!$B:$B,0))="Oui, en amont ET aval"),
0.5,
0))))</f>
        <v>-1</v>
      </c>
      <c r="L4">
        <f>IF(DE_ress_transv!L4=-1,-1,
DE_ress_transv!L4+IF(AND(INDEX(Data_metier!$G:$G,MATCH(L$1,Data_metier!$B:$B,0))="Non",
INDEX(Data_metier!$G:$G,MATCH($A4,Data_metier!$B:$B,0))="Oui, en amont OU aval"),
0.5,
IF(AND(INDEX(Data_metier!$G:$G,MATCH(L$1,Data_metier!$B:$B,0))="Non",
INDEX(Data_metier!$G:$G,MATCH($A4,Data_metier!$B:$B,0))="Oui, en amont ET aval"),
1,
IF(AND(INDEX(Data_metier!$G:$G,MATCH(L$1,Data_metier!$B:$B,0))="Oui, en amont OU aval",
INDEX(Data_metier!$G:$G,MATCH($A4,Data_metier!$B:$B,0))="Oui, en amont ET aval"),
0.5,
0))))</f>
        <v>0</v>
      </c>
      <c r="M4">
        <f>IF(DE_ress_transv!M4=-1,-1,
DE_ress_transv!M4+IF(AND(INDEX(Data_metier!$G:$G,MATCH(M$1,Data_metier!$B:$B,0))="Non",
INDEX(Data_metier!$G:$G,MATCH($A4,Data_metier!$B:$B,0))="Oui, en amont OU aval"),
0.5,
IF(AND(INDEX(Data_metier!$G:$G,MATCH(M$1,Data_metier!$B:$B,0))="Non",
INDEX(Data_metier!$G:$G,MATCH($A4,Data_metier!$B:$B,0))="Oui, en amont ET aval"),
1,
IF(AND(INDEX(Data_metier!$G:$G,MATCH(M$1,Data_metier!$B:$B,0))="Oui, en amont OU aval",
INDEX(Data_metier!$G:$G,MATCH($A4,Data_metier!$B:$B,0))="Oui, en amont ET aval"),
0.5,
0))))</f>
        <v>-1</v>
      </c>
      <c r="N4">
        <f>IF(DE_ress_transv!N4=-1,-1,
DE_ress_transv!N4+IF(AND(INDEX(Data_metier!$G:$G,MATCH(N$1,Data_metier!$B:$B,0))="Non",
INDEX(Data_metier!$G:$G,MATCH($A4,Data_metier!$B:$B,0))="Oui, en amont OU aval"),
0.5,
IF(AND(INDEX(Data_metier!$G:$G,MATCH(N$1,Data_metier!$B:$B,0))="Non",
INDEX(Data_metier!$G:$G,MATCH($A4,Data_metier!$B:$B,0))="Oui, en amont ET aval"),
1,
IF(AND(INDEX(Data_metier!$G:$G,MATCH(N$1,Data_metier!$B:$B,0))="Oui, en amont OU aval",
INDEX(Data_metier!$G:$G,MATCH($A4,Data_metier!$B:$B,0))="Oui, en amont ET aval"),
0.5,
0))))</f>
        <v>-1</v>
      </c>
      <c r="O4">
        <f>IF(DE_ress_transv!O4=-1,-1,
DE_ress_transv!O4+IF(AND(INDEX(Data_metier!$G:$G,MATCH(O$1,Data_metier!$B:$B,0))="Non",
INDEX(Data_metier!$G:$G,MATCH($A4,Data_metier!$B:$B,0))="Oui, en amont OU aval"),
0.5,
IF(AND(INDEX(Data_metier!$G:$G,MATCH(O$1,Data_metier!$B:$B,0))="Non",
INDEX(Data_metier!$G:$G,MATCH($A4,Data_metier!$B:$B,0))="Oui, en amont ET aval"),
1,
IF(AND(INDEX(Data_metier!$G:$G,MATCH(O$1,Data_metier!$B:$B,0))="Oui, en amont OU aval",
INDEX(Data_metier!$G:$G,MATCH($A4,Data_metier!$B:$B,0))="Oui, en amont ET aval"),
0.5,
0))))</f>
        <v>0</v>
      </c>
      <c r="P4">
        <f>IF(DE_ress_transv!P4=-1,-1,
DE_ress_transv!P4+IF(AND(INDEX(Data_metier!$G:$G,MATCH(P$1,Data_metier!$B:$B,0))="Non",
INDEX(Data_metier!$G:$G,MATCH($A4,Data_metier!$B:$B,0))="Oui, en amont OU aval"),
0.5,
IF(AND(INDEX(Data_metier!$G:$G,MATCH(P$1,Data_metier!$B:$B,0))="Non",
INDEX(Data_metier!$G:$G,MATCH($A4,Data_metier!$B:$B,0))="Oui, en amont ET aval"),
1,
IF(AND(INDEX(Data_metier!$G:$G,MATCH(P$1,Data_metier!$B:$B,0))="Oui, en amont OU aval",
INDEX(Data_metier!$G:$G,MATCH($A4,Data_metier!$B:$B,0))="Oui, en amont ET aval"),
0.5,
0))))</f>
        <v>0</v>
      </c>
      <c r="Q4">
        <f>IF(DE_ress_transv!Q4=-1,-1,
DE_ress_transv!Q4+IF(AND(INDEX(Data_metier!$G:$G,MATCH(Q$1,Data_metier!$B:$B,0))="Non",
INDEX(Data_metier!$G:$G,MATCH($A4,Data_metier!$B:$B,0))="Oui, en amont OU aval"),
0.5,
IF(AND(INDEX(Data_metier!$G:$G,MATCH(Q$1,Data_metier!$B:$B,0))="Non",
INDEX(Data_metier!$G:$G,MATCH($A4,Data_metier!$B:$B,0))="Oui, en amont ET aval"),
1,
IF(AND(INDEX(Data_metier!$G:$G,MATCH(Q$1,Data_metier!$B:$B,0))="Oui, en amont OU aval",
INDEX(Data_metier!$G:$G,MATCH($A4,Data_metier!$B:$B,0))="Oui, en amont ET aval"),
0.5,
0))))</f>
        <v>-1</v>
      </c>
      <c r="R4">
        <f>IF(DE_ress_transv!R4=-1,-1,
DE_ress_transv!R4+IF(AND(INDEX(Data_metier!$G:$G,MATCH(R$1,Data_metier!$B:$B,0))="Non",
INDEX(Data_metier!$G:$G,MATCH($A4,Data_metier!$B:$B,0))="Oui, en amont OU aval"),
0.5,
IF(AND(INDEX(Data_metier!$G:$G,MATCH(R$1,Data_metier!$B:$B,0))="Non",
INDEX(Data_metier!$G:$G,MATCH($A4,Data_metier!$B:$B,0))="Oui, en amont ET aval"),
1,
IF(AND(INDEX(Data_metier!$G:$G,MATCH(R$1,Data_metier!$B:$B,0))="Oui, en amont OU aval",
INDEX(Data_metier!$G:$G,MATCH($A4,Data_metier!$B:$B,0))="Oui, en amont ET aval"),
0.5,
0))))</f>
        <v>-1</v>
      </c>
      <c r="S4">
        <f>IF(DE_ress_transv!S4=-1,-1,
DE_ress_transv!S4+IF(AND(INDEX(Data_metier!$G:$G,MATCH(S$1,Data_metier!$B:$B,0))="Non",
INDEX(Data_metier!$G:$G,MATCH($A4,Data_metier!$B:$B,0))="Oui, en amont OU aval"),
0.5,
IF(AND(INDEX(Data_metier!$G:$G,MATCH(S$1,Data_metier!$B:$B,0))="Non",
INDEX(Data_metier!$G:$G,MATCH($A4,Data_metier!$B:$B,0))="Oui, en amont ET aval"),
1,
IF(AND(INDEX(Data_metier!$G:$G,MATCH(S$1,Data_metier!$B:$B,0))="Oui, en amont OU aval",
INDEX(Data_metier!$G:$G,MATCH($A4,Data_metier!$B:$B,0))="Oui, en amont ET aval"),
0.5,
0))))</f>
        <v>0</v>
      </c>
      <c r="T4">
        <f>IF(DE_ress_transv!T4=-1,-1,
DE_ress_transv!T4+IF(AND(INDEX(Data_metier!$G:$G,MATCH(T$1,Data_metier!$B:$B,0))="Non",
INDEX(Data_metier!$G:$G,MATCH($A4,Data_metier!$B:$B,0))="Oui, en amont OU aval"),
0.5,
IF(AND(INDEX(Data_metier!$G:$G,MATCH(T$1,Data_metier!$B:$B,0))="Non",
INDEX(Data_metier!$G:$G,MATCH($A4,Data_metier!$B:$B,0))="Oui, en amont ET aval"),
1,
IF(AND(INDEX(Data_metier!$G:$G,MATCH(T$1,Data_metier!$B:$B,0))="Oui, en amont OU aval",
INDEX(Data_metier!$G:$G,MATCH($A4,Data_metier!$B:$B,0))="Oui, en amont ET aval"),
0.5,
0))))</f>
        <v>0</v>
      </c>
      <c r="U4">
        <f>IF(DE_ress_transv!U4=-1,-1,
DE_ress_transv!U4+IF(AND(INDEX(Data_metier!$G:$G,MATCH(U$1,Data_metier!$B:$B,0))="Non",
INDEX(Data_metier!$G:$G,MATCH($A4,Data_metier!$B:$B,0))="Oui, en amont OU aval"),
0.5,
IF(AND(INDEX(Data_metier!$G:$G,MATCH(U$1,Data_metier!$B:$B,0))="Non",
INDEX(Data_metier!$G:$G,MATCH($A4,Data_metier!$B:$B,0))="Oui, en amont ET aval"),
1,
IF(AND(INDEX(Data_metier!$G:$G,MATCH(U$1,Data_metier!$B:$B,0))="Oui, en amont OU aval",
INDEX(Data_metier!$G:$G,MATCH($A4,Data_metier!$B:$B,0))="Oui, en amont ET aval"),
0.5,
0))))</f>
        <v>0</v>
      </c>
      <c r="V4">
        <f>IF(DE_ress_transv!V4=-1,-1,
DE_ress_transv!V4+IF(AND(INDEX(Data_metier!$G:$G,MATCH(V$1,Data_metier!$B:$B,0))="Non",
INDEX(Data_metier!$G:$G,MATCH($A4,Data_metier!$B:$B,0))="Oui, en amont OU aval"),
0.5,
IF(AND(INDEX(Data_metier!$G:$G,MATCH(V$1,Data_metier!$B:$B,0))="Non",
INDEX(Data_metier!$G:$G,MATCH($A4,Data_metier!$B:$B,0))="Oui, en amont ET aval"),
1,
IF(AND(INDEX(Data_metier!$G:$G,MATCH(V$1,Data_metier!$B:$B,0))="Oui, en amont OU aval",
INDEX(Data_metier!$G:$G,MATCH($A4,Data_metier!$B:$B,0))="Oui, en amont ET aval"),
0.5,
0))))</f>
        <v>-1</v>
      </c>
      <c r="W4">
        <f>IF(DE_ress_transv!W4=-1,-1,
DE_ress_transv!W4+IF(AND(INDEX(Data_metier!$G:$G,MATCH(W$1,Data_metier!$B:$B,0))="Non",
INDEX(Data_metier!$G:$G,MATCH($A4,Data_metier!$B:$B,0))="Oui, en amont OU aval"),
0.5,
IF(AND(INDEX(Data_metier!$G:$G,MATCH(W$1,Data_metier!$B:$B,0))="Non",
INDEX(Data_metier!$G:$G,MATCH($A4,Data_metier!$B:$B,0))="Oui, en amont ET aval"),
1,
IF(AND(INDEX(Data_metier!$G:$G,MATCH(W$1,Data_metier!$B:$B,0))="Oui, en amont OU aval",
INDEX(Data_metier!$G:$G,MATCH($A4,Data_metier!$B:$B,0))="Oui, en amont ET aval"),
0.5,
0))))</f>
        <v>-1</v>
      </c>
      <c r="X4">
        <f>IF(DE_ress_transv!X4=-1,-1,
DE_ress_transv!X4+IF(AND(INDEX(Data_metier!$G:$G,MATCH(X$1,Data_metier!$B:$B,0))="Non",
INDEX(Data_metier!$G:$G,MATCH($A4,Data_metier!$B:$B,0))="Oui, en amont OU aval"),
0.5,
IF(AND(INDEX(Data_metier!$G:$G,MATCH(X$1,Data_metier!$B:$B,0))="Non",
INDEX(Data_metier!$G:$G,MATCH($A4,Data_metier!$B:$B,0))="Oui, en amont ET aval"),
1,
IF(AND(INDEX(Data_metier!$G:$G,MATCH(X$1,Data_metier!$B:$B,0))="Oui, en amont OU aval",
INDEX(Data_metier!$G:$G,MATCH($A4,Data_metier!$B:$B,0))="Oui, en amont ET aval"),
0.5,
0))))</f>
        <v>-1</v>
      </c>
      <c r="Y4">
        <f>IF(DE_ress_transv!Y4=-1,-1,
DE_ress_transv!Y4+IF(AND(INDEX(Data_metier!$G:$G,MATCH(Y$1,Data_metier!$B:$B,0))="Non",
INDEX(Data_metier!$G:$G,MATCH($A4,Data_metier!$B:$B,0))="Oui, en amont OU aval"),
0.5,
IF(AND(INDEX(Data_metier!$G:$G,MATCH(Y$1,Data_metier!$B:$B,0))="Non",
INDEX(Data_metier!$G:$G,MATCH($A4,Data_metier!$B:$B,0))="Oui, en amont ET aval"),
1,
IF(AND(INDEX(Data_metier!$G:$G,MATCH(Y$1,Data_metier!$B:$B,0))="Oui, en amont OU aval",
INDEX(Data_metier!$G:$G,MATCH($A4,Data_metier!$B:$B,0))="Oui, en amont ET aval"),
0.5,
0))))</f>
        <v>0</v>
      </c>
      <c r="Z4">
        <f>IF(DE_ress_transv!Z4=-1,-1,
DE_ress_transv!Z4+IF(AND(INDEX(Data_metier!$G:$G,MATCH(Z$1,Data_metier!$B:$B,0))="Non",
INDEX(Data_metier!$G:$G,MATCH($A4,Data_metier!$B:$B,0))="Oui, en amont OU aval"),
0.5,
IF(AND(INDEX(Data_metier!$G:$G,MATCH(Z$1,Data_metier!$B:$B,0))="Non",
INDEX(Data_metier!$G:$G,MATCH($A4,Data_metier!$B:$B,0))="Oui, en amont ET aval"),
1,
IF(AND(INDEX(Data_metier!$G:$G,MATCH(Z$1,Data_metier!$B:$B,0))="Oui, en amont OU aval",
INDEX(Data_metier!$G:$G,MATCH($A4,Data_metier!$B:$B,0))="Oui, en amont ET aval"),
0.5,
0))))</f>
        <v>0</v>
      </c>
      <c r="AA4">
        <f>IF(DE_ress_transv!AA4=-1,-1,
DE_ress_transv!AA4+IF(AND(INDEX(Data_metier!$G:$G,MATCH(AA$1,Data_metier!$B:$B,0))="Non",
INDEX(Data_metier!$G:$G,MATCH($A4,Data_metier!$B:$B,0))="Oui, en amont OU aval"),
0.5,
IF(AND(INDEX(Data_metier!$G:$G,MATCH(AA$1,Data_metier!$B:$B,0))="Non",
INDEX(Data_metier!$G:$G,MATCH($A4,Data_metier!$B:$B,0))="Oui, en amont ET aval"),
1,
IF(AND(INDEX(Data_metier!$G:$G,MATCH(AA$1,Data_metier!$B:$B,0))="Oui, en amont OU aval",
INDEX(Data_metier!$G:$G,MATCH($A4,Data_metier!$B:$B,0))="Oui, en amont ET aval"),
0.5,
0))))</f>
        <v>0</v>
      </c>
      <c r="AB4">
        <f>IF(DE_ress_transv!AB4=-1,-1,
DE_ress_transv!AB4+IF(AND(INDEX(Data_metier!$G:$G,MATCH(AB$1,Data_metier!$B:$B,0))="Non",
INDEX(Data_metier!$G:$G,MATCH($A4,Data_metier!$B:$B,0))="Oui, en amont OU aval"),
0.5,
IF(AND(INDEX(Data_metier!$G:$G,MATCH(AB$1,Data_metier!$B:$B,0))="Non",
INDEX(Data_metier!$G:$G,MATCH($A4,Data_metier!$B:$B,0))="Oui, en amont ET aval"),
1,
IF(AND(INDEX(Data_metier!$G:$G,MATCH(AB$1,Data_metier!$B:$B,0))="Oui, en amont OU aval",
INDEX(Data_metier!$G:$G,MATCH($A4,Data_metier!$B:$B,0))="Oui, en amont ET aval"),
0.5,
0))))</f>
        <v>-1</v>
      </c>
      <c r="AC4">
        <f>IF(DE_ress_transv!AC4=-1,-1,
DE_ress_transv!AC4+IF(AND(INDEX(Data_metier!$G:$G,MATCH(AC$1,Data_metier!$B:$B,0))="Non",
INDEX(Data_metier!$G:$G,MATCH($A4,Data_metier!$B:$B,0))="Oui, en amont OU aval"),
0.5,
IF(AND(INDEX(Data_metier!$G:$G,MATCH(AC$1,Data_metier!$B:$B,0))="Non",
INDEX(Data_metier!$G:$G,MATCH($A4,Data_metier!$B:$B,0))="Oui, en amont ET aval"),
1,
IF(AND(INDEX(Data_metier!$G:$G,MATCH(AC$1,Data_metier!$B:$B,0))="Oui, en amont OU aval",
INDEX(Data_metier!$G:$G,MATCH($A4,Data_metier!$B:$B,0))="Oui, en amont ET aval"),
0.5,
0))))</f>
        <v>-1</v>
      </c>
      <c r="AD4">
        <f>IF(DE_ress_transv!AD4=-1,-1,
DE_ress_transv!AD4+IF(AND(INDEX(Data_metier!$G:$G,MATCH(AD$1,Data_metier!$B:$B,0))="Non",
INDEX(Data_metier!$G:$G,MATCH($A4,Data_metier!$B:$B,0))="Oui, en amont OU aval"),
0.5,
IF(AND(INDEX(Data_metier!$G:$G,MATCH(AD$1,Data_metier!$B:$B,0))="Non",
INDEX(Data_metier!$G:$G,MATCH($A4,Data_metier!$B:$B,0))="Oui, en amont ET aval"),
1,
IF(AND(INDEX(Data_metier!$G:$G,MATCH(AD$1,Data_metier!$B:$B,0))="Oui, en amont OU aval",
INDEX(Data_metier!$G:$G,MATCH($A4,Data_metier!$B:$B,0))="Oui, en amont ET aval"),
0.5,
0))))</f>
        <v>-1</v>
      </c>
    </row>
    <row r="5" spans="1:30">
      <c r="A5" s="55" t="str">
        <v>Manager(euse) logistique</v>
      </c>
      <c r="B5">
        <f>IF(DE_ress_transv!B5=-1,-1,
DE_ress_transv!B5+IF(AND(INDEX(Data_metier!$G:$G,MATCH(B$1,Data_metier!$B:$B,0))="Non",
INDEX(Data_metier!$G:$G,MATCH($A5,Data_metier!$B:$B,0))="Oui, en amont OU aval"),
0.5,
IF(AND(INDEX(Data_metier!$G:$G,MATCH(B$1,Data_metier!$B:$B,0))="Non",
INDEX(Data_metier!$G:$G,MATCH($A5,Data_metier!$B:$B,0))="Oui, en amont ET aval"),
1,
IF(AND(INDEX(Data_metier!$G:$G,MATCH(B$1,Data_metier!$B:$B,0))="Oui, en amont OU aval",
INDEX(Data_metier!$G:$G,MATCH($A5,Data_metier!$B:$B,0))="Oui, en amont ET aval"),
0.5,
0))))</f>
        <v>3.4999999999999996</v>
      </c>
      <c r="C5">
        <f>IF(DE_ress_transv!C5=-1,-1,
DE_ress_transv!C5+IF(AND(INDEX(Data_metier!$G:$G,MATCH(C$1,Data_metier!$B:$B,0))="Non",
INDEX(Data_metier!$G:$G,MATCH($A5,Data_metier!$B:$B,0))="Oui, en amont OU aval"),
0.5,
IF(AND(INDEX(Data_metier!$G:$G,MATCH(C$1,Data_metier!$B:$B,0))="Non",
INDEX(Data_metier!$G:$G,MATCH($A5,Data_metier!$B:$B,0))="Oui, en amont ET aval"),
1,
IF(AND(INDEX(Data_metier!$G:$G,MATCH(C$1,Data_metier!$B:$B,0))="Oui, en amont OU aval",
INDEX(Data_metier!$G:$G,MATCH($A5,Data_metier!$B:$B,0))="Oui, en amont ET aval"),
0.5,
0))))</f>
        <v>3.9999999999999996</v>
      </c>
      <c r="D5">
        <f>IF(DE_ress_transv!D5=-1,-1,
DE_ress_transv!D5+IF(AND(INDEX(Data_metier!$G:$G,MATCH(D$1,Data_metier!$B:$B,0))="Non",
INDEX(Data_metier!$G:$G,MATCH($A5,Data_metier!$B:$B,0))="Oui, en amont OU aval"),
0.5,
IF(AND(INDEX(Data_metier!$G:$G,MATCH(D$1,Data_metier!$B:$B,0))="Non",
INDEX(Data_metier!$G:$G,MATCH($A5,Data_metier!$B:$B,0))="Oui, en amont ET aval"),
1,
IF(AND(INDEX(Data_metier!$G:$G,MATCH(D$1,Data_metier!$B:$B,0))="Oui, en amont OU aval",
INDEX(Data_metier!$G:$G,MATCH($A5,Data_metier!$B:$B,0))="Oui, en amont ET aval"),
0.5,
0))))</f>
        <v>3.9999999999999996</v>
      </c>
      <c r="E5">
        <f>IF(DE_ress_transv!E5=-1,-1,
DE_ress_transv!E5+IF(AND(INDEX(Data_metier!$G:$G,MATCH(E$1,Data_metier!$B:$B,0))="Non",
INDEX(Data_metier!$G:$G,MATCH($A5,Data_metier!$B:$B,0))="Oui, en amont OU aval"),
0.5,
IF(AND(INDEX(Data_metier!$G:$G,MATCH(E$1,Data_metier!$B:$B,0))="Non",
INDEX(Data_metier!$G:$G,MATCH($A5,Data_metier!$B:$B,0))="Oui, en amont ET aval"),
1,
IF(AND(INDEX(Data_metier!$G:$G,MATCH(E$1,Data_metier!$B:$B,0))="Oui, en amont OU aval",
INDEX(Data_metier!$G:$G,MATCH($A5,Data_metier!$B:$B,0))="Oui, en amont ET aval"),
0.5,
0))))</f>
        <v>0</v>
      </c>
      <c r="F5">
        <f>IF(DE_ress_transv!F5=-1,-1,
DE_ress_transv!F5+IF(AND(INDEX(Data_metier!$G:$G,MATCH(F$1,Data_metier!$B:$B,0))="Non",
INDEX(Data_metier!$G:$G,MATCH($A5,Data_metier!$B:$B,0))="Oui, en amont OU aval"),
0.5,
IF(AND(INDEX(Data_metier!$G:$G,MATCH(F$1,Data_metier!$B:$B,0))="Non",
INDEX(Data_metier!$G:$G,MATCH($A5,Data_metier!$B:$B,0))="Oui, en amont ET aval"),
1,
IF(AND(INDEX(Data_metier!$G:$G,MATCH(F$1,Data_metier!$B:$B,0))="Oui, en amont OU aval",
INDEX(Data_metier!$G:$G,MATCH($A5,Data_metier!$B:$B,0))="Oui, en amont ET aval"),
0.5,
0))))</f>
        <v>-0.33333333333333337</v>
      </c>
      <c r="G5">
        <f>IF(DE_ress_transv!G5=-1,-1,
DE_ress_transv!G5+IF(AND(INDEX(Data_metier!$G:$G,MATCH(G$1,Data_metier!$B:$B,0))="Non",
INDEX(Data_metier!$G:$G,MATCH($A5,Data_metier!$B:$B,0))="Oui, en amont OU aval"),
0.5,
IF(AND(INDEX(Data_metier!$G:$G,MATCH(G$1,Data_metier!$B:$B,0))="Non",
INDEX(Data_metier!$G:$G,MATCH($A5,Data_metier!$B:$B,0))="Oui, en amont ET aval"),
1,
IF(AND(INDEX(Data_metier!$G:$G,MATCH(G$1,Data_metier!$B:$B,0))="Oui, en amont OU aval",
INDEX(Data_metier!$G:$G,MATCH($A5,Data_metier!$B:$B,0))="Oui, en amont ET aval"),
0.5,
0))))</f>
        <v>-1</v>
      </c>
      <c r="H5">
        <f>IF(DE_ress_transv!H5=-1,-1,
DE_ress_transv!H5+IF(AND(INDEX(Data_metier!$G:$G,MATCH(H$1,Data_metier!$B:$B,0))="Non",
INDEX(Data_metier!$G:$G,MATCH($A5,Data_metier!$B:$B,0))="Oui, en amont OU aval"),
0.5,
IF(AND(INDEX(Data_metier!$G:$G,MATCH(H$1,Data_metier!$B:$B,0))="Non",
INDEX(Data_metier!$G:$G,MATCH($A5,Data_metier!$B:$B,0))="Oui, en amont ET aval"),
1,
IF(AND(INDEX(Data_metier!$G:$G,MATCH(H$1,Data_metier!$B:$B,0))="Oui, en amont OU aval",
INDEX(Data_metier!$G:$G,MATCH($A5,Data_metier!$B:$B,0))="Oui, en amont ET aval"),
0.5,
0))))</f>
        <v>-1</v>
      </c>
      <c r="I5">
        <f>IF(DE_ress_transv!I5=-1,-1,
DE_ress_transv!I5+IF(AND(INDEX(Data_metier!$G:$G,MATCH(I$1,Data_metier!$B:$B,0))="Non",
INDEX(Data_metier!$G:$G,MATCH($A5,Data_metier!$B:$B,0))="Oui, en amont OU aval"),
0.5,
IF(AND(INDEX(Data_metier!$G:$G,MATCH(I$1,Data_metier!$B:$B,0))="Non",
INDEX(Data_metier!$G:$G,MATCH($A5,Data_metier!$B:$B,0))="Oui, en amont ET aval"),
1,
IF(AND(INDEX(Data_metier!$G:$G,MATCH(I$1,Data_metier!$B:$B,0))="Oui, en amont OU aval",
INDEX(Data_metier!$G:$G,MATCH($A5,Data_metier!$B:$B,0))="Oui, en amont ET aval"),
0.5,
0))))</f>
        <v>3.9999999999999996</v>
      </c>
      <c r="J5">
        <f>IF(DE_ress_transv!J5=-1,-1,
DE_ress_transv!J5+IF(AND(INDEX(Data_metier!$G:$G,MATCH(J$1,Data_metier!$B:$B,0))="Non",
INDEX(Data_metier!$G:$G,MATCH($A5,Data_metier!$B:$B,0))="Oui, en amont OU aval"),
0.5,
IF(AND(INDEX(Data_metier!$G:$G,MATCH(J$1,Data_metier!$B:$B,0))="Non",
INDEX(Data_metier!$G:$G,MATCH($A5,Data_metier!$B:$B,0))="Oui, en amont ET aval"),
1,
IF(AND(INDEX(Data_metier!$G:$G,MATCH(J$1,Data_metier!$B:$B,0))="Oui, en amont OU aval",
INDEX(Data_metier!$G:$G,MATCH($A5,Data_metier!$B:$B,0))="Oui, en amont ET aval"),
0.5,
0))))</f>
        <v>1.3333333333333333</v>
      </c>
      <c r="K5">
        <f>IF(DE_ress_transv!K5=-1,-1,
DE_ress_transv!K5+IF(AND(INDEX(Data_metier!$G:$G,MATCH(K$1,Data_metier!$B:$B,0))="Non",
INDEX(Data_metier!$G:$G,MATCH($A5,Data_metier!$B:$B,0))="Oui, en amont OU aval"),
0.5,
IF(AND(INDEX(Data_metier!$G:$G,MATCH(K$1,Data_metier!$B:$B,0))="Non",
INDEX(Data_metier!$G:$G,MATCH($A5,Data_metier!$B:$B,0))="Oui, en amont ET aval"),
1,
IF(AND(INDEX(Data_metier!$G:$G,MATCH(K$1,Data_metier!$B:$B,0))="Oui, en amont OU aval",
INDEX(Data_metier!$G:$G,MATCH($A5,Data_metier!$B:$B,0))="Oui, en amont ET aval"),
0.5,
0))))</f>
        <v>-1</v>
      </c>
      <c r="L5">
        <f>IF(DE_ress_transv!L5=-1,-1,
DE_ress_transv!L5+IF(AND(INDEX(Data_metier!$G:$G,MATCH(L$1,Data_metier!$B:$B,0))="Non",
INDEX(Data_metier!$G:$G,MATCH($A5,Data_metier!$B:$B,0))="Oui, en amont OU aval"),
0.5,
IF(AND(INDEX(Data_metier!$G:$G,MATCH(L$1,Data_metier!$B:$B,0))="Non",
INDEX(Data_metier!$G:$G,MATCH($A5,Data_metier!$B:$B,0))="Oui, en amont ET aval"),
1,
IF(AND(INDEX(Data_metier!$G:$G,MATCH(L$1,Data_metier!$B:$B,0))="Oui, en amont OU aval",
INDEX(Data_metier!$G:$G,MATCH($A5,Data_metier!$B:$B,0))="Oui, en amont ET aval"),
0.5,
0))))</f>
        <v>3.9999999999999996</v>
      </c>
      <c r="M5">
        <f>IF(DE_ress_transv!M5=-1,-1,
DE_ress_transv!M5+IF(AND(INDEX(Data_metier!$G:$G,MATCH(M$1,Data_metier!$B:$B,0))="Non",
INDEX(Data_metier!$G:$G,MATCH($A5,Data_metier!$B:$B,0))="Oui, en amont OU aval"),
0.5,
IF(AND(INDEX(Data_metier!$G:$G,MATCH(M$1,Data_metier!$B:$B,0))="Non",
INDEX(Data_metier!$G:$G,MATCH($A5,Data_metier!$B:$B,0))="Oui, en amont ET aval"),
1,
IF(AND(INDEX(Data_metier!$G:$G,MATCH(M$1,Data_metier!$B:$B,0))="Oui, en amont OU aval",
INDEX(Data_metier!$G:$G,MATCH($A5,Data_metier!$B:$B,0))="Oui, en amont ET aval"),
0.5,
0))))</f>
        <v>3.9999999999999996</v>
      </c>
      <c r="N5">
        <f>IF(DE_ress_transv!N5=-1,-1,
DE_ress_transv!N5+IF(AND(INDEX(Data_metier!$G:$G,MATCH(N$1,Data_metier!$B:$B,0))="Non",
INDEX(Data_metier!$G:$G,MATCH($A5,Data_metier!$B:$B,0))="Oui, en amont OU aval"),
0.5,
IF(AND(INDEX(Data_metier!$G:$G,MATCH(N$1,Data_metier!$B:$B,0))="Non",
INDEX(Data_metier!$G:$G,MATCH($A5,Data_metier!$B:$B,0))="Oui, en amont ET aval"),
1,
IF(AND(INDEX(Data_metier!$G:$G,MATCH(N$1,Data_metier!$B:$B,0))="Oui, en amont OU aval",
INDEX(Data_metier!$G:$G,MATCH($A5,Data_metier!$B:$B,0))="Oui, en amont ET aval"),
0.5,
0))))</f>
        <v>1.1666666666666667</v>
      </c>
      <c r="O5">
        <f>IF(DE_ress_transv!O5=-1,-1,
DE_ress_transv!O5+IF(AND(INDEX(Data_metier!$G:$G,MATCH(O$1,Data_metier!$B:$B,0))="Non",
INDEX(Data_metier!$G:$G,MATCH($A5,Data_metier!$B:$B,0))="Oui, en amont OU aval"),
0.5,
IF(AND(INDEX(Data_metier!$G:$G,MATCH(O$1,Data_metier!$B:$B,0))="Non",
INDEX(Data_metier!$G:$G,MATCH($A5,Data_metier!$B:$B,0))="Oui, en amont ET aval"),
1,
IF(AND(INDEX(Data_metier!$G:$G,MATCH(O$1,Data_metier!$B:$B,0))="Oui, en amont OU aval",
INDEX(Data_metier!$G:$G,MATCH($A5,Data_metier!$B:$B,0))="Oui, en amont ET aval"),
0.5,
0))))</f>
        <v>3.9999999999999996</v>
      </c>
      <c r="P5">
        <f>IF(DE_ress_transv!P5=-1,-1,
DE_ress_transv!P5+IF(AND(INDEX(Data_metier!$G:$G,MATCH(P$1,Data_metier!$B:$B,0))="Non",
INDEX(Data_metier!$G:$G,MATCH($A5,Data_metier!$B:$B,0))="Oui, en amont OU aval"),
0.5,
IF(AND(INDEX(Data_metier!$G:$G,MATCH(P$1,Data_metier!$B:$B,0))="Non",
INDEX(Data_metier!$G:$G,MATCH($A5,Data_metier!$B:$B,0))="Oui, en amont ET aval"),
1,
IF(AND(INDEX(Data_metier!$G:$G,MATCH(P$1,Data_metier!$B:$B,0))="Oui, en amont OU aval",
INDEX(Data_metier!$G:$G,MATCH($A5,Data_metier!$B:$B,0))="Oui, en amont ET aval"),
0.5,
0))))</f>
        <v>3.9999999999999996</v>
      </c>
      <c r="Q5">
        <f>IF(DE_ress_transv!Q5=-1,-1,
DE_ress_transv!Q5+IF(AND(INDEX(Data_metier!$G:$G,MATCH(Q$1,Data_metier!$B:$B,0))="Non",
INDEX(Data_metier!$G:$G,MATCH($A5,Data_metier!$B:$B,0))="Oui, en amont OU aval"),
0.5,
IF(AND(INDEX(Data_metier!$G:$G,MATCH(Q$1,Data_metier!$B:$B,0))="Non",
INDEX(Data_metier!$G:$G,MATCH($A5,Data_metier!$B:$B,0))="Oui, en amont ET aval"),
1,
IF(AND(INDEX(Data_metier!$G:$G,MATCH(Q$1,Data_metier!$B:$B,0))="Oui, en amont OU aval",
INDEX(Data_metier!$G:$G,MATCH($A5,Data_metier!$B:$B,0))="Oui, en amont ET aval"),
0.5,
0))))</f>
        <v>0.5</v>
      </c>
      <c r="R5">
        <f>IF(DE_ress_transv!R5=-1,-1,
DE_ress_transv!R5+IF(AND(INDEX(Data_metier!$G:$G,MATCH(R$1,Data_metier!$B:$B,0))="Non",
INDEX(Data_metier!$G:$G,MATCH($A5,Data_metier!$B:$B,0))="Oui, en amont OU aval"),
0.5,
IF(AND(INDEX(Data_metier!$G:$G,MATCH(R$1,Data_metier!$B:$B,0))="Non",
INDEX(Data_metier!$G:$G,MATCH($A5,Data_metier!$B:$B,0))="Oui, en amont ET aval"),
1,
IF(AND(INDEX(Data_metier!$G:$G,MATCH(R$1,Data_metier!$B:$B,0))="Oui, en amont OU aval",
INDEX(Data_metier!$G:$G,MATCH($A5,Data_metier!$B:$B,0))="Oui, en amont ET aval"),
0.5,
0))))</f>
        <v>-1</v>
      </c>
      <c r="S5">
        <f>IF(DE_ress_transv!S5=-1,-1,
DE_ress_transv!S5+IF(AND(INDEX(Data_metier!$G:$G,MATCH(S$1,Data_metier!$B:$B,0))="Non",
INDEX(Data_metier!$G:$G,MATCH($A5,Data_metier!$B:$B,0))="Oui, en amont OU aval"),
0.5,
IF(AND(INDEX(Data_metier!$G:$G,MATCH(S$1,Data_metier!$B:$B,0))="Non",
INDEX(Data_metier!$G:$G,MATCH($A5,Data_metier!$B:$B,0))="Oui, en amont ET aval"),
1,
IF(AND(INDEX(Data_metier!$G:$G,MATCH(S$1,Data_metier!$B:$B,0))="Oui, en amont OU aval",
INDEX(Data_metier!$G:$G,MATCH($A5,Data_metier!$B:$B,0))="Oui, en amont ET aval"),
0.5,
0))))</f>
        <v>3.9999999999999996</v>
      </c>
      <c r="T5">
        <f>IF(DE_ress_transv!T5=-1,-1,
DE_ress_transv!T5+IF(AND(INDEX(Data_metier!$G:$G,MATCH(T$1,Data_metier!$B:$B,0))="Non",
INDEX(Data_metier!$G:$G,MATCH($A5,Data_metier!$B:$B,0))="Oui, en amont OU aval"),
0.5,
IF(AND(INDEX(Data_metier!$G:$G,MATCH(T$1,Data_metier!$B:$B,0))="Non",
INDEX(Data_metier!$G:$G,MATCH($A5,Data_metier!$B:$B,0))="Oui, en amont ET aval"),
1,
IF(AND(INDEX(Data_metier!$G:$G,MATCH(T$1,Data_metier!$B:$B,0))="Oui, en amont OU aval",
INDEX(Data_metier!$G:$G,MATCH($A5,Data_metier!$B:$B,0))="Oui, en amont ET aval"),
0.5,
0))))</f>
        <v>3.9999999999999996</v>
      </c>
      <c r="U5">
        <f>IF(DE_ress_transv!U5=-1,-1,
DE_ress_transv!U5+IF(AND(INDEX(Data_metier!$G:$G,MATCH(U$1,Data_metier!$B:$B,0))="Non",
INDEX(Data_metier!$G:$G,MATCH($A5,Data_metier!$B:$B,0))="Oui, en amont OU aval"),
0.5,
IF(AND(INDEX(Data_metier!$G:$G,MATCH(U$1,Data_metier!$B:$B,0))="Non",
INDEX(Data_metier!$G:$G,MATCH($A5,Data_metier!$B:$B,0))="Oui, en amont ET aval"),
1,
IF(AND(INDEX(Data_metier!$G:$G,MATCH(U$1,Data_metier!$B:$B,0))="Oui, en amont OU aval",
INDEX(Data_metier!$G:$G,MATCH($A5,Data_metier!$B:$B,0))="Oui, en amont ET aval"),
0.5,
0))))</f>
        <v>3.9999999999999996</v>
      </c>
      <c r="V5">
        <f>IF(DE_ress_transv!V5=-1,-1,
DE_ress_transv!V5+IF(AND(INDEX(Data_metier!$G:$G,MATCH(V$1,Data_metier!$B:$B,0))="Non",
INDEX(Data_metier!$G:$G,MATCH($A5,Data_metier!$B:$B,0))="Oui, en amont OU aval"),
0.5,
IF(AND(INDEX(Data_metier!$G:$G,MATCH(V$1,Data_metier!$B:$B,0))="Non",
INDEX(Data_metier!$G:$G,MATCH($A5,Data_metier!$B:$B,0))="Oui, en amont ET aval"),
1,
IF(AND(INDEX(Data_metier!$G:$G,MATCH(V$1,Data_metier!$B:$B,0))="Oui, en amont OU aval",
INDEX(Data_metier!$G:$G,MATCH($A5,Data_metier!$B:$B,0))="Oui, en amont ET aval"),
0.5,
0))))</f>
        <v>3.4999999999999996</v>
      </c>
      <c r="W5">
        <f>IF(DE_ress_transv!W5=-1,-1,
DE_ress_transv!W5+IF(AND(INDEX(Data_metier!$G:$G,MATCH(W$1,Data_metier!$B:$B,0))="Non",
INDEX(Data_metier!$G:$G,MATCH($A5,Data_metier!$B:$B,0))="Oui, en amont OU aval"),
0.5,
IF(AND(INDEX(Data_metier!$G:$G,MATCH(W$1,Data_metier!$B:$B,0))="Non",
INDEX(Data_metier!$G:$G,MATCH($A5,Data_metier!$B:$B,0))="Oui, en amont ET aval"),
1,
IF(AND(INDEX(Data_metier!$G:$G,MATCH(W$1,Data_metier!$B:$B,0))="Oui, en amont OU aval",
INDEX(Data_metier!$G:$G,MATCH($A5,Data_metier!$B:$B,0))="Oui, en amont ET aval"),
0.5,
0))))</f>
        <v>2.9999999999999996</v>
      </c>
      <c r="X5">
        <f>IF(DE_ress_transv!X5=-1,-1,
DE_ress_transv!X5+IF(AND(INDEX(Data_metier!$G:$G,MATCH(X$1,Data_metier!$B:$B,0))="Non",
INDEX(Data_metier!$G:$G,MATCH($A5,Data_metier!$B:$B,0))="Oui, en amont OU aval"),
0.5,
IF(AND(INDEX(Data_metier!$G:$G,MATCH(X$1,Data_metier!$B:$B,0))="Non",
INDEX(Data_metier!$G:$G,MATCH($A5,Data_metier!$B:$B,0))="Oui, en amont ET aval"),
1,
IF(AND(INDEX(Data_metier!$G:$G,MATCH(X$1,Data_metier!$B:$B,0))="Oui, en amont OU aval",
INDEX(Data_metier!$G:$G,MATCH($A5,Data_metier!$B:$B,0))="Oui, en amont ET aval"),
0.5,
0))))</f>
        <v>-1</v>
      </c>
      <c r="Y5">
        <f>IF(DE_ress_transv!Y5=-1,-1,
DE_ress_transv!Y5+IF(AND(INDEX(Data_metier!$G:$G,MATCH(Y$1,Data_metier!$B:$B,0))="Non",
INDEX(Data_metier!$G:$G,MATCH($A5,Data_metier!$B:$B,0))="Oui, en amont OU aval"),
0.5,
IF(AND(INDEX(Data_metier!$G:$G,MATCH(Y$1,Data_metier!$B:$B,0))="Non",
INDEX(Data_metier!$G:$G,MATCH($A5,Data_metier!$B:$B,0))="Oui, en amont ET aval"),
1,
IF(AND(INDEX(Data_metier!$G:$G,MATCH(Y$1,Data_metier!$B:$B,0))="Oui, en amont OU aval",
INDEX(Data_metier!$G:$G,MATCH($A5,Data_metier!$B:$B,0))="Oui, en amont ET aval"),
0.5,
0))))</f>
        <v>3.9999999999999996</v>
      </c>
      <c r="Z5">
        <f>IF(DE_ress_transv!Z5=-1,-1,
DE_ress_transv!Z5+IF(AND(INDEX(Data_metier!$G:$G,MATCH(Z$1,Data_metier!$B:$B,0))="Non",
INDEX(Data_metier!$G:$G,MATCH($A5,Data_metier!$B:$B,0))="Oui, en amont OU aval"),
0.5,
IF(AND(INDEX(Data_metier!$G:$G,MATCH(Z$1,Data_metier!$B:$B,0))="Non",
INDEX(Data_metier!$G:$G,MATCH($A5,Data_metier!$B:$B,0))="Oui, en amont ET aval"),
1,
IF(AND(INDEX(Data_metier!$G:$G,MATCH(Z$1,Data_metier!$B:$B,0))="Oui, en amont OU aval",
INDEX(Data_metier!$G:$G,MATCH($A5,Data_metier!$B:$B,0))="Oui, en amont ET aval"),
0.5,
0))))</f>
        <v>3.9999999999999996</v>
      </c>
      <c r="AA5">
        <f>IF(DE_ress_transv!AA5=-1,-1,
DE_ress_transv!AA5+IF(AND(INDEX(Data_metier!$G:$G,MATCH(AA$1,Data_metier!$B:$B,0))="Non",
INDEX(Data_metier!$G:$G,MATCH($A5,Data_metier!$B:$B,0))="Oui, en amont OU aval"),
0.5,
IF(AND(INDEX(Data_metier!$G:$G,MATCH(AA$1,Data_metier!$B:$B,0))="Non",
INDEX(Data_metier!$G:$G,MATCH($A5,Data_metier!$B:$B,0))="Oui, en amont ET aval"),
1,
IF(AND(INDEX(Data_metier!$G:$G,MATCH(AA$1,Data_metier!$B:$B,0))="Oui, en amont OU aval",
INDEX(Data_metier!$G:$G,MATCH($A5,Data_metier!$B:$B,0))="Oui, en amont ET aval"),
0.5,
0))))</f>
        <v>3.9999999999999996</v>
      </c>
      <c r="AB5">
        <f>IF(DE_ress_transv!AB5=-1,-1,
DE_ress_transv!AB5+IF(AND(INDEX(Data_metier!$G:$G,MATCH(AB$1,Data_metier!$B:$B,0))="Non",
INDEX(Data_metier!$G:$G,MATCH($A5,Data_metier!$B:$B,0))="Oui, en amont OU aval"),
0.5,
IF(AND(INDEX(Data_metier!$G:$G,MATCH(AB$1,Data_metier!$B:$B,0))="Non",
INDEX(Data_metier!$G:$G,MATCH($A5,Data_metier!$B:$B,0))="Oui, en amont ET aval"),
1,
IF(AND(INDEX(Data_metier!$G:$G,MATCH(AB$1,Data_metier!$B:$B,0))="Oui, en amont OU aval",
INDEX(Data_metier!$G:$G,MATCH($A5,Data_metier!$B:$B,0))="Oui, en amont ET aval"),
0.5,
0))))</f>
        <v>3.4999999999999996</v>
      </c>
      <c r="AC5">
        <f>IF(DE_ress_transv!AC5=-1,-1,
DE_ress_transv!AC5+IF(AND(INDEX(Data_metier!$G:$G,MATCH(AC$1,Data_metier!$B:$B,0))="Non",
INDEX(Data_metier!$G:$G,MATCH($A5,Data_metier!$B:$B,0))="Oui, en amont OU aval"),
0.5,
IF(AND(INDEX(Data_metier!$G:$G,MATCH(AC$1,Data_metier!$B:$B,0))="Non",
INDEX(Data_metier!$G:$G,MATCH($A5,Data_metier!$B:$B,0))="Oui, en amont ET aval"),
1,
IF(AND(INDEX(Data_metier!$G:$G,MATCH(AC$1,Data_metier!$B:$B,0))="Oui, en amont OU aval",
INDEX(Data_metier!$G:$G,MATCH($A5,Data_metier!$B:$B,0))="Oui, en amont ET aval"),
0.5,
0))))</f>
        <v>3.4999999999999996</v>
      </c>
      <c r="AD5">
        <f>IF(DE_ress_transv!AD5=-1,-1,
DE_ress_transv!AD5+IF(AND(INDEX(Data_metier!$G:$G,MATCH(AD$1,Data_metier!$B:$B,0))="Non",
INDEX(Data_metier!$G:$G,MATCH($A5,Data_metier!$B:$B,0))="Oui, en amont OU aval"),
0.5,
IF(AND(INDEX(Data_metier!$G:$G,MATCH(AD$1,Data_metier!$B:$B,0))="Non",
INDEX(Data_metier!$G:$G,MATCH($A5,Data_metier!$B:$B,0))="Oui, en amont ET aval"),
1,
IF(AND(INDEX(Data_metier!$G:$G,MATCH(AD$1,Data_metier!$B:$B,0))="Oui, en amont OU aval",
INDEX(Data_metier!$G:$G,MATCH($A5,Data_metier!$B:$B,0))="Oui, en amont ET aval"),
0.5,
0))))</f>
        <v>2.5</v>
      </c>
    </row>
    <row r="6" spans="1:30">
      <c r="A6" s="55" t="str">
        <v>Maître(sse) de chai</v>
      </c>
      <c r="B6">
        <f>IF(DE_ress_transv!B6=-1,-1,
DE_ress_transv!B6+IF(AND(INDEX(Data_metier!$G:$G,MATCH(B$1,Data_metier!$B:$B,0))="Non",
INDEX(Data_metier!$G:$G,MATCH($A6,Data_metier!$B:$B,0))="Oui, en amont OU aval"),
0.5,
IF(AND(INDEX(Data_metier!$G:$G,MATCH(B$1,Data_metier!$B:$B,0))="Non",
INDEX(Data_metier!$G:$G,MATCH($A6,Data_metier!$B:$B,0))="Oui, en amont ET aval"),
1,
IF(AND(INDEX(Data_metier!$G:$G,MATCH(B$1,Data_metier!$B:$B,0))="Oui, en amont OU aval",
INDEX(Data_metier!$G:$G,MATCH($A6,Data_metier!$B:$B,0))="Oui, en amont ET aval"),
0.5,
0))))</f>
        <v>2.9999999999999996</v>
      </c>
      <c r="C6">
        <f>IF(DE_ress_transv!C6=-1,-1,
DE_ress_transv!C6+IF(AND(INDEX(Data_metier!$G:$G,MATCH(C$1,Data_metier!$B:$B,0))="Non",
INDEX(Data_metier!$G:$G,MATCH($A6,Data_metier!$B:$B,0))="Oui, en amont OU aval"),
0.5,
IF(AND(INDEX(Data_metier!$G:$G,MATCH(C$1,Data_metier!$B:$B,0))="Non",
INDEX(Data_metier!$G:$G,MATCH($A6,Data_metier!$B:$B,0))="Oui, en amont ET aval"),
1,
IF(AND(INDEX(Data_metier!$G:$G,MATCH(C$1,Data_metier!$B:$B,0))="Oui, en amont OU aval",
INDEX(Data_metier!$G:$G,MATCH($A6,Data_metier!$B:$B,0))="Oui, en amont ET aval"),
0.5,
0))))</f>
        <v>3.333333333333333</v>
      </c>
      <c r="D6">
        <f>IF(DE_ress_transv!D6=-1,-1,
DE_ress_transv!D6+IF(AND(INDEX(Data_metier!$G:$G,MATCH(D$1,Data_metier!$B:$B,0))="Non",
INDEX(Data_metier!$G:$G,MATCH($A6,Data_metier!$B:$B,0))="Oui, en amont OU aval"),
0.5,
IF(AND(INDEX(Data_metier!$G:$G,MATCH(D$1,Data_metier!$B:$B,0))="Non",
INDEX(Data_metier!$G:$G,MATCH($A6,Data_metier!$B:$B,0))="Oui, en amont ET aval"),
1,
IF(AND(INDEX(Data_metier!$G:$G,MATCH(D$1,Data_metier!$B:$B,0))="Oui, en amont OU aval",
INDEX(Data_metier!$G:$G,MATCH($A6,Data_metier!$B:$B,0))="Oui, en amont ET aval"),
0.5,
0))))</f>
        <v>3.4999999999999996</v>
      </c>
      <c r="E6">
        <f>IF(DE_ress_transv!E6=-1,-1,
DE_ress_transv!E6+IF(AND(INDEX(Data_metier!$G:$G,MATCH(E$1,Data_metier!$B:$B,0))="Non",
INDEX(Data_metier!$G:$G,MATCH($A6,Data_metier!$B:$B,0))="Oui, en amont OU aval"),
0.5,
IF(AND(INDEX(Data_metier!$G:$G,MATCH(E$1,Data_metier!$B:$B,0))="Non",
INDEX(Data_metier!$G:$G,MATCH($A6,Data_metier!$B:$B,0))="Oui, en amont ET aval"),
1,
IF(AND(INDEX(Data_metier!$G:$G,MATCH(E$1,Data_metier!$B:$B,0))="Oui, en amont OU aval",
INDEX(Data_metier!$G:$G,MATCH($A6,Data_metier!$B:$B,0))="Oui, en amont ET aval"),
0.5,
0))))</f>
        <v>1</v>
      </c>
      <c r="F6">
        <f>IF(DE_ress_transv!F6=-1,-1,
DE_ress_transv!F6+IF(AND(INDEX(Data_metier!$G:$G,MATCH(F$1,Data_metier!$B:$B,0))="Non",
INDEX(Data_metier!$G:$G,MATCH($A6,Data_metier!$B:$B,0))="Oui, en amont OU aval"),
0.5,
IF(AND(INDEX(Data_metier!$G:$G,MATCH(F$1,Data_metier!$B:$B,0))="Non",
INDEX(Data_metier!$G:$G,MATCH($A6,Data_metier!$B:$B,0))="Oui, en amont ET aval"),
1,
IF(AND(INDEX(Data_metier!$G:$G,MATCH(F$1,Data_metier!$B:$B,0))="Oui, en amont OU aval",
INDEX(Data_metier!$G:$G,MATCH($A6,Data_metier!$B:$B,0))="Oui, en amont ET aval"),
0.5,
0))))</f>
        <v>0</v>
      </c>
      <c r="G6">
        <f>IF(DE_ress_transv!G6=-1,-1,
DE_ress_transv!G6+IF(AND(INDEX(Data_metier!$G:$G,MATCH(G$1,Data_metier!$B:$B,0))="Non",
INDEX(Data_metier!$G:$G,MATCH($A6,Data_metier!$B:$B,0))="Oui, en amont OU aval"),
0.5,
IF(AND(INDEX(Data_metier!$G:$G,MATCH(G$1,Data_metier!$B:$B,0))="Non",
INDEX(Data_metier!$G:$G,MATCH($A6,Data_metier!$B:$B,0))="Oui, en amont ET aval"),
1,
IF(AND(INDEX(Data_metier!$G:$G,MATCH(G$1,Data_metier!$B:$B,0))="Oui, en amont OU aval",
INDEX(Data_metier!$G:$G,MATCH($A6,Data_metier!$B:$B,0))="Oui, en amont ET aval"),
0.5,
0))))</f>
        <v>0.5</v>
      </c>
      <c r="H6">
        <f>IF(DE_ress_transv!H6=-1,-1,
DE_ress_transv!H6+IF(AND(INDEX(Data_metier!$G:$G,MATCH(H$1,Data_metier!$B:$B,0))="Non",
INDEX(Data_metier!$G:$G,MATCH($A6,Data_metier!$B:$B,0))="Oui, en amont OU aval"),
0.5,
IF(AND(INDEX(Data_metier!$G:$G,MATCH(H$1,Data_metier!$B:$B,0))="Non",
INDEX(Data_metier!$G:$G,MATCH($A6,Data_metier!$B:$B,0))="Oui, en amont ET aval"),
1,
IF(AND(INDEX(Data_metier!$G:$G,MATCH(H$1,Data_metier!$B:$B,0))="Oui, en amont OU aval",
INDEX(Data_metier!$G:$G,MATCH($A6,Data_metier!$B:$B,0))="Oui, en amont ET aval"),
0.5,
0))))</f>
        <v>0</v>
      </c>
      <c r="I6">
        <f>IF(DE_ress_transv!I6=-1,-1,
DE_ress_transv!I6+IF(AND(INDEX(Data_metier!$G:$G,MATCH(I$1,Data_metier!$B:$B,0))="Non",
INDEX(Data_metier!$G:$G,MATCH($A6,Data_metier!$B:$B,0))="Oui, en amont OU aval"),
0.5,
IF(AND(INDEX(Data_metier!$G:$G,MATCH(I$1,Data_metier!$B:$B,0))="Non",
INDEX(Data_metier!$G:$G,MATCH($A6,Data_metier!$B:$B,0))="Oui, en amont ET aval"),
1,
IF(AND(INDEX(Data_metier!$G:$G,MATCH(I$1,Data_metier!$B:$B,0))="Oui, en amont OU aval",
INDEX(Data_metier!$G:$G,MATCH($A6,Data_metier!$B:$B,0))="Oui, en amont ET aval"),
0.5,
0))))</f>
        <v>3.4999999999999996</v>
      </c>
      <c r="J6">
        <f>IF(DE_ress_transv!J6=-1,-1,
DE_ress_transv!J6+IF(AND(INDEX(Data_metier!$G:$G,MATCH(J$1,Data_metier!$B:$B,0))="Non",
INDEX(Data_metier!$G:$G,MATCH($A6,Data_metier!$B:$B,0))="Oui, en amont OU aval"),
0.5,
IF(AND(INDEX(Data_metier!$G:$G,MATCH(J$1,Data_metier!$B:$B,0))="Non",
INDEX(Data_metier!$G:$G,MATCH($A6,Data_metier!$B:$B,0))="Oui, en amont ET aval"),
1,
IF(AND(INDEX(Data_metier!$G:$G,MATCH(J$1,Data_metier!$B:$B,0))="Oui, en amont OU aval",
INDEX(Data_metier!$G:$G,MATCH($A6,Data_metier!$B:$B,0))="Oui, en amont ET aval"),
0.5,
0))))</f>
        <v>1.6666666666666667</v>
      </c>
      <c r="K6">
        <f>IF(DE_ress_transv!K6=-1,-1,
DE_ress_transv!K6+IF(AND(INDEX(Data_metier!$G:$G,MATCH(K$1,Data_metier!$B:$B,0))="Non",
INDEX(Data_metier!$G:$G,MATCH($A6,Data_metier!$B:$B,0))="Oui, en amont OU aval"),
0.5,
IF(AND(INDEX(Data_metier!$G:$G,MATCH(K$1,Data_metier!$B:$B,0))="Non",
INDEX(Data_metier!$G:$G,MATCH($A6,Data_metier!$B:$B,0))="Oui, en amont ET aval"),
1,
IF(AND(INDEX(Data_metier!$G:$G,MATCH(K$1,Data_metier!$B:$B,0))="Oui, en amont OU aval",
INDEX(Data_metier!$G:$G,MATCH($A6,Data_metier!$B:$B,0))="Oui, en amont ET aval"),
0.5,
0))))</f>
        <v>-1</v>
      </c>
      <c r="L6">
        <f>IF(DE_ress_transv!L6=-1,-1,
DE_ress_transv!L6+IF(AND(INDEX(Data_metier!$G:$G,MATCH(L$1,Data_metier!$B:$B,0))="Non",
INDEX(Data_metier!$G:$G,MATCH($A6,Data_metier!$B:$B,0))="Oui, en amont OU aval"),
0.5,
IF(AND(INDEX(Data_metier!$G:$G,MATCH(L$1,Data_metier!$B:$B,0))="Non",
INDEX(Data_metier!$G:$G,MATCH($A6,Data_metier!$B:$B,0))="Oui, en amont ET aval"),
1,
IF(AND(INDEX(Data_metier!$G:$G,MATCH(L$1,Data_metier!$B:$B,0))="Oui, en amont OU aval",
INDEX(Data_metier!$G:$G,MATCH($A6,Data_metier!$B:$B,0))="Oui, en amont ET aval"),
0.5,
0))))</f>
        <v>3.333333333333333</v>
      </c>
      <c r="M6">
        <f>IF(DE_ress_transv!M6=-1,-1,
DE_ress_transv!M6+IF(AND(INDEX(Data_metier!$G:$G,MATCH(M$1,Data_metier!$B:$B,0))="Non",
INDEX(Data_metier!$G:$G,MATCH($A6,Data_metier!$B:$B,0))="Oui, en amont OU aval"),
0.5,
IF(AND(INDEX(Data_metier!$G:$G,MATCH(M$1,Data_metier!$B:$B,0))="Non",
INDEX(Data_metier!$G:$G,MATCH($A6,Data_metier!$B:$B,0))="Oui, en amont ET aval"),
1,
IF(AND(INDEX(Data_metier!$G:$G,MATCH(M$1,Data_metier!$B:$B,0))="Oui, en amont OU aval",
INDEX(Data_metier!$G:$G,MATCH($A6,Data_metier!$B:$B,0))="Oui, en amont ET aval"),
0.5,
0))))</f>
        <v>3.333333333333333</v>
      </c>
      <c r="N6">
        <f>IF(DE_ress_transv!N6=-1,-1,
DE_ress_transv!N6+IF(AND(INDEX(Data_metier!$G:$G,MATCH(N$1,Data_metier!$B:$B,0))="Non",
INDEX(Data_metier!$G:$G,MATCH($A6,Data_metier!$B:$B,0))="Oui, en amont OU aval"),
0.5,
IF(AND(INDEX(Data_metier!$G:$G,MATCH(N$1,Data_metier!$B:$B,0))="Non",
INDEX(Data_metier!$G:$G,MATCH($A6,Data_metier!$B:$B,0))="Oui, en amont ET aval"),
1,
IF(AND(INDEX(Data_metier!$G:$G,MATCH(N$1,Data_metier!$B:$B,0))="Oui, en amont OU aval",
INDEX(Data_metier!$G:$G,MATCH($A6,Data_metier!$B:$B,0))="Oui, en amont ET aval"),
0.5,
0))))</f>
        <v>1.1666666666666667</v>
      </c>
      <c r="O6">
        <f>IF(DE_ress_transv!O6=-1,-1,
DE_ress_transv!O6+IF(AND(INDEX(Data_metier!$G:$G,MATCH(O$1,Data_metier!$B:$B,0))="Non",
INDEX(Data_metier!$G:$G,MATCH($A6,Data_metier!$B:$B,0))="Oui, en amont OU aval"),
0.5,
IF(AND(INDEX(Data_metier!$G:$G,MATCH(O$1,Data_metier!$B:$B,0))="Non",
INDEX(Data_metier!$G:$G,MATCH($A6,Data_metier!$B:$B,0))="Oui, en amont ET aval"),
1,
IF(AND(INDEX(Data_metier!$G:$G,MATCH(O$1,Data_metier!$B:$B,0))="Oui, en amont OU aval",
INDEX(Data_metier!$G:$G,MATCH($A6,Data_metier!$B:$B,0))="Oui, en amont ET aval"),
0.5,
0))))</f>
        <v>3.333333333333333</v>
      </c>
      <c r="P6">
        <f>IF(DE_ress_transv!P6=-1,-1,
DE_ress_transv!P6+IF(AND(INDEX(Data_metier!$G:$G,MATCH(P$1,Data_metier!$B:$B,0))="Non",
INDEX(Data_metier!$G:$G,MATCH($A6,Data_metier!$B:$B,0))="Oui, en amont OU aval"),
0.5,
IF(AND(INDEX(Data_metier!$G:$G,MATCH(P$1,Data_metier!$B:$B,0))="Non",
INDEX(Data_metier!$G:$G,MATCH($A6,Data_metier!$B:$B,0))="Oui, en amont ET aval"),
1,
IF(AND(INDEX(Data_metier!$G:$G,MATCH(P$1,Data_metier!$B:$B,0))="Oui, en amont OU aval",
INDEX(Data_metier!$G:$G,MATCH($A6,Data_metier!$B:$B,0))="Oui, en amont ET aval"),
0.5,
0))))</f>
        <v>3.4999999999999996</v>
      </c>
      <c r="Q6">
        <f>IF(DE_ress_transv!Q6=-1,-1,
DE_ress_transv!Q6+IF(AND(INDEX(Data_metier!$G:$G,MATCH(Q$1,Data_metier!$B:$B,0))="Non",
INDEX(Data_metier!$G:$G,MATCH($A6,Data_metier!$B:$B,0))="Oui, en amont OU aval"),
0.5,
IF(AND(INDEX(Data_metier!$G:$G,MATCH(Q$1,Data_metier!$B:$B,0))="Non",
INDEX(Data_metier!$G:$G,MATCH($A6,Data_metier!$B:$B,0))="Oui, en amont ET aval"),
1,
IF(AND(INDEX(Data_metier!$G:$G,MATCH(Q$1,Data_metier!$B:$B,0))="Oui, en amont OU aval",
INDEX(Data_metier!$G:$G,MATCH($A6,Data_metier!$B:$B,0))="Oui, en amont ET aval"),
0.5,
0))))</f>
        <v>1.5</v>
      </c>
      <c r="R6">
        <f>IF(DE_ress_transv!R6=-1,-1,
DE_ress_transv!R6+IF(AND(INDEX(Data_metier!$G:$G,MATCH(R$1,Data_metier!$B:$B,0))="Non",
INDEX(Data_metier!$G:$G,MATCH($A6,Data_metier!$B:$B,0))="Oui, en amont OU aval"),
0.5,
IF(AND(INDEX(Data_metier!$G:$G,MATCH(R$1,Data_metier!$B:$B,0))="Non",
INDEX(Data_metier!$G:$G,MATCH($A6,Data_metier!$B:$B,0))="Oui, en amont ET aval"),
1,
IF(AND(INDEX(Data_metier!$G:$G,MATCH(R$1,Data_metier!$B:$B,0))="Oui, en amont OU aval",
INDEX(Data_metier!$G:$G,MATCH($A6,Data_metier!$B:$B,0))="Oui, en amont ET aval"),
0.5,
0))))</f>
        <v>-1</v>
      </c>
      <c r="S6">
        <f>IF(DE_ress_transv!S6=-1,-1,
DE_ress_transv!S6+IF(AND(INDEX(Data_metier!$G:$G,MATCH(S$1,Data_metier!$B:$B,0))="Non",
INDEX(Data_metier!$G:$G,MATCH($A6,Data_metier!$B:$B,0))="Oui, en amont OU aval"),
0.5,
IF(AND(INDEX(Data_metier!$G:$G,MATCH(S$1,Data_metier!$B:$B,0))="Non",
INDEX(Data_metier!$G:$G,MATCH($A6,Data_metier!$B:$B,0))="Oui, en amont ET aval"),
1,
IF(AND(INDEX(Data_metier!$G:$G,MATCH(S$1,Data_metier!$B:$B,0))="Oui, en amont OU aval",
INDEX(Data_metier!$G:$G,MATCH($A6,Data_metier!$B:$B,0))="Oui, en amont ET aval"),
0.5,
0))))</f>
        <v>3.4999999999999996</v>
      </c>
      <c r="T6">
        <f>IF(DE_ress_transv!T6=-1,-1,
DE_ress_transv!T6+IF(AND(INDEX(Data_metier!$G:$G,MATCH(T$1,Data_metier!$B:$B,0))="Non",
INDEX(Data_metier!$G:$G,MATCH($A6,Data_metier!$B:$B,0))="Oui, en amont OU aval"),
0.5,
IF(AND(INDEX(Data_metier!$G:$G,MATCH(T$1,Data_metier!$B:$B,0))="Non",
INDEX(Data_metier!$G:$G,MATCH($A6,Data_metier!$B:$B,0))="Oui, en amont ET aval"),
1,
IF(AND(INDEX(Data_metier!$G:$G,MATCH(T$1,Data_metier!$B:$B,0))="Oui, en amont OU aval",
INDEX(Data_metier!$G:$G,MATCH($A6,Data_metier!$B:$B,0))="Oui, en amont ET aval"),
0.5,
0))))</f>
        <v>3.4999999999999996</v>
      </c>
      <c r="U6">
        <f>IF(DE_ress_transv!U6=-1,-1,
DE_ress_transv!U6+IF(AND(INDEX(Data_metier!$G:$G,MATCH(U$1,Data_metier!$B:$B,0))="Non",
INDEX(Data_metier!$G:$G,MATCH($A6,Data_metier!$B:$B,0))="Oui, en amont OU aval"),
0.5,
IF(AND(INDEX(Data_metier!$G:$G,MATCH(U$1,Data_metier!$B:$B,0))="Non",
INDEX(Data_metier!$G:$G,MATCH($A6,Data_metier!$B:$B,0))="Oui, en amont ET aval"),
1,
IF(AND(INDEX(Data_metier!$G:$G,MATCH(U$1,Data_metier!$B:$B,0))="Oui, en amont OU aval",
INDEX(Data_metier!$G:$G,MATCH($A6,Data_metier!$B:$B,0))="Oui, en amont ET aval"),
0.5,
0))))</f>
        <v>3.4999999999999996</v>
      </c>
      <c r="V6">
        <f>IF(DE_ress_transv!V6=-1,-1,
DE_ress_transv!V6+IF(AND(INDEX(Data_metier!$G:$G,MATCH(V$1,Data_metier!$B:$B,0))="Non",
INDEX(Data_metier!$G:$G,MATCH($A6,Data_metier!$B:$B,0))="Oui, en amont OU aval"),
0.5,
IF(AND(INDEX(Data_metier!$G:$G,MATCH(V$1,Data_metier!$B:$B,0))="Non",
INDEX(Data_metier!$G:$G,MATCH($A6,Data_metier!$B:$B,0))="Oui, en amont ET aval"),
1,
IF(AND(INDEX(Data_metier!$G:$G,MATCH(V$1,Data_metier!$B:$B,0))="Oui, en amont OU aval",
INDEX(Data_metier!$G:$G,MATCH($A6,Data_metier!$B:$B,0))="Oui, en amont ET aval"),
0.5,
0))))</f>
        <v>2.833333333333333</v>
      </c>
      <c r="W6">
        <f>IF(DE_ress_transv!W6=-1,-1,
DE_ress_transv!W6+IF(AND(INDEX(Data_metier!$G:$G,MATCH(W$1,Data_metier!$B:$B,0))="Non",
INDEX(Data_metier!$G:$G,MATCH($A6,Data_metier!$B:$B,0))="Oui, en amont OU aval"),
0.5,
IF(AND(INDEX(Data_metier!$G:$G,MATCH(W$1,Data_metier!$B:$B,0))="Non",
INDEX(Data_metier!$G:$G,MATCH($A6,Data_metier!$B:$B,0))="Oui, en amont ET aval"),
1,
IF(AND(INDEX(Data_metier!$G:$G,MATCH(W$1,Data_metier!$B:$B,0))="Oui, en amont OU aval",
INDEX(Data_metier!$G:$G,MATCH($A6,Data_metier!$B:$B,0))="Oui, en amont ET aval"),
0.5,
0))))</f>
        <v>2.833333333333333</v>
      </c>
      <c r="X6">
        <f>IF(DE_ress_transv!X6=-1,-1,
DE_ress_transv!X6+IF(AND(INDEX(Data_metier!$G:$G,MATCH(X$1,Data_metier!$B:$B,0))="Non",
INDEX(Data_metier!$G:$G,MATCH($A6,Data_metier!$B:$B,0))="Oui, en amont OU aval"),
0.5,
IF(AND(INDEX(Data_metier!$G:$G,MATCH(X$1,Data_metier!$B:$B,0))="Non",
INDEX(Data_metier!$G:$G,MATCH($A6,Data_metier!$B:$B,0))="Oui, en amont ET aval"),
1,
IF(AND(INDEX(Data_metier!$G:$G,MATCH(X$1,Data_metier!$B:$B,0))="Oui, en amont OU aval",
INDEX(Data_metier!$G:$G,MATCH($A6,Data_metier!$B:$B,0))="Oui, en amont ET aval"),
0.5,
0))))</f>
        <v>0</v>
      </c>
      <c r="Y6">
        <f>IF(DE_ress_transv!Y6=-1,-1,
DE_ress_transv!Y6+IF(AND(INDEX(Data_metier!$G:$G,MATCH(Y$1,Data_metier!$B:$B,0))="Non",
INDEX(Data_metier!$G:$G,MATCH($A6,Data_metier!$B:$B,0))="Oui, en amont OU aval"),
0.5,
IF(AND(INDEX(Data_metier!$G:$G,MATCH(Y$1,Data_metier!$B:$B,0))="Non",
INDEX(Data_metier!$G:$G,MATCH($A6,Data_metier!$B:$B,0))="Oui, en amont ET aval"),
1,
IF(AND(INDEX(Data_metier!$G:$G,MATCH(Y$1,Data_metier!$B:$B,0))="Oui, en amont OU aval",
INDEX(Data_metier!$G:$G,MATCH($A6,Data_metier!$B:$B,0))="Oui, en amont ET aval"),
0.5,
0))))</f>
        <v>3.4999999999999996</v>
      </c>
      <c r="Z6">
        <f>IF(DE_ress_transv!Z6=-1,-1,
DE_ress_transv!Z6+IF(AND(INDEX(Data_metier!$G:$G,MATCH(Z$1,Data_metier!$B:$B,0))="Non",
INDEX(Data_metier!$G:$G,MATCH($A6,Data_metier!$B:$B,0))="Oui, en amont OU aval"),
0.5,
IF(AND(INDEX(Data_metier!$G:$G,MATCH(Z$1,Data_metier!$B:$B,0))="Non",
INDEX(Data_metier!$G:$G,MATCH($A6,Data_metier!$B:$B,0))="Oui, en amont ET aval"),
1,
IF(AND(INDEX(Data_metier!$G:$G,MATCH(Z$1,Data_metier!$B:$B,0))="Oui, en amont OU aval",
INDEX(Data_metier!$G:$G,MATCH($A6,Data_metier!$B:$B,0))="Oui, en amont ET aval"),
0.5,
0))))</f>
        <v>3.4999999999999996</v>
      </c>
      <c r="AA6">
        <f>IF(DE_ress_transv!AA6=-1,-1,
DE_ress_transv!AA6+IF(AND(INDEX(Data_metier!$G:$G,MATCH(AA$1,Data_metier!$B:$B,0))="Non",
INDEX(Data_metier!$G:$G,MATCH($A6,Data_metier!$B:$B,0))="Oui, en amont OU aval"),
0.5,
IF(AND(INDEX(Data_metier!$G:$G,MATCH(AA$1,Data_metier!$B:$B,0))="Non",
INDEX(Data_metier!$G:$G,MATCH($A6,Data_metier!$B:$B,0))="Oui, en amont ET aval"),
1,
IF(AND(INDEX(Data_metier!$G:$G,MATCH(AA$1,Data_metier!$B:$B,0))="Oui, en amont OU aval",
INDEX(Data_metier!$G:$G,MATCH($A6,Data_metier!$B:$B,0))="Oui, en amont ET aval"),
0.5,
0))))</f>
        <v>3.4999999999999996</v>
      </c>
      <c r="AB6">
        <f>IF(DE_ress_transv!AB6=-1,-1,
DE_ress_transv!AB6+IF(AND(INDEX(Data_metier!$G:$G,MATCH(AB$1,Data_metier!$B:$B,0))="Non",
INDEX(Data_metier!$G:$G,MATCH($A6,Data_metier!$B:$B,0))="Oui, en amont OU aval"),
0.5,
IF(AND(INDEX(Data_metier!$G:$G,MATCH(AB$1,Data_metier!$B:$B,0))="Non",
INDEX(Data_metier!$G:$G,MATCH($A6,Data_metier!$B:$B,0))="Oui, en amont ET aval"),
1,
IF(AND(INDEX(Data_metier!$G:$G,MATCH(AB$1,Data_metier!$B:$B,0))="Oui, en amont OU aval",
INDEX(Data_metier!$G:$G,MATCH($A6,Data_metier!$B:$B,0))="Oui, en amont ET aval"),
0.5,
0))))</f>
        <v>2.833333333333333</v>
      </c>
      <c r="AC6">
        <f>IF(DE_ress_transv!AC6=-1,-1,
DE_ress_transv!AC6+IF(AND(INDEX(Data_metier!$G:$G,MATCH(AC$1,Data_metier!$B:$B,0))="Non",
INDEX(Data_metier!$G:$G,MATCH($A6,Data_metier!$B:$B,0))="Oui, en amont OU aval"),
0.5,
IF(AND(INDEX(Data_metier!$G:$G,MATCH(AC$1,Data_metier!$B:$B,0))="Non",
INDEX(Data_metier!$G:$G,MATCH($A6,Data_metier!$B:$B,0))="Oui, en amont ET aval"),
1,
IF(AND(INDEX(Data_metier!$G:$G,MATCH(AC$1,Data_metier!$B:$B,0))="Oui, en amont OU aval",
INDEX(Data_metier!$G:$G,MATCH($A6,Data_metier!$B:$B,0))="Oui, en amont ET aval"),
0.5,
0))))</f>
        <v>2.833333333333333</v>
      </c>
      <c r="AD6">
        <f>IF(DE_ress_transv!AD6=-1,-1,
DE_ress_transv!AD6+IF(AND(INDEX(Data_metier!$G:$G,MATCH(AD$1,Data_metier!$B:$B,0))="Non",
INDEX(Data_metier!$G:$G,MATCH($A6,Data_metier!$B:$B,0))="Oui, en amont OU aval"),
0.5,
IF(AND(INDEX(Data_metier!$G:$G,MATCH(AD$1,Data_metier!$B:$B,0))="Non",
INDEX(Data_metier!$G:$G,MATCH($A6,Data_metier!$B:$B,0))="Oui, en amont ET aval"),
1,
IF(AND(INDEX(Data_metier!$G:$G,MATCH(AD$1,Data_metier!$B:$B,0))="Oui, en amont OU aval",
INDEX(Data_metier!$G:$G,MATCH($A6,Data_metier!$B:$B,0))="Oui, en amont ET aval"),
0.5,
0))))</f>
        <v>2.833333333333333</v>
      </c>
    </row>
    <row r="7" spans="1:30">
      <c r="A7" s="55" t="str">
        <v>Superviseur(se) de production (fabrication / conditionnement)</v>
      </c>
      <c r="B7">
        <f>IF(DE_ress_transv!B7=-1,-1,
DE_ress_transv!B7+IF(AND(INDEX(Data_metier!$G:$G,MATCH(B$1,Data_metier!$B:$B,0))="Non",
INDEX(Data_metier!$G:$G,MATCH($A7,Data_metier!$B:$B,0))="Oui, en amont OU aval"),
0.5,
IF(AND(INDEX(Data_metier!$G:$G,MATCH(B$1,Data_metier!$B:$B,0))="Non",
INDEX(Data_metier!$G:$G,MATCH($A7,Data_metier!$B:$B,0))="Oui, en amont ET aval"),
1,
IF(AND(INDEX(Data_metier!$G:$G,MATCH(B$1,Data_metier!$B:$B,0))="Oui, en amont OU aval",
INDEX(Data_metier!$G:$G,MATCH($A7,Data_metier!$B:$B,0))="Oui, en amont ET aval"),
0.5,
0))))</f>
        <v>2.9999999999999996</v>
      </c>
      <c r="C7">
        <f>IF(DE_ress_transv!C7=-1,-1,
DE_ress_transv!C7+IF(AND(INDEX(Data_metier!$G:$G,MATCH(C$1,Data_metier!$B:$B,0))="Non",
INDEX(Data_metier!$G:$G,MATCH($A7,Data_metier!$B:$B,0))="Oui, en amont OU aval"),
0.5,
IF(AND(INDEX(Data_metier!$G:$G,MATCH(C$1,Data_metier!$B:$B,0))="Non",
INDEX(Data_metier!$G:$G,MATCH($A7,Data_metier!$B:$B,0))="Oui, en amont ET aval"),
1,
IF(AND(INDEX(Data_metier!$G:$G,MATCH(C$1,Data_metier!$B:$B,0))="Oui, en amont OU aval",
INDEX(Data_metier!$G:$G,MATCH($A7,Data_metier!$B:$B,0))="Oui, en amont ET aval"),
0.5,
0))))</f>
        <v>3.4999999999999996</v>
      </c>
      <c r="D7">
        <f>IF(DE_ress_transv!D7=-1,-1,
DE_ress_transv!D7+IF(AND(INDEX(Data_metier!$G:$G,MATCH(D$1,Data_metier!$B:$B,0))="Non",
INDEX(Data_metier!$G:$G,MATCH($A7,Data_metier!$B:$B,0))="Oui, en amont OU aval"),
0.5,
IF(AND(INDEX(Data_metier!$G:$G,MATCH(D$1,Data_metier!$B:$B,0))="Non",
INDEX(Data_metier!$G:$G,MATCH($A7,Data_metier!$B:$B,0))="Oui, en amont ET aval"),
1,
IF(AND(INDEX(Data_metier!$G:$G,MATCH(D$1,Data_metier!$B:$B,0))="Oui, en amont OU aval",
INDEX(Data_metier!$G:$G,MATCH($A7,Data_metier!$B:$B,0))="Oui, en amont ET aval"),
0.5,
0))))</f>
        <v>3.4999999999999996</v>
      </c>
      <c r="E7">
        <f>IF(DE_ress_transv!E7=-1,-1,
DE_ress_transv!E7+IF(AND(INDEX(Data_metier!$G:$G,MATCH(E$1,Data_metier!$B:$B,0))="Non",
INDEX(Data_metier!$G:$G,MATCH($A7,Data_metier!$B:$B,0))="Oui, en amont OU aval"),
0.5,
IF(AND(INDEX(Data_metier!$G:$G,MATCH(E$1,Data_metier!$B:$B,0))="Non",
INDEX(Data_metier!$G:$G,MATCH($A7,Data_metier!$B:$B,0))="Oui, en amont ET aval"),
1,
IF(AND(INDEX(Data_metier!$G:$G,MATCH(E$1,Data_metier!$B:$B,0))="Oui, en amont OU aval",
INDEX(Data_metier!$G:$G,MATCH($A7,Data_metier!$B:$B,0))="Oui, en amont ET aval"),
0.5,
0))))</f>
        <v>1</v>
      </c>
      <c r="F7">
        <f>IF(DE_ress_transv!F7=-1,-1,
DE_ress_transv!F7+IF(AND(INDEX(Data_metier!$G:$G,MATCH(F$1,Data_metier!$B:$B,0))="Non",
INDEX(Data_metier!$G:$G,MATCH($A7,Data_metier!$B:$B,0))="Oui, en amont OU aval"),
0.5,
IF(AND(INDEX(Data_metier!$G:$G,MATCH(F$1,Data_metier!$B:$B,0))="Non",
INDEX(Data_metier!$G:$G,MATCH($A7,Data_metier!$B:$B,0))="Oui, en amont ET aval"),
1,
IF(AND(INDEX(Data_metier!$G:$G,MATCH(F$1,Data_metier!$B:$B,0))="Oui, en amont OU aval",
INDEX(Data_metier!$G:$G,MATCH($A7,Data_metier!$B:$B,0))="Oui, en amont ET aval"),
0.5,
0))))</f>
        <v>0.66666666666666663</v>
      </c>
      <c r="G7">
        <f>IF(DE_ress_transv!G7=-1,-1,
DE_ress_transv!G7+IF(AND(INDEX(Data_metier!$G:$G,MATCH(G$1,Data_metier!$B:$B,0))="Non",
INDEX(Data_metier!$G:$G,MATCH($A7,Data_metier!$B:$B,0))="Oui, en amont OU aval"),
0.5,
IF(AND(INDEX(Data_metier!$G:$G,MATCH(G$1,Data_metier!$B:$B,0))="Non",
INDEX(Data_metier!$G:$G,MATCH($A7,Data_metier!$B:$B,0))="Oui, en amont ET aval"),
1,
IF(AND(INDEX(Data_metier!$G:$G,MATCH(G$1,Data_metier!$B:$B,0))="Oui, en amont OU aval",
INDEX(Data_metier!$G:$G,MATCH($A7,Data_metier!$B:$B,0))="Oui, en amont ET aval"),
0.5,
0))))</f>
        <v>0</v>
      </c>
      <c r="H7">
        <f>IF(DE_ress_transv!H7=-1,-1,
DE_ress_transv!H7+IF(AND(INDEX(Data_metier!$G:$G,MATCH(H$1,Data_metier!$B:$B,0))="Non",
INDEX(Data_metier!$G:$G,MATCH($A7,Data_metier!$B:$B,0))="Oui, en amont OU aval"),
0.5,
IF(AND(INDEX(Data_metier!$G:$G,MATCH(H$1,Data_metier!$B:$B,0))="Non",
INDEX(Data_metier!$G:$G,MATCH($A7,Data_metier!$B:$B,0))="Oui, en amont ET aval"),
1,
IF(AND(INDEX(Data_metier!$G:$G,MATCH(H$1,Data_metier!$B:$B,0))="Oui, en amont OU aval",
INDEX(Data_metier!$G:$G,MATCH($A7,Data_metier!$B:$B,0))="Oui, en amont ET aval"),
0.5,
0))))</f>
        <v>0</v>
      </c>
      <c r="I7">
        <f>IF(DE_ress_transv!I7=-1,-1,
DE_ress_transv!I7+IF(AND(INDEX(Data_metier!$G:$G,MATCH(I$1,Data_metier!$B:$B,0))="Non",
INDEX(Data_metier!$G:$G,MATCH($A7,Data_metier!$B:$B,0))="Oui, en amont OU aval"),
0.5,
IF(AND(INDEX(Data_metier!$G:$G,MATCH(I$1,Data_metier!$B:$B,0))="Non",
INDEX(Data_metier!$G:$G,MATCH($A7,Data_metier!$B:$B,0))="Oui, en amont ET aval"),
1,
IF(AND(INDEX(Data_metier!$G:$G,MATCH(I$1,Data_metier!$B:$B,0))="Oui, en amont OU aval",
INDEX(Data_metier!$G:$G,MATCH($A7,Data_metier!$B:$B,0))="Oui, en amont ET aval"),
0.5,
0))))</f>
        <v>3.4999999999999996</v>
      </c>
      <c r="J7">
        <f>IF(DE_ress_transv!J7=-1,-1,
DE_ress_transv!J7+IF(AND(INDEX(Data_metier!$G:$G,MATCH(J$1,Data_metier!$B:$B,0))="Non",
INDEX(Data_metier!$G:$G,MATCH($A7,Data_metier!$B:$B,0))="Oui, en amont OU aval"),
0.5,
IF(AND(INDEX(Data_metier!$G:$G,MATCH(J$1,Data_metier!$B:$B,0))="Non",
INDEX(Data_metier!$G:$G,MATCH($A7,Data_metier!$B:$B,0))="Oui, en amont ET aval"),
1,
IF(AND(INDEX(Data_metier!$G:$G,MATCH(J$1,Data_metier!$B:$B,0))="Oui, en amont OU aval",
INDEX(Data_metier!$G:$G,MATCH($A7,Data_metier!$B:$B,0))="Oui, en amont ET aval"),
0.5,
0))))</f>
        <v>1.8333333333333335</v>
      </c>
      <c r="K7">
        <f>IF(DE_ress_transv!K7=-1,-1,
DE_ress_transv!K7+IF(AND(INDEX(Data_metier!$G:$G,MATCH(K$1,Data_metier!$B:$B,0))="Non",
INDEX(Data_metier!$G:$G,MATCH($A7,Data_metier!$B:$B,0))="Oui, en amont OU aval"),
0.5,
IF(AND(INDEX(Data_metier!$G:$G,MATCH(K$1,Data_metier!$B:$B,0))="Non",
INDEX(Data_metier!$G:$G,MATCH($A7,Data_metier!$B:$B,0))="Oui, en amont ET aval"),
1,
IF(AND(INDEX(Data_metier!$G:$G,MATCH(K$1,Data_metier!$B:$B,0))="Oui, en amont OU aval",
INDEX(Data_metier!$G:$G,MATCH($A7,Data_metier!$B:$B,0))="Oui, en amont ET aval"),
0.5,
0))))</f>
        <v>-1</v>
      </c>
      <c r="L7">
        <f>IF(DE_ress_transv!L7=-1,-1,
DE_ress_transv!L7+IF(AND(INDEX(Data_metier!$G:$G,MATCH(L$1,Data_metier!$B:$B,0))="Non",
INDEX(Data_metier!$G:$G,MATCH($A7,Data_metier!$B:$B,0))="Oui, en amont OU aval"),
0.5,
IF(AND(INDEX(Data_metier!$G:$G,MATCH(L$1,Data_metier!$B:$B,0))="Non",
INDEX(Data_metier!$G:$G,MATCH($A7,Data_metier!$B:$B,0))="Oui, en amont ET aval"),
1,
IF(AND(INDEX(Data_metier!$G:$G,MATCH(L$1,Data_metier!$B:$B,0))="Oui, en amont OU aval",
INDEX(Data_metier!$G:$G,MATCH($A7,Data_metier!$B:$B,0))="Oui, en amont ET aval"),
0.5,
0))))</f>
        <v>3.4999999999999996</v>
      </c>
      <c r="M7">
        <f>IF(DE_ress_transv!M7=-1,-1,
DE_ress_transv!M7+IF(AND(INDEX(Data_metier!$G:$G,MATCH(M$1,Data_metier!$B:$B,0))="Non",
INDEX(Data_metier!$G:$G,MATCH($A7,Data_metier!$B:$B,0))="Oui, en amont OU aval"),
0.5,
IF(AND(INDEX(Data_metier!$G:$G,MATCH(M$1,Data_metier!$B:$B,0))="Non",
INDEX(Data_metier!$G:$G,MATCH($A7,Data_metier!$B:$B,0))="Oui, en amont ET aval"),
1,
IF(AND(INDEX(Data_metier!$G:$G,MATCH(M$1,Data_metier!$B:$B,0))="Oui, en amont OU aval",
INDEX(Data_metier!$G:$G,MATCH($A7,Data_metier!$B:$B,0))="Oui, en amont ET aval"),
0.5,
0))))</f>
        <v>3.4999999999999996</v>
      </c>
      <c r="N7">
        <f>IF(DE_ress_transv!N7=-1,-1,
DE_ress_transv!N7+IF(AND(INDEX(Data_metier!$G:$G,MATCH(N$1,Data_metier!$B:$B,0))="Non",
INDEX(Data_metier!$G:$G,MATCH($A7,Data_metier!$B:$B,0))="Oui, en amont OU aval"),
0.5,
IF(AND(INDEX(Data_metier!$G:$G,MATCH(N$1,Data_metier!$B:$B,0))="Non",
INDEX(Data_metier!$G:$G,MATCH($A7,Data_metier!$B:$B,0))="Oui, en amont ET aval"),
1,
IF(AND(INDEX(Data_metier!$G:$G,MATCH(N$1,Data_metier!$B:$B,0))="Oui, en amont OU aval",
INDEX(Data_metier!$G:$G,MATCH($A7,Data_metier!$B:$B,0))="Oui, en amont ET aval"),
0.5,
0))))</f>
        <v>1.1666666666666667</v>
      </c>
      <c r="O7">
        <f>IF(DE_ress_transv!O7=-1,-1,
DE_ress_transv!O7+IF(AND(INDEX(Data_metier!$G:$G,MATCH(O$1,Data_metier!$B:$B,0))="Non",
INDEX(Data_metier!$G:$G,MATCH($A7,Data_metier!$B:$B,0))="Oui, en amont OU aval"),
0.5,
IF(AND(INDEX(Data_metier!$G:$G,MATCH(O$1,Data_metier!$B:$B,0))="Non",
INDEX(Data_metier!$G:$G,MATCH($A7,Data_metier!$B:$B,0))="Oui, en amont ET aval"),
1,
IF(AND(INDEX(Data_metier!$G:$G,MATCH(O$1,Data_metier!$B:$B,0))="Oui, en amont OU aval",
INDEX(Data_metier!$G:$G,MATCH($A7,Data_metier!$B:$B,0))="Oui, en amont ET aval"),
0.5,
0))))</f>
        <v>3.4999999999999996</v>
      </c>
      <c r="P7">
        <f>IF(DE_ress_transv!P7=-1,-1,
DE_ress_transv!P7+IF(AND(INDEX(Data_metier!$G:$G,MATCH(P$1,Data_metier!$B:$B,0))="Non",
INDEX(Data_metier!$G:$G,MATCH($A7,Data_metier!$B:$B,0))="Oui, en amont OU aval"),
0.5,
IF(AND(INDEX(Data_metier!$G:$G,MATCH(P$1,Data_metier!$B:$B,0))="Non",
INDEX(Data_metier!$G:$G,MATCH($A7,Data_metier!$B:$B,0))="Oui, en amont ET aval"),
1,
IF(AND(INDEX(Data_metier!$G:$G,MATCH(P$1,Data_metier!$B:$B,0))="Oui, en amont OU aval",
INDEX(Data_metier!$G:$G,MATCH($A7,Data_metier!$B:$B,0))="Oui, en amont ET aval"),
0.5,
0))))</f>
        <v>3.4999999999999996</v>
      </c>
      <c r="Q7">
        <f>IF(DE_ress_transv!Q7=-1,-1,
DE_ress_transv!Q7+IF(AND(INDEX(Data_metier!$G:$G,MATCH(Q$1,Data_metier!$B:$B,0))="Non",
INDEX(Data_metier!$G:$G,MATCH($A7,Data_metier!$B:$B,0))="Oui, en amont OU aval"),
0.5,
IF(AND(INDEX(Data_metier!$G:$G,MATCH(Q$1,Data_metier!$B:$B,0))="Non",
INDEX(Data_metier!$G:$G,MATCH($A7,Data_metier!$B:$B,0))="Oui, en amont ET aval"),
1,
IF(AND(INDEX(Data_metier!$G:$G,MATCH(Q$1,Data_metier!$B:$B,0))="Oui, en amont OU aval",
INDEX(Data_metier!$G:$G,MATCH($A7,Data_metier!$B:$B,0))="Oui, en amont ET aval"),
0.5,
0))))</f>
        <v>1</v>
      </c>
      <c r="R7">
        <f>IF(DE_ress_transv!R7=-1,-1,
DE_ress_transv!R7+IF(AND(INDEX(Data_metier!$G:$G,MATCH(R$1,Data_metier!$B:$B,0))="Non",
INDEX(Data_metier!$G:$G,MATCH($A7,Data_metier!$B:$B,0))="Oui, en amont OU aval"),
0.5,
IF(AND(INDEX(Data_metier!$G:$G,MATCH(R$1,Data_metier!$B:$B,0))="Non",
INDEX(Data_metier!$G:$G,MATCH($A7,Data_metier!$B:$B,0))="Oui, en amont ET aval"),
1,
IF(AND(INDEX(Data_metier!$G:$G,MATCH(R$1,Data_metier!$B:$B,0))="Oui, en amont OU aval",
INDEX(Data_metier!$G:$G,MATCH($A7,Data_metier!$B:$B,0))="Oui, en amont ET aval"),
0.5,
0))))</f>
        <v>-1</v>
      </c>
      <c r="S7">
        <f>IF(DE_ress_transv!S7=-1,-1,
DE_ress_transv!S7+IF(AND(INDEX(Data_metier!$G:$G,MATCH(S$1,Data_metier!$B:$B,0))="Non",
INDEX(Data_metier!$G:$G,MATCH($A7,Data_metier!$B:$B,0))="Oui, en amont OU aval"),
0.5,
IF(AND(INDEX(Data_metier!$G:$G,MATCH(S$1,Data_metier!$B:$B,0))="Non",
INDEX(Data_metier!$G:$G,MATCH($A7,Data_metier!$B:$B,0))="Oui, en amont ET aval"),
1,
IF(AND(INDEX(Data_metier!$G:$G,MATCH(S$1,Data_metier!$B:$B,0))="Oui, en amont OU aval",
INDEX(Data_metier!$G:$G,MATCH($A7,Data_metier!$B:$B,0))="Oui, en amont ET aval"),
0.5,
0))))</f>
        <v>3.4999999999999996</v>
      </c>
      <c r="T7">
        <f>IF(DE_ress_transv!T7=-1,-1,
DE_ress_transv!T7+IF(AND(INDEX(Data_metier!$G:$G,MATCH(T$1,Data_metier!$B:$B,0))="Non",
INDEX(Data_metier!$G:$G,MATCH($A7,Data_metier!$B:$B,0))="Oui, en amont OU aval"),
0.5,
IF(AND(INDEX(Data_metier!$G:$G,MATCH(T$1,Data_metier!$B:$B,0))="Non",
INDEX(Data_metier!$G:$G,MATCH($A7,Data_metier!$B:$B,0))="Oui, en amont ET aval"),
1,
IF(AND(INDEX(Data_metier!$G:$G,MATCH(T$1,Data_metier!$B:$B,0))="Oui, en amont OU aval",
INDEX(Data_metier!$G:$G,MATCH($A7,Data_metier!$B:$B,0))="Oui, en amont ET aval"),
0.5,
0))))</f>
        <v>3.4999999999999996</v>
      </c>
      <c r="U7">
        <f>IF(DE_ress_transv!U7=-1,-1,
DE_ress_transv!U7+IF(AND(INDEX(Data_metier!$G:$G,MATCH(U$1,Data_metier!$B:$B,0))="Non",
INDEX(Data_metier!$G:$G,MATCH($A7,Data_metier!$B:$B,0))="Oui, en amont OU aval"),
0.5,
IF(AND(INDEX(Data_metier!$G:$G,MATCH(U$1,Data_metier!$B:$B,0))="Non",
INDEX(Data_metier!$G:$G,MATCH($A7,Data_metier!$B:$B,0))="Oui, en amont ET aval"),
1,
IF(AND(INDEX(Data_metier!$G:$G,MATCH(U$1,Data_metier!$B:$B,0))="Oui, en amont OU aval",
INDEX(Data_metier!$G:$G,MATCH($A7,Data_metier!$B:$B,0))="Oui, en amont ET aval"),
0.5,
0))))</f>
        <v>3.4999999999999996</v>
      </c>
      <c r="V7">
        <f>IF(DE_ress_transv!V7=-1,-1,
DE_ress_transv!V7+IF(AND(INDEX(Data_metier!$G:$G,MATCH(V$1,Data_metier!$B:$B,0))="Non",
INDEX(Data_metier!$G:$G,MATCH($A7,Data_metier!$B:$B,0))="Oui, en amont OU aval"),
0.5,
IF(AND(INDEX(Data_metier!$G:$G,MATCH(V$1,Data_metier!$B:$B,0))="Non",
INDEX(Data_metier!$G:$G,MATCH($A7,Data_metier!$B:$B,0))="Oui, en amont ET aval"),
1,
IF(AND(INDEX(Data_metier!$G:$G,MATCH(V$1,Data_metier!$B:$B,0))="Oui, en amont OU aval",
INDEX(Data_metier!$G:$G,MATCH($A7,Data_metier!$B:$B,0))="Oui, en amont ET aval"),
0.5,
0))))</f>
        <v>2.9999999999999996</v>
      </c>
      <c r="W7">
        <f>IF(DE_ress_transv!W7=-1,-1,
DE_ress_transv!W7+IF(AND(INDEX(Data_metier!$G:$G,MATCH(W$1,Data_metier!$B:$B,0))="Non",
INDEX(Data_metier!$G:$G,MATCH($A7,Data_metier!$B:$B,0))="Oui, en amont OU aval"),
0.5,
IF(AND(INDEX(Data_metier!$G:$G,MATCH(W$1,Data_metier!$B:$B,0))="Non",
INDEX(Data_metier!$G:$G,MATCH($A7,Data_metier!$B:$B,0))="Oui, en amont ET aval"),
1,
IF(AND(INDEX(Data_metier!$G:$G,MATCH(W$1,Data_metier!$B:$B,0))="Oui, en amont OU aval",
INDEX(Data_metier!$G:$G,MATCH($A7,Data_metier!$B:$B,0))="Oui, en amont ET aval"),
0.5,
0))))</f>
        <v>2.4999999999999996</v>
      </c>
      <c r="X7">
        <f>IF(DE_ress_transv!X7=-1,-1,
DE_ress_transv!X7+IF(AND(INDEX(Data_metier!$G:$G,MATCH(X$1,Data_metier!$B:$B,0))="Non",
INDEX(Data_metier!$G:$G,MATCH($A7,Data_metier!$B:$B,0))="Oui, en amont OU aval"),
0.5,
IF(AND(INDEX(Data_metier!$G:$G,MATCH(X$1,Data_metier!$B:$B,0))="Non",
INDEX(Data_metier!$G:$G,MATCH($A7,Data_metier!$B:$B,0))="Oui, en amont ET aval"),
1,
IF(AND(INDEX(Data_metier!$G:$G,MATCH(X$1,Data_metier!$B:$B,0))="Oui, en amont OU aval",
INDEX(Data_metier!$G:$G,MATCH($A7,Data_metier!$B:$B,0))="Oui, en amont ET aval"),
0.5,
0))))</f>
        <v>0</v>
      </c>
      <c r="Y7">
        <f>IF(DE_ress_transv!Y7=-1,-1,
DE_ress_transv!Y7+IF(AND(INDEX(Data_metier!$G:$G,MATCH(Y$1,Data_metier!$B:$B,0))="Non",
INDEX(Data_metier!$G:$G,MATCH($A7,Data_metier!$B:$B,0))="Oui, en amont OU aval"),
0.5,
IF(AND(INDEX(Data_metier!$G:$G,MATCH(Y$1,Data_metier!$B:$B,0))="Non",
INDEX(Data_metier!$G:$G,MATCH($A7,Data_metier!$B:$B,0))="Oui, en amont ET aval"),
1,
IF(AND(INDEX(Data_metier!$G:$G,MATCH(Y$1,Data_metier!$B:$B,0))="Oui, en amont OU aval",
INDEX(Data_metier!$G:$G,MATCH($A7,Data_metier!$B:$B,0))="Oui, en amont ET aval"),
0.5,
0))))</f>
        <v>3.4999999999999996</v>
      </c>
      <c r="Z7">
        <f>IF(DE_ress_transv!Z7=-1,-1,
DE_ress_transv!Z7+IF(AND(INDEX(Data_metier!$G:$G,MATCH(Z$1,Data_metier!$B:$B,0))="Non",
INDEX(Data_metier!$G:$G,MATCH($A7,Data_metier!$B:$B,0))="Oui, en amont OU aval"),
0.5,
IF(AND(INDEX(Data_metier!$G:$G,MATCH(Z$1,Data_metier!$B:$B,0))="Non",
INDEX(Data_metier!$G:$G,MATCH($A7,Data_metier!$B:$B,0))="Oui, en amont ET aval"),
1,
IF(AND(INDEX(Data_metier!$G:$G,MATCH(Z$1,Data_metier!$B:$B,0))="Oui, en amont OU aval",
INDEX(Data_metier!$G:$G,MATCH($A7,Data_metier!$B:$B,0))="Oui, en amont ET aval"),
0.5,
0))))</f>
        <v>3.4999999999999996</v>
      </c>
      <c r="AA7">
        <f>IF(DE_ress_transv!AA7=-1,-1,
DE_ress_transv!AA7+IF(AND(INDEX(Data_metier!$G:$G,MATCH(AA$1,Data_metier!$B:$B,0))="Non",
INDEX(Data_metier!$G:$G,MATCH($A7,Data_metier!$B:$B,0))="Oui, en amont OU aval"),
0.5,
IF(AND(INDEX(Data_metier!$G:$G,MATCH(AA$1,Data_metier!$B:$B,0))="Non",
INDEX(Data_metier!$G:$G,MATCH($A7,Data_metier!$B:$B,0))="Oui, en amont ET aval"),
1,
IF(AND(INDEX(Data_metier!$G:$G,MATCH(AA$1,Data_metier!$B:$B,0))="Oui, en amont OU aval",
INDEX(Data_metier!$G:$G,MATCH($A7,Data_metier!$B:$B,0))="Oui, en amont ET aval"),
0.5,
0))))</f>
        <v>3.4999999999999996</v>
      </c>
      <c r="AB7">
        <f>IF(DE_ress_transv!AB7=-1,-1,
DE_ress_transv!AB7+IF(AND(INDEX(Data_metier!$G:$G,MATCH(AB$1,Data_metier!$B:$B,0))="Non",
INDEX(Data_metier!$G:$G,MATCH($A7,Data_metier!$B:$B,0))="Oui, en amont OU aval"),
0.5,
IF(AND(INDEX(Data_metier!$G:$G,MATCH(AB$1,Data_metier!$B:$B,0))="Non",
INDEX(Data_metier!$G:$G,MATCH($A7,Data_metier!$B:$B,0))="Oui, en amont ET aval"),
1,
IF(AND(INDEX(Data_metier!$G:$G,MATCH(AB$1,Data_metier!$B:$B,0))="Oui, en amont OU aval",
INDEX(Data_metier!$G:$G,MATCH($A7,Data_metier!$B:$B,0))="Oui, en amont ET aval"),
0.5,
0))))</f>
        <v>2.9999999999999996</v>
      </c>
      <c r="AC7">
        <f>IF(DE_ress_transv!AC7=-1,-1,
DE_ress_transv!AC7+IF(AND(INDEX(Data_metier!$G:$G,MATCH(AC$1,Data_metier!$B:$B,0))="Non",
INDEX(Data_metier!$G:$G,MATCH($A7,Data_metier!$B:$B,0))="Oui, en amont OU aval"),
0.5,
IF(AND(INDEX(Data_metier!$G:$G,MATCH(AC$1,Data_metier!$B:$B,0))="Non",
INDEX(Data_metier!$G:$G,MATCH($A7,Data_metier!$B:$B,0))="Oui, en amont ET aval"),
1,
IF(AND(INDEX(Data_metier!$G:$G,MATCH(AC$1,Data_metier!$B:$B,0))="Oui, en amont OU aval",
INDEX(Data_metier!$G:$G,MATCH($A7,Data_metier!$B:$B,0))="Oui, en amont ET aval"),
0.5,
0))))</f>
        <v>2.9999999999999996</v>
      </c>
      <c r="AD7">
        <f>IF(DE_ress_transv!AD7=-1,-1,
DE_ress_transv!AD7+IF(AND(INDEX(Data_metier!$G:$G,MATCH(AD$1,Data_metier!$B:$B,0))="Non",
INDEX(Data_metier!$G:$G,MATCH($A7,Data_metier!$B:$B,0))="Oui, en amont OU aval"),
0.5,
IF(AND(INDEX(Data_metier!$G:$G,MATCH(AD$1,Data_metier!$B:$B,0))="Non",
INDEX(Data_metier!$G:$G,MATCH($A7,Data_metier!$B:$B,0))="Oui, en amont ET aval"),
1,
IF(AND(INDEX(Data_metier!$G:$G,MATCH(AD$1,Data_metier!$B:$B,0))="Oui, en amont OU aval",
INDEX(Data_metier!$G:$G,MATCH($A7,Data_metier!$B:$B,0))="Oui, en amont ET aval"),
0.5,
0))))</f>
        <v>2.9999999999999996</v>
      </c>
    </row>
    <row r="8" spans="1:30">
      <c r="A8" s="55" t="str">
        <v>Spécialiste planning / ordonnancement</v>
      </c>
      <c r="B8">
        <f>IF(DE_ress_transv!B8=-1,-1,
DE_ress_transv!B8+IF(AND(INDEX(Data_metier!$G:$G,MATCH(B$1,Data_metier!$B:$B,0))="Non",
INDEX(Data_metier!$G:$G,MATCH($A8,Data_metier!$B:$B,0))="Oui, en amont OU aval"),
0.5,
IF(AND(INDEX(Data_metier!$G:$G,MATCH(B$1,Data_metier!$B:$B,0))="Non",
INDEX(Data_metier!$G:$G,MATCH($A8,Data_metier!$B:$B,0))="Oui, en amont ET aval"),
1,
IF(AND(INDEX(Data_metier!$G:$G,MATCH(B$1,Data_metier!$B:$B,0))="Oui, en amont OU aval",
INDEX(Data_metier!$G:$G,MATCH($A8,Data_metier!$B:$B,0))="Oui, en amont ET aval"),
0.5,
0))))</f>
        <v>3.4999999999999996</v>
      </c>
      <c r="C8">
        <f>IF(DE_ress_transv!C8=-1,-1,
DE_ress_transv!C8+IF(AND(INDEX(Data_metier!$G:$G,MATCH(C$1,Data_metier!$B:$B,0))="Non",
INDEX(Data_metier!$G:$G,MATCH($A8,Data_metier!$B:$B,0))="Oui, en amont OU aval"),
0.5,
IF(AND(INDEX(Data_metier!$G:$G,MATCH(C$1,Data_metier!$B:$B,0))="Non",
INDEX(Data_metier!$G:$G,MATCH($A8,Data_metier!$B:$B,0))="Oui, en amont ET aval"),
1,
IF(AND(INDEX(Data_metier!$G:$G,MATCH(C$1,Data_metier!$B:$B,0))="Oui, en amont OU aval",
INDEX(Data_metier!$G:$G,MATCH($A8,Data_metier!$B:$B,0))="Oui, en amont ET aval"),
0.5,
0))))</f>
        <v>3.9999999999999996</v>
      </c>
      <c r="D8">
        <f>IF(DE_ress_transv!D8=-1,-1,
DE_ress_transv!D8+IF(AND(INDEX(Data_metier!$G:$G,MATCH(D$1,Data_metier!$B:$B,0))="Non",
INDEX(Data_metier!$G:$G,MATCH($A8,Data_metier!$B:$B,0))="Oui, en amont OU aval"),
0.5,
IF(AND(INDEX(Data_metier!$G:$G,MATCH(D$1,Data_metier!$B:$B,0))="Non",
INDEX(Data_metier!$G:$G,MATCH($A8,Data_metier!$B:$B,0))="Oui, en amont ET aval"),
1,
IF(AND(INDEX(Data_metier!$G:$G,MATCH(D$1,Data_metier!$B:$B,0))="Oui, en amont OU aval",
INDEX(Data_metier!$G:$G,MATCH($A8,Data_metier!$B:$B,0))="Oui, en amont ET aval"),
0.5,
0))))</f>
        <v>3.9999999999999996</v>
      </c>
      <c r="E8">
        <f>IF(DE_ress_transv!E8=-1,-1,
DE_ress_transv!E8+IF(AND(INDEX(Data_metier!$G:$G,MATCH(E$1,Data_metier!$B:$B,0))="Non",
INDEX(Data_metier!$G:$G,MATCH($A8,Data_metier!$B:$B,0))="Oui, en amont OU aval"),
0.5,
IF(AND(INDEX(Data_metier!$G:$G,MATCH(E$1,Data_metier!$B:$B,0))="Non",
INDEX(Data_metier!$G:$G,MATCH($A8,Data_metier!$B:$B,0))="Oui, en amont ET aval"),
1,
IF(AND(INDEX(Data_metier!$G:$G,MATCH(E$1,Data_metier!$B:$B,0))="Oui, en amont OU aval",
INDEX(Data_metier!$G:$G,MATCH($A8,Data_metier!$B:$B,0))="Oui, en amont ET aval"),
0.5,
0))))</f>
        <v>1</v>
      </c>
      <c r="F8">
        <f>IF(DE_ress_transv!F8=-1,-1,
DE_ress_transv!F8+IF(AND(INDEX(Data_metier!$G:$G,MATCH(F$1,Data_metier!$B:$B,0))="Non",
INDEX(Data_metier!$G:$G,MATCH($A8,Data_metier!$B:$B,0))="Oui, en amont OU aval"),
0.5,
IF(AND(INDEX(Data_metier!$G:$G,MATCH(F$1,Data_metier!$B:$B,0))="Non",
INDEX(Data_metier!$G:$G,MATCH($A8,Data_metier!$B:$B,0))="Oui, en amont ET aval"),
1,
IF(AND(INDEX(Data_metier!$G:$G,MATCH(F$1,Data_metier!$B:$B,0))="Oui, en amont OU aval",
INDEX(Data_metier!$G:$G,MATCH($A8,Data_metier!$B:$B,0))="Oui, en amont ET aval"),
0.5,
0))))</f>
        <v>0.66666666666666663</v>
      </c>
      <c r="G8">
        <f>IF(DE_ress_transv!G8=-1,-1,
DE_ress_transv!G8+IF(AND(INDEX(Data_metier!$G:$G,MATCH(G$1,Data_metier!$B:$B,0))="Non",
INDEX(Data_metier!$G:$G,MATCH($A8,Data_metier!$B:$B,0))="Oui, en amont OU aval"),
0.5,
IF(AND(INDEX(Data_metier!$G:$G,MATCH(G$1,Data_metier!$B:$B,0))="Non",
INDEX(Data_metier!$G:$G,MATCH($A8,Data_metier!$B:$B,0))="Oui, en amont ET aval"),
1,
IF(AND(INDEX(Data_metier!$G:$G,MATCH(G$1,Data_metier!$B:$B,0))="Oui, en amont OU aval",
INDEX(Data_metier!$G:$G,MATCH($A8,Data_metier!$B:$B,0))="Oui, en amont ET aval"),
0.5,
0))))</f>
        <v>0.5</v>
      </c>
      <c r="H8">
        <f>IF(DE_ress_transv!H8=-1,-1,
DE_ress_transv!H8+IF(AND(INDEX(Data_metier!$G:$G,MATCH(H$1,Data_metier!$B:$B,0))="Non",
INDEX(Data_metier!$G:$G,MATCH($A8,Data_metier!$B:$B,0))="Oui, en amont OU aval"),
0.5,
IF(AND(INDEX(Data_metier!$G:$G,MATCH(H$1,Data_metier!$B:$B,0))="Non",
INDEX(Data_metier!$G:$G,MATCH($A8,Data_metier!$B:$B,0))="Oui, en amont ET aval"),
1,
IF(AND(INDEX(Data_metier!$G:$G,MATCH(H$1,Data_metier!$B:$B,0))="Oui, en amont OU aval",
INDEX(Data_metier!$G:$G,MATCH($A8,Data_metier!$B:$B,0))="Oui, en amont ET aval"),
0.5,
0))))</f>
        <v>0</v>
      </c>
      <c r="I8">
        <f>IF(DE_ress_transv!I8=-1,-1,
DE_ress_transv!I8+IF(AND(INDEX(Data_metier!$G:$G,MATCH(I$1,Data_metier!$B:$B,0))="Non",
INDEX(Data_metier!$G:$G,MATCH($A8,Data_metier!$B:$B,0))="Oui, en amont OU aval"),
0.5,
IF(AND(INDEX(Data_metier!$G:$G,MATCH(I$1,Data_metier!$B:$B,0))="Non",
INDEX(Data_metier!$G:$G,MATCH($A8,Data_metier!$B:$B,0))="Oui, en amont ET aval"),
1,
IF(AND(INDEX(Data_metier!$G:$G,MATCH(I$1,Data_metier!$B:$B,0))="Oui, en amont OU aval",
INDEX(Data_metier!$G:$G,MATCH($A8,Data_metier!$B:$B,0))="Oui, en amont ET aval"),
0.5,
0))))</f>
        <v>3.9999999999999996</v>
      </c>
      <c r="J8">
        <f>IF(DE_ress_transv!J8=-1,-1,
DE_ress_transv!J8+IF(AND(INDEX(Data_metier!$G:$G,MATCH(J$1,Data_metier!$B:$B,0))="Non",
INDEX(Data_metier!$G:$G,MATCH($A8,Data_metier!$B:$B,0))="Oui, en amont OU aval"),
0.5,
IF(AND(INDEX(Data_metier!$G:$G,MATCH(J$1,Data_metier!$B:$B,0))="Non",
INDEX(Data_metier!$G:$G,MATCH($A8,Data_metier!$B:$B,0))="Oui, en amont ET aval"),
1,
IF(AND(INDEX(Data_metier!$G:$G,MATCH(J$1,Data_metier!$B:$B,0))="Oui, en amont OU aval",
INDEX(Data_metier!$G:$G,MATCH($A8,Data_metier!$B:$B,0))="Oui, en amont ET aval"),
0.5,
0))))</f>
        <v>2.3333333333333335</v>
      </c>
      <c r="K8">
        <f>IF(DE_ress_transv!K8=-1,-1,
DE_ress_transv!K8+IF(AND(INDEX(Data_metier!$G:$G,MATCH(K$1,Data_metier!$B:$B,0))="Non",
INDEX(Data_metier!$G:$G,MATCH($A8,Data_metier!$B:$B,0))="Oui, en amont OU aval"),
0.5,
IF(AND(INDEX(Data_metier!$G:$G,MATCH(K$1,Data_metier!$B:$B,0))="Non",
INDEX(Data_metier!$G:$G,MATCH($A8,Data_metier!$B:$B,0))="Oui, en amont ET aval"),
1,
IF(AND(INDEX(Data_metier!$G:$G,MATCH(K$1,Data_metier!$B:$B,0))="Oui, en amont OU aval",
INDEX(Data_metier!$G:$G,MATCH($A8,Data_metier!$B:$B,0))="Oui, en amont ET aval"),
0.5,
0))))</f>
        <v>-1</v>
      </c>
      <c r="L8">
        <f>IF(DE_ress_transv!L8=-1,-1,
DE_ress_transv!L8+IF(AND(INDEX(Data_metier!$G:$G,MATCH(L$1,Data_metier!$B:$B,0))="Non",
INDEX(Data_metier!$G:$G,MATCH($A8,Data_metier!$B:$B,0))="Oui, en amont OU aval"),
0.5,
IF(AND(INDEX(Data_metier!$G:$G,MATCH(L$1,Data_metier!$B:$B,0))="Non",
INDEX(Data_metier!$G:$G,MATCH($A8,Data_metier!$B:$B,0))="Oui, en amont ET aval"),
1,
IF(AND(INDEX(Data_metier!$G:$G,MATCH(L$1,Data_metier!$B:$B,0))="Oui, en amont OU aval",
INDEX(Data_metier!$G:$G,MATCH($A8,Data_metier!$B:$B,0))="Oui, en amont ET aval"),
0.5,
0))))</f>
        <v>3.9999999999999996</v>
      </c>
      <c r="M8">
        <f>IF(DE_ress_transv!M8=-1,-1,
DE_ress_transv!M8+IF(AND(INDEX(Data_metier!$G:$G,MATCH(M$1,Data_metier!$B:$B,0))="Non",
INDEX(Data_metier!$G:$G,MATCH($A8,Data_metier!$B:$B,0))="Oui, en amont OU aval"),
0.5,
IF(AND(INDEX(Data_metier!$G:$G,MATCH(M$1,Data_metier!$B:$B,0))="Non",
INDEX(Data_metier!$G:$G,MATCH($A8,Data_metier!$B:$B,0))="Oui, en amont ET aval"),
1,
IF(AND(INDEX(Data_metier!$G:$G,MATCH(M$1,Data_metier!$B:$B,0))="Oui, en amont OU aval",
INDEX(Data_metier!$G:$G,MATCH($A8,Data_metier!$B:$B,0))="Oui, en amont ET aval"),
0.5,
0))))</f>
        <v>3.9999999999999996</v>
      </c>
      <c r="N8">
        <f>IF(DE_ress_transv!N8=-1,-1,
DE_ress_transv!N8+IF(AND(INDEX(Data_metier!$G:$G,MATCH(N$1,Data_metier!$B:$B,0))="Non",
INDEX(Data_metier!$G:$G,MATCH($A8,Data_metier!$B:$B,0))="Oui, en amont OU aval"),
0.5,
IF(AND(INDEX(Data_metier!$G:$G,MATCH(N$1,Data_metier!$B:$B,0))="Non",
INDEX(Data_metier!$G:$G,MATCH($A8,Data_metier!$B:$B,0))="Oui, en amont ET aval"),
1,
IF(AND(INDEX(Data_metier!$G:$G,MATCH(N$1,Data_metier!$B:$B,0))="Oui, en amont OU aval",
INDEX(Data_metier!$G:$G,MATCH($A8,Data_metier!$B:$B,0))="Oui, en amont ET aval"),
0.5,
0))))</f>
        <v>1.1666666666666667</v>
      </c>
      <c r="O8">
        <f>IF(DE_ress_transv!O8=-1,-1,
DE_ress_transv!O8+IF(AND(INDEX(Data_metier!$G:$G,MATCH(O$1,Data_metier!$B:$B,0))="Non",
INDEX(Data_metier!$G:$G,MATCH($A8,Data_metier!$B:$B,0))="Oui, en amont OU aval"),
0.5,
IF(AND(INDEX(Data_metier!$G:$G,MATCH(O$1,Data_metier!$B:$B,0))="Non",
INDEX(Data_metier!$G:$G,MATCH($A8,Data_metier!$B:$B,0))="Oui, en amont ET aval"),
1,
IF(AND(INDEX(Data_metier!$G:$G,MATCH(O$1,Data_metier!$B:$B,0))="Oui, en amont OU aval",
INDEX(Data_metier!$G:$G,MATCH($A8,Data_metier!$B:$B,0))="Oui, en amont ET aval"),
0.5,
0))))</f>
        <v>3.9999999999999996</v>
      </c>
      <c r="P8">
        <f>IF(DE_ress_transv!P8=-1,-1,
DE_ress_transv!P8+IF(AND(INDEX(Data_metier!$G:$G,MATCH(P$1,Data_metier!$B:$B,0))="Non",
INDEX(Data_metier!$G:$G,MATCH($A8,Data_metier!$B:$B,0))="Oui, en amont OU aval"),
0.5,
IF(AND(INDEX(Data_metier!$G:$G,MATCH(P$1,Data_metier!$B:$B,0))="Non",
INDEX(Data_metier!$G:$G,MATCH($A8,Data_metier!$B:$B,0))="Oui, en amont ET aval"),
1,
IF(AND(INDEX(Data_metier!$G:$G,MATCH(P$1,Data_metier!$B:$B,0))="Oui, en amont OU aval",
INDEX(Data_metier!$G:$G,MATCH($A8,Data_metier!$B:$B,0))="Oui, en amont ET aval"),
0.5,
0))))</f>
        <v>3.9999999999999996</v>
      </c>
      <c r="Q8">
        <f>IF(DE_ress_transv!Q8=-1,-1,
DE_ress_transv!Q8+IF(AND(INDEX(Data_metier!$G:$G,MATCH(Q$1,Data_metier!$B:$B,0))="Non",
INDEX(Data_metier!$G:$G,MATCH($A8,Data_metier!$B:$B,0))="Oui, en amont OU aval"),
0.5,
IF(AND(INDEX(Data_metier!$G:$G,MATCH(Q$1,Data_metier!$B:$B,0))="Non",
INDEX(Data_metier!$G:$G,MATCH($A8,Data_metier!$B:$B,0))="Oui, en amont ET aval"),
1,
IF(AND(INDEX(Data_metier!$G:$G,MATCH(Q$1,Data_metier!$B:$B,0))="Oui, en amont OU aval",
INDEX(Data_metier!$G:$G,MATCH($A8,Data_metier!$B:$B,0))="Oui, en amont ET aval"),
0.5,
0))))</f>
        <v>1.5</v>
      </c>
      <c r="R8">
        <f>IF(DE_ress_transv!R8=-1,-1,
DE_ress_transv!R8+IF(AND(INDEX(Data_metier!$G:$G,MATCH(R$1,Data_metier!$B:$B,0))="Non",
INDEX(Data_metier!$G:$G,MATCH($A8,Data_metier!$B:$B,0))="Oui, en amont OU aval"),
0.5,
IF(AND(INDEX(Data_metier!$G:$G,MATCH(R$1,Data_metier!$B:$B,0))="Non",
INDEX(Data_metier!$G:$G,MATCH($A8,Data_metier!$B:$B,0))="Oui, en amont ET aval"),
1,
IF(AND(INDEX(Data_metier!$G:$G,MATCH(R$1,Data_metier!$B:$B,0))="Oui, en amont OU aval",
INDEX(Data_metier!$G:$G,MATCH($A8,Data_metier!$B:$B,0))="Oui, en amont ET aval"),
0.5,
0))))</f>
        <v>-1</v>
      </c>
      <c r="S8">
        <f>IF(DE_ress_transv!S8=-1,-1,
DE_ress_transv!S8+IF(AND(INDEX(Data_metier!$G:$G,MATCH(S$1,Data_metier!$B:$B,0))="Non",
INDEX(Data_metier!$G:$G,MATCH($A8,Data_metier!$B:$B,0))="Oui, en amont OU aval"),
0.5,
IF(AND(INDEX(Data_metier!$G:$G,MATCH(S$1,Data_metier!$B:$B,0))="Non",
INDEX(Data_metier!$G:$G,MATCH($A8,Data_metier!$B:$B,0))="Oui, en amont ET aval"),
1,
IF(AND(INDEX(Data_metier!$G:$G,MATCH(S$1,Data_metier!$B:$B,0))="Oui, en amont OU aval",
INDEX(Data_metier!$G:$G,MATCH($A8,Data_metier!$B:$B,0))="Oui, en amont ET aval"),
0.5,
0))))</f>
        <v>3.9999999999999996</v>
      </c>
      <c r="T8">
        <f>IF(DE_ress_transv!T8=-1,-1,
DE_ress_transv!T8+IF(AND(INDEX(Data_metier!$G:$G,MATCH(T$1,Data_metier!$B:$B,0))="Non",
INDEX(Data_metier!$G:$G,MATCH($A8,Data_metier!$B:$B,0))="Oui, en amont OU aval"),
0.5,
IF(AND(INDEX(Data_metier!$G:$G,MATCH(T$1,Data_metier!$B:$B,0))="Non",
INDEX(Data_metier!$G:$G,MATCH($A8,Data_metier!$B:$B,0))="Oui, en amont ET aval"),
1,
IF(AND(INDEX(Data_metier!$G:$G,MATCH(T$1,Data_metier!$B:$B,0))="Oui, en amont OU aval",
INDEX(Data_metier!$G:$G,MATCH($A8,Data_metier!$B:$B,0))="Oui, en amont ET aval"),
0.5,
0))))</f>
        <v>3.9999999999999996</v>
      </c>
      <c r="U8">
        <f>IF(DE_ress_transv!U8=-1,-1,
DE_ress_transv!U8+IF(AND(INDEX(Data_metier!$G:$G,MATCH(U$1,Data_metier!$B:$B,0))="Non",
INDEX(Data_metier!$G:$G,MATCH($A8,Data_metier!$B:$B,0))="Oui, en amont OU aval"),
0.5,
IF(AND(INDEX(Data_metier!$G:$G,MATCH(U$1,Data_metier!$B:$B,0))="Non",
INDEX(Data_metier!$G:$G,MATCH($A8,Data_metier!$B:$B,0))="Oui, en amont ET aval"),
1,
IF(AND(INDEX(Data_metier!$G:$G,MATCH(U$1,Data_metier!$B:$B,0))="Oui, en amont OU aval",
INDEX(Data_metier!$G:$G,MATCH($A8,Data_metier!$B:$B,0))="Oui, en amont ET aval"),
0.5,
0))))</f>
        <v>3.9999999999999996</v>
      </c>
      <c r="V8">
        <f>IF(DE_ress_transv!V8=-1,-1,
DE_ress_transv!V8+IF(AND(INDEX(Data_metier!$G:$G,MATCH(V$1,Data_metier!$B:$B,0))="Non",
INDEX(Data_metier!$G:$G,MATCH($A8,Data_metier!$B:$B,0))="Oui, en amont OU aval"),
0.5,
IF(AND(INDEX(Data_metier!$G:$G,MATCH(V$1,Data_metier!$B:$B,0))="Non",
INDEX(Data_metier!$G:$G,MATCH($A8,Data_metier!$B:$B,0))="Oui, en amont ET aval"),
1,
IF(AND(INDEX(Data_metier!$G:$G,MATCH(V$1,Data_metier!$B:$B,0))="Oui, en amont OU aval",
INDEX(Data_metier!$G:$G,MATCH($A8,Data_metier!$B:$B,0))="Oui, en amont ET aval"),
0.5,
0))))</f>
        <v>3.4999999999999996</v>
      </c>
      <c r="W8">
        <f>IF(DE_ress_transv!W8=-1,-1,
DE_ress_transv!W8+IF(AND(INDEX(Data_metier!$G:$G,MATCH(W$1,Data_metier!$B:$B,0))="Non",
INDEX(Data_metier!$G:$G,MATCH($A8,Data_metier!$B:$B,0))="Oui, en amont OU aval"),
0.5,
IF(AND(INDEX(Data_metier!$G:$G,MATCH(W$1,Data_metier!$B:$B,0))="Non",
INDEX(Data_metier!$G:$G,MATCH($A8,Data_metier!$B:$B,0))="Oui, en amont ET aval"),
1,
IF(AND(INDEX(Data_metier!$G:$G,MATCH(W$1,Data_metier!$B:$B,0))="Oui, en amont OU aval",
INDEX(Data_metier!$G:$G,MATCH($A8,Data_metier!$B:$B,0))="Oui, en amont ET aval"),
0.5,
0))))</f>
        <v>2.9999999999999996</v>
      </c>
      <c r="X8">
        <f>IF(DE_ress_transv!X8=-1,-1,
DE_ress_transv!X8+IF(AND(INDEX(Data_metier!$G:$G,MATCH(X$1,Data_metier!$B:$B,0))="Non",
INDEX(Data_metier!$G:$G,MATCH($A8,Data_metier!$B:$B,0))="Oui, en amont OU aval"),
0.5,
IF(AND(INDEX(Data_metier!$G:$G,MATCH(X$1,Data_metier!$B:$B,0))="Non",
INDEX(Data_metier!$G:$G,MATCH($A8,Data_metier!$B:$B,0))="Oui, en amont ET aval"),
1,
IF(AND(INDEX(Data_metier!$G:$G,MATCH(X$1,Data_metier!$B:$B,0))="Oui, en amont OU aval",
INDEX(Data_metier!$G:$G,MATCH($A8,Data_metier!$B:$B,0))="Oui, en amont ET aval"),
0.5,
0))))</f>
        <v>0</v>
      </c>
      <c r="Y8">
        <f>IF(DE_ress_transv!Y8=-1,-1,
DE_ress_transv!Y8+IF(AND(INDEX(Data_metier!$G:$G,MATCH(Y$1,Data_metier!$B:$B,0))="Non",
INDEX(Data_metier!$G:$G,MATCH($A8,Data_metier!$B:$B,0))="Oui, en amont OU aval"),
0.5,
IF(AND(INDEX(Data_metier!$G:$G,MATCH(Y$1,Data_metier!$B:$B,0))="Non",
INDEX(Data_metier!$G:$G,MATCH($A8,Data_metier!$B:$B,0))="Oui, en amont ET aval"),
1,
IF(AND(INDEX(Data_metier!$G:$G,MATCH(Y$1,Data_metier!$B:$B,0))="Oui, en amont OU aval",
INDEX(Data_metier!$G:$G,MATCH($A8,Data_metier!$B:$B,0))="Oui, en amont ET aval"),
0.5,
0))))</f>
        <v>3.9999999999999996</v>
      </c>
      <c r="Z8">
        <f>IF(DE_ress_transv!Z8=-1,-1,
DE_ress_transv!Z8+IF(AND(INDEX(Data_metier!$G:$G,MATCH(Z$1,Data_metier!$B:$B,0))="Non",
INDEX(Data_metier!$G:$G,MATCH($A8,Data_metier!$B:$B,0))="Oui, en amont OU aval"),
0.5,
IF(AND(INDEX(Data_metier!$G:$G,MATCH(Z$1,Data_metier!$B:$B,0))="Non",
INDEX(Data_metier!$G:$G,MATCH($A8,Data_metier!$B:$B,0))="Oui, en amont ET aval"),
1,
IF(AND(INDEX(Data_metier!$G:$G,MATCH(Z$1,Data_metier!$B:$B,0))="Oui, en amont OU aval",
INDEX(Data_metier!$G:$G,MATCH($A8,Data_metier!$B:$B,0))="Oui, en amont ET aval"),
0.5,
0))))</f>
        <v>3.9999999999999996</v>
      </c>
      <c r="AA8">
        <f>IF(DE_ress_transv!AA8=-1,-1,
DE_ress_transv!AA8+IF(AND(INDEX(Data_metier!$G:$G,MATCH(AA$1,Data_metier!$B:$B,0))="Non",
INDEX(Data_metier!$G:$G,MATCH($A8,Data_metier!$B:$B,0))="Oui, en amont OU aval"),
0.5,
IF(AND(INDEX(Data_metier!$G:$G,MATCH(AA$1,Data_metier!$B:$B,0))="Non",
INDEX(Data_metier!$G:$G,MATCH($A8,Data_metier!$B:$B,0))="Oui, en amont ET aval"),
1,
IF(AND(INDEX(Data_metier!$G:$G,MATCH(AA$1,Data_metier!$B:$B,0))="Oui, en amont OU aval",
INDEX(Data_metier!$G:$G,MATCH($A8,Data_metier!$B:$B,0))="Oui, en amont ET aval"),
0.5,
0))))</f>
        <v>3.9999999999999996</v>
      </c>
      <c r="AB8">
        <f>IF(DE_ress_transv!AB8=-1,-1,
DE_ress_transv!AB8+IF(AND(INDEX(Data_metier!$G:$G,MATCH(AB$1,Data_metier!$B:$B,0))="Non",
INDEX(Data_metier!$G:$G,MATCH($A8,Data_metier!$B:$B,0))="Oui, en amont OU aval"),
0.5,
IF(AND(INDEX(Data_metier!$G:$G,MATCH(AB$1,Data_metier!$B:$B,0))="Non",
INDEX(Data_metier!$G:$G,MATCH($A8,Data_metier!$B:$B,0))="Oui, en amont ET aval"),
1,
IF(AND(INDEX(Data_metier!$G:$G,MATCH(AB$1,Data_metier!$B:$B,0))="Oui, en amont OU aval",
INDEX(Data_metier!$G:$G,MATCH($A8,Data_metier!$B:$B,0))="Oui, en amont ET aval"),
0.5,
0))))</f>
        <v>3.4999999999999996</v>
      </c>
      <c r="AC8">
        <f>IF(DE_ress_transv!AC8=-1,-1,
DE_ress_transv!AC8+IF(AND(INDEX(Data_metier!$G:$G,MATCH(AC$1,Data_metier!$B:$B,0))="Non",
INDEX(Data_metier!$G:$G,MATCH($A8,Data_metier!$B:$B,0))="Oui, en amont OU aval"),
0.5,
IF(AND(INDEX(Data_metier!$G:$G,MATCH(AC$1,Data_metier!$B:$B,0))="Non",
INDEX(Data_metier!$G:$G,MATCH($A8,Data_metier!$B:$B,0))="Oui, en amont ET aval"),
1,
IF(AND(INDEX(Data_metier!$G:$G,MATCH(AC$1,Data_metier!$B:$B,0))="Oui, en amont OU aval",
INDEX(Data_metier!$G:$G,MATCH($A8,Data_metier!$B:$B,0))="Oui, en amont ET aval"),
0.5,
0))))</f>
        <v>3.4999999999999996</v>
      </c>
      <c r="AD8">
        <f>IF(DE_ress_transv!AD8=-1,-1,
DE_ress_transv!AD8+IF(AND(INDEX(Data_metier!$G:$G,MATCH(AD$1,Data_metier!$B:$B,0))="Non",
INDEX(Data_metier!$G:$G,MATCH($A8,Data_metier!$B:$B,0))="Oui, en amont OU aval"),
0.5,
IF(AND(INDEX(Data_metier!$G:$G,MATCH(AD$1,Data_metier!$B:$B,0))="Non",
INDEX(Data_metier!$G:$G,MATCH($A8,Data_metier!$B:$B,0))="Oui, en amont ET aval"),
1,
IF(AND(INDEX(Data_metier!$G:$G,MATCH(AD$1,Data_metier!$B:$B,0))="Oui, en amont OU aval",
INDEX(Data_metier!$G:$G,MATCH($A8,Data_metier!$B:$B,0))="Oui, en amont ET aval"),
0.5,
0))))</f>
        <v>3.4999999999999996</v>
      </c>
    </row>
    <row r="9" spans="1:30">
      <c r="A9" s="55" t="str">
        <v>Opérateur(trice) logistique</v>
      </c>
      <c r="B9">
        <f>IF(DE_ress_transv!B9=-1,-1,
DE_ress_transv!B9+IF(AND(INDEX(Data_metier!$G:$G,MATCH(B$1,Data_metier!$B:$B,0))="Non",
INDEX(Data_metier!$G:$G,MATCH($A9,Data_metier!$B:$B,0))="Oui, en amont OU aval"),
0.5,
IF(AND(INDEX(Data_metier!$G:$G,MATCH(B$1,Data_metier!$B:$B,0))="Non",
INDEX(Data_metier!$G:$G,MATCH($A9,Data_metier!$B:$B,0))="Oui, en amont ET aval"),
1,
IF(AND(INDEX(Data_metier!$G:$G,MATCH(B$1,Data_metier!$B:$B,0))="Oui, en amont OU aval",
INDEX(Data_metier!$G:$G,MATCH($A9,Data_metier!$B:$B,0))="Oui, en amont ET aval"),
0.5,
0))))</f>
        <v>-1</v>
      </c>
      <c r="C9">
        <f>IF(DE_ress_transv!C9=-1,-1,
DE_ress_transv!C9+IF(AND(INDEX(Data_metier!$G:$G,MATCH(C$1,Data_metier!$B:$B,0))="Non",
INDEX(Data_metier!$G:$G,MATCH($A9,Data_metier!$B:$B,0))="Oui, en amont OU aval"),
0.5,
IF(AND(INDEX(Data_metier!$G:$G,MATCH(C$1,Data_metier!$B:$B,0))="Non",
INDEX(Data_metier!$G:$G,MATCH($A9,Data_metier!$B:$B,0))="Oui, en amont ET aval"),
1,
IF(AND(INDEX(Data_metier!$G:$G,MATCH(C$1,Data_metier!$B:$B,0))="Oui, en amont OU aval",
INDEX(Data_metier!$G:$G,MATCH($A9,Data_metier!$B:$B,0))="Oui, en amont ET aval"),
0.5,
0))))</f>
        <v>-1</v>
      </c>
      <c r="D9">
        <f>IF(DE_ress_transv!D9=-1,-1,
DE_ress_transv!D9+IF(AND(INDEX(Data_metier!$G:$G,MATCH(D$1,Data_metier!$B:$B,0))="Non",
INDEX(Data_metier!$G:$G,MATCH($A9,Data_metier!$B:$B,0))="Oui, en amont OU aval"),
0.5,
IF(AND(INDEX(Data_metier!$G:$G,MATCH(D$1,Data_metier!$B:$B,0))="Non",
INDEX(Data_metier!$G:$G,MATCH($A9,Data_metier!$B:$B,0))="Oui, en amont ET aval"),
1,
IF(AND(INDEX(Data_metier!$G:$G,MATCH(D$1,Data_metier!$B:$B,0))="Oui, en amont OU aval",
INDEX(Data_metier!$G:$G,MATCH($A9,Data_metier!$B:$B,0))="Oui, en amont ET aval"),
0.5,
0))))</f>
        <v>0</v>
      </c>
      <c r="E9">
        <f>IF(DE_ress_transv!E9=-1,-1,
DE_ress_transv!E9+IF(AND(INDEX(Data_metier!$G:$G,MATCH(E$1,Data_metier!$B:$B,0))="Non",
INDEX(Data_metier!$G:$G,MATCH($A9,Data_metier!$B:$B,0))="Oui, en amont OU aval"),
0.5,
IF(AND(INDEX(Data_metier!$G:$G,MATCH(E$1,Data_metier!$B:$B,0))="Non",
INDEX(Data_metier!$G:$G,MATCH($A9,Data_metier!$B:$B,0))="Oui, en amont ET aval"),
1,
IF(AND(INDEX(Data_metier!$G:$G,MATCH(E$1,Data_metier!$B:$B,0))="Oui, en amont OU aval",
INDEX(Data_metier!$G:$G,MATCH($A9,Data_metier!$B:$B,0))="Oui, en amont ET aval"),
0.5,
0))))</f>
        <v>-1</v>
      </c>
      <c r="F9">
        <f>IF(DE_ress_transv!F9=-1,-1,
DE_ress_transv!F9+IF(AND(INDEX(Data_metier!$G:$G,MATCH(F$1,Data_metier!$B:$B,0))="Non",
INDEX(Data_metier!$G:$G,MATCH($A9,Data_metier!$B:$B,0))="Oui, en amont OU aval"),
0.5,
IF(AND(INDEX(Data_metier!$G:$G,MATCH(F$1,Data_metier!$B:$B,0))="Non",
INDEX(Data_metier!$G:$G,MATCH($A9,Data_metier!$B:$B,0))="Oui, en amont ET aval"),
1,
IF(AND(INDEX(Data_metier!$G:$G,MATCH(F$1,Data_metier!$B:$B,0))="Oui, en amont OU aval",
INDEX(Data_metier!$G:$G,MATCH($A9,Data_metier!$B:$B,0))="Oui, en amont ET aval"),
0.5,
0))))</f>
        <v>-1</v>
      </c>
      <c r="G9">
        <f>IF(DE_ress_transv!G9=-1,-1,
DE_ress_transv!G9+IF(AND(INDEX(Data_metier!$G:$G,MATCH(G$1,Data_metier!$B:$B,0))="Non",
INDEX(Data_metier!$G:$G,MATCH($A9,Data_metier!$B:$B,0))="Oui, en amont OU aval"),
0.5,
IF(AND(INDEX(Data_metier!$G:$G,MATCH(G$1,Data_metier!$B:$B,0))="Non",
INDEX(Data_metier!$G:$G,MATCH($A9,Data_metier!$B:$B,0))="Oui, en amont ET aval"),
1,
IF(AND(INDEX(Data_metier!$G:$G,MATCH(G$1,Data_metier!$B:$B,0))="Oui, en amont OU aval",
INDEX(Data_metier!$G:$G,MATCH($A9,Data_metier!$B:$B,0))="Oui, en amont ET aval"),
0.5,
0))))</f>
        <v>-1</v>
      </c>
      <c r="H9">
        <f>IF(DE_ress_transv!H9=-1,-1,
DE_ress_transv!H9+IF(AND(INDEX(Data_metier!$G:$G,MATCH(H$1,Data_metier!$B:$B,0))="Non",
INDEX(Data_metier!$G:$G,MATCH($A9,Data_metier!$B:$B,0))="Oui, en amont OU aval"),
0.5,
IF(AND(INDEX(Data_metier!$G:$G,MATCH(H$1,Data_metier!$B:$B,0))="Non",
INDEX(Data_metier!$G:$G,MATCH($A9,Data_metier!$B:$B,0))="Oui, en amont ET aval"),
1,
IF(AND(INDEX(Data_metier!$G:$G,MATCH(H$1,Data_metier!$B:$B,0))="Oui, en amont OU aval",
INDEX(Data_metier!$G:$G,MATCH($A9,Data_metier!$B:$B,0))="Oui, en amont ET aval"),
0.5,
0))))</f>
        <v>-1</v>
      </c>
      <c r="I9">
        <f>IF(DE_ress_transv!I9=-1,-1,
DE_ress_transv!I9+IF(AND(INDEX(Data_metier!$G:$G,MATCH(I$1,Data_metier!$B:$B,0))="Non",
INDEX(Data_metier!$G:$G,MATCH($A9,Data_metier!$B:$B,0))="Oui, en amont OU aval"),
0.5,
IF(AND(INDEX(Data_metier!$G:$G,MATCH(I$1,Data_metier!$B:$B,0))="Non",
INDEX(Data_metier!$G:$G,MATCH($A9,Data_metier!$B:$B,0))="Oui, en amont ET aval"),
1,
IF(AND(INDEX(Data_metier!$G:$G,MATCH(I$1,Data_metier!$B:$B,0))="Oui, en amont OU aval",
INDEX(Data_metier!$G:$G,MATCH($A9,Data_metier!$B:$B,0))="Oui, en amont ET aval"),
0.5,
0))))</f>
        <v>0</v>
      </c>
      <c r="J9">
        <f>IF(DE_ress_transv!J9=-1,-1,
DE_ress_transv!J9+IF(AND(INDEX(Data_metier!$G:$G,MATCH(J$1,Data_metier!$B:$B,0))="Non",
INDEX(Data_metier!$G:$G,MATCH($A9,Data_metier!$B:$B,0))="Oui, en amont OU aval"),
0.5,
IF(AND(INDEX(Data_metier!$G:$G,MATCH(J$1,Data_metier!$B:$B,0))="Non",
INDEX(Data_metier!$G:$G,MATCH($A9,Data_metier!$B:$B,0))="Oui, en amont ET aval"),
1,
IF(AND(INDEX(Data_metier!$G:$G,MATCH(J$1,Data_metier!$B:$B,0))="Oui, en amont OU aval",
INDEX(Data_metier!$G:$G,MATCH($A9,Data_metier!$B:$B,0))="Oui, en amont ET aval"),
0.5,
0))))</f>
        <v>-1</v>
      </c>
      <c r="K9">
        <f>IF(DE_ress_transv!K9=-1,-1,
DE_ress_transv!K9+IF(AND(INDEX(Data_metier!$G:$G,MATCH(K$1,Data_metier!$B:$B,0))="Non",
INDEX(Data_metier!$G:$G,MATCH($A9,Data_metier!$B:$B,0))="Oui, en amont OU aval"),
0.5,
IF(AND(INDEX(Data_metier!$G:$G,MATCH(K$1,Data_metier!$B:$B,0))="Non",
INDEX(Data_metier!$G:$G,MATCH($A9,Data_metier!$B:$B,0))="Oui, en amont ET aval"),
1,
IF(AND(INDEX(Data_metier!$G:$G,MATCH(K$1,Data_metier!$B:$B,0))="Oui, en amont OU aval",
INDEX(Data_metier!$G:$G,MATCH($A9,Data_metier!$B:$B,0))="Oui, en amont ET aval"),
0.5,
0))))</f>
        <v>-1</v>
      </c>
      <c r="L9">
        <f>IF(DE_ress_transv!L9=-1,-1,
DE_ress_transv!L9+IF(AND(INDEX(Data_metier!$G:$G,MATCH(L$1,Data_metier!$B:$B,0))="Non",
INDEX(Data_metier!$G:$G,MATCH($A9,Data_metier!$B:$B,0))="Oui, en amont OU aval"),
0.5,
IF(AND(INDEX(Data_metier!$G:$G,MATCH(L$1,Data_metier!$B:$B,0))="Non",
INDEX(Data_metier!$G:$G,MATCH($A9,Data_metier!$B:$B,0))="Oui, en amont ET aval"),
1,
IF(AND(INDEX(Data_metier!$G:$G,MATCH(L$1,Data_metier!$B:$B,0))="Oui, en amont OU aval",
INDEX(Data_metier!$G:$G,MATCH($A9,Data_metier!$B:$B,0))="Oui, en amont ET aval"),
0.5,
0))))</f>
        <v>0</v>
      </c>
      <c r="M9">
        <f>IF(DE_ress_transv!M9=-1,-1,
DE_ress_transv!M9+IF(AND(INDEX(Data_metier!$G:$G,MATCH(M$1,Data_metier!$B:$B,0))="Non",
INDEX(Data_metier!$G:$G,MATCH($A9,Data_metier!$B:$B,0))="Oui, en amont OU aval"),
0.5,
IF(AND(INDEX(Data_metier!$G:$G,MATCH(M$1,Data_metier!$B:$B,0))="Non",
INDEX(Data_metier!$G:$G,MATCH($A9,Data_metier!$B:$B,0))="Oui, en amont ET aval"),
1,
IF(AND(INDEX(Data_metier!$G:$G,MATCH(M$1,Data_metier!$B:$B,0))="Oui, en amont OU aval",
INDEX(Data_metier!$G:$G,MATCH($A9,Data_metier!$B:$B,0))="Oui, en amont ET aval"),
0.5,
0))))</f>
        <v>-1</v>
      </c>
      <c r="N9">
        <f>IF(DE_ress_transv!N9=-1,-1,
DE_ress_transv!N9+IF(AND(INDEX(Data_metier!$G:$G,MATCH(N$1,Data_metier!$B:$B,0))="Non",
INDEX(Data_metier!$G:$G,MATCH($A9,Data_metier!$B:$B,0))="Oui, en amont OU aval"),
0.5,
IF(AND(INDEX(Data_metier!$G:$G,MATCH(N$1,Data_metier!$B:$B,0))="Non",
INDEX(Data_metier!$G:$G,MATCH($A9,Data_metier!$B:$B,0))="Oui, en amont ET aval"),
1,
IF(AND(INDEX(Data_metier!$G:$G,MATCH(N$1,Data_metier!$B:$B,0))="Oui, en amont OU aval",
INDEX(Data_metier!$G:$G,MATCH($A9,Data_metier!$B:$B,0))="Oui, en amont ET aval"),
0.5,
0))))</f>
        <v>-1</v>
      </c>
      <c r="O9">
        <f>IF(DE_ress_transv!O9=-1,-1,
DE_ress_transv!O9+IF(AND(INDEX(Data_metier!$G:$G,MATCH(O$1,Data_metier!$B:$B,0))="Non",
INDEX(Data_metier!$G:$G,MATCH($A9,Data_metier!$B:$B,0))="Oui, en amont OU aval"),
0.5,
IF(AND(INDEX(Data_metier!$G:$G,MATCH(O$1,Data_metier!$B:$B,0))="Non",
INDEX(Data_metier!$G:$G,MATCH($A9,Data_metier!$B:$B,0))="Oui, en amont ET aval"),
1,
IF(AND(INDEX(Data_metier!$G:$G,MATCH(O$1,Data_metier!$B:$B,0))="Oui, en amont OU aval",
INDEX(Data_metier!$G:$G,MATCH($A9,Data_metier!$B:$B,0))="Oui, en amont ET aval"),
0.5,
0))))</f>
        <v>0</v>
      </c>
      <c r="P9">
        <f>IF(DE_ress_transv!P9=-1,-1,
DE_ress_transv!P9+IF(AND(INDEX(Data_metier!$G:$G,MATCH(P$1,Data_metier!$B:$B,0))="Non",
INDEX(Data_metier!$G:$G,MATCH($A9,Data_metier!$B:$B,0))="Oui, en amont OU aval"),
0.5,
IF(AND(INDEX(Data_metier!$G:$G,MATCH(P$1,Data_metier!$B:$B,0))="Non",
INDEX(Data_metier!$G:$G,MATCH($A9,Data_metier!$B:$B,0))="Oui, en amont ET aval"),
1,
IF(AND(INDEX(Data_metier!$G:$G,MATCH(P$1,Data_metier!$B:$B,0))="Oui, en amont OU aval",
INDEX(Data_metier!$G:$G,MATCH($A9,Data_metier!$B:$B,0))="Oui, en amont ET aval"),
0.5,
0))))</f>
        <v>0</v>
      </c>
      <c r="Q9">
        <f>IF(DE_ress_transv!Q9=-1,-1,
DE_ress_transv!Q9+IF(AND(INDEX(Data_metier!$G:$G,MATCH(Q$1,Data_metier!$B:$B,0))="Non",
INDEX(Data_metier!$G:$G,MATCH($A9,Data_metier!$B:$B,0))="Oui, en amont OU aval"),
0.5,
IF(AND(INDEX(Data_metier!$G:$G,MATCH(Q$1,Data_metier!$B:$B,0))="Non",
INDEX(Data_metier!$G:$G,MATCH($A9,Data_metier!$B:$B,0))="Oui, en amont ET aval"),
1,
IF(AND(INDEX(Data_metier!$G:$G,MATCH(Q$1,Data_metier!$B:$B,0))="Oui, en amont OU aval",
INDEX(Data_metier!$G:$G,MATCH($A9,Data_metier!$B:$B,0))="Oui, en amont ET aval"),
0.5,
0))))</f>
        <v>-1</v>
      </c>
      <c r="R9">
        <f>IF(DE_ress_transv!R9=-1,-1,
DE_ress_transv!R9+IF(AND(INDEX(Data_metier!$G:$G,MATCH(R$1,Data_metier!$B:$B,0))="Non",
INDEX(Data_metier!$G:$G,MATCH($A9,Data_metier!$B:$B,0))="Oui, en amont OU aval"),
0.5,
IF(AND(INDEX(Data_metier!$G:$G,MATCH(R$1,Data_metier!$B:$B,0))="Non",
INDEX(Data_metier!$G:$G,MATCH($A9,Data_metier!$B:$B,0))="Oui, en amont ET aval"),
1,
IF(AND(INDEX(Data_metier!$G:$G,MATCH(R$1,Data_metier!$B:$B,0))="Oui, en amont OU aval",
INDEX(Data_metier!$G:$G,MATCH($A9,Data_metier!$B:$B,0))="Oui, en amont ET aval"),
0.5,
0))))</f>
        <v>-1</v>
      </c>
      <c r="S9">
        <f>IF(DE_ress_transv!S9=-1,-1,
DE_ress_transv!S9+IF(AND(INDEX(Data_metier!$G:$G,MATCH(S$1,Data_metier!$B:$B,0))="Non",
INDEX(Data_metier!$G:$G,MATCH($A9,Data_metier!$B:$B,0))="Oui, en amont OU aval"),
0.5,
IF(AND(INDEX(Data_metier!$G:$G,MATCH(S$1,Data_metier!$B:$B,0))="Non",
INDEX(Data_metier!$G:$G,MATCH($A9,Data_metier!$B:$B,0))="Oui, en amont ET aval"),
1,
IF(AND(INDEX(Data_metier!$G:$G,MATCH(S$1,Data_metier!$B:$B,0))="Oui, en amont OU aval",
INDEX(Data_metier!$G:$G,MATCH($A9,Data_metier!$B:$B,0))="Oui, en amont ET aval"),
0.5,
0))))</f>
        <v>0</v>
      </c>
      <c r="T9">
        <f>IF(DE_ress_transv!T9=-1,-1,
DE_ress_transv!T9+IF(AND(INDEX(Data_metier!$G:$G,MATCH(T$1,Data_metier!$B:$B,0))="Non",
INDEX(Data_metier!$G:$G,MATCH($A9,Data_metier!$B:$B,0))="Oui, en amont OU aval"),
0.5,
IF(AND(INDEX(Data_metier!$G:$G,MATCH(T$1,Data_metier!$B:$B,0))="Non",
INDEX(Data_metier!$G:$G,MATCH($A9,Data_metier!$B:$B,0))="Oui, en amont ET aval"),
1,
IF(AND(INDEX(Data_metier!$G:$G,MATCH(T$1,Data_metier!$B:$B,0))="Oui, en amont OU aval",
INDEX(Data_metier!$G:$G,MATCH($A9,Data_metier!$B:$B,0))="Oui, en amont ET aval"),
0.5,
0))))</f>
        <v>0</v>
      </c>
      <c r="U9">
        <f>IF(DE_ress_transv!U9=-1,-1,
DE_ress_transv!U9+IF(AND(INDEX(Data_metier!$G:$G,MATCH(U$1,Data_metier!$B:$B,0))="Non",
INDEX(Data_metier!$G:$G,MATCH($A9,Data_metier!$B:$B,0))="Oui, en amont OU aval"),
0.5,
IF(AND(INDEX(Data_metier!$G:$G,MATCH(U$1,Data_metier!$B:$B,0))="Non",
INDEX(Data_metier!$G:$G,MATCH($A9,Data_metier!$B:$B,0))="Oui, en amont ET aval"),
1,
IF(AND(INDEX(Data_metier!$G:$G,MATCH(U$1,Data_metier!$B:$B,0))="Oui, en amont OU aval",
INDEX(Data_metier!$G:$G,MATCH($A9,Data_metier!$B:$B,0))="Oui, en amont ET aval"),
0.5,
0))))</f>
        <v>0</v>
      </c>
      <c r="V9">
        <f>IF(DE_ress_transv!V9=-1,-1,
DE_ress_transv!V9+IF(AND(INDEX(Data_metier!$G:$G,MATCH(V$1,Data_metier!$B:$B,0))="Non",
INDEX(Data_metier!$G:$G,MATCH($A9,Data_metier!$B:$B,0))="Oui, en amont OU aval"),
0.5,
IF(AND(INDEX(Data_metier!$G:$G,MATCH(V$1,Data_metier!$B:$B,0))="Non",
INDEX(Data_metier!$G:$G,MATCH($A9,Data_metier!$B:$B,0))="Oui, en amont ET aval"),
1,
IF(AND(INDEX(Data_metier!$G:$G,MATCH(V$1,Data_metier!$B:$B,0))="Oui, en amont OU aval",
INDEX(Data_metier!$G:$G,MATCH($A9,Data_metier!$B:$B,0))="Oui, en amont ET aval"),
0.5,
0))))</f>
        <v>-1</v>
      </c>
      <c r="W9">
        <f>IF(DE_ress_transv!W9=-1,-1,
DE_ress_transv!W9+IF(AND(INDEX(Data_metier!$G:$G,MATCH(W$1,Data_metier!$B:$B,0))="Non",
INDEX(Data_metier!$G:$G,MATCH($A9,Data_metier!$B:$B,0))="Oui, en amont OU aval"),
0.5,
IF(AND(INDEX(Data_metier!$G:$G,MATCH(W$1,Data_metier!$B:$B,0))="Non",
INDEX(Data_metier!$G:$G,MATCH($A9,Data_metier!$B:$B,0))="Oui, en amont ET aval"),
1,
IF(AND(INDEX(Data_metier!$G:$G,MATCH(W$1,Data_metier!$B:$B,0))="Oui, en amont OU aval",
INDEX(Data_metier!$G:$G,MATCH($A9,Data_metier!$B:$B,0))="Oui, en amont ET aval"),
0.5,
0))))</f>
        <v>-1</v>
      </c>
      <c r="X9">
        <f>IF(DE_ress_transv!X9=-1,-1,
DE_ress_transv!X9+IF(AND(INDEX(Data_metier!$G:$G,MATCH(X$1,Data_metier!$B:$B,0))="Non",
INDEX(Data_metier!$G:$G,MATCH($A9,Data_metier!$B:$B,0))="Oui, en amont OU aval"),
0.5,
IF(AND(INDEX(Data_metier!$G:$G,MATCH(X$1,Data_metier!$B:$B,0))="Non",
INDEX(Data_metier!$G:$G,MATCH($A9,Data_metier!$B:$B,0))="Oui, en amont ET aval"),
1,
IF(AND(INDEX(Data_metier!$G:$G,MATCH(X$1,Data_metier!$B:$B,0))="Oui, en amont OU aval",
INDEX(Data_metier!$G:$G,MATCH($A9,Data_metier!$B:$B,0))="Oui, en amont ET aval"),
0.5,
0))))</f>
        <v>-1</v>
      </c>
      <c r="Y9">
        <f>IF(DE_ress_transv!Y9=-1,-1,
DE_ress_transv!Y9+IF(AND(INDEX(Data_metier!$G:$G,MATCH(Y$1,Data_metier!$B:$B,0))="Non",
INDEX(Data_metier!$G:$G,MATCH($A9,Data_metier!$B:$B,0))="Oui, en amont OU aval"),
0.5,
IF(AND(INDEX(Data_metier!$G:$G,MATCH(Y$1,Data_metier!$B:$B,0))="Non",
INDEX(Data_metier!$G:$G,MATCH($A9,Data_metier!$B:$B,0))="Oui, en amont ET aval"),
1,
IF(AND(INDEX(Data_metier!$G:$G,MATCH(Y$1,Data_metier!$B:$B,0))="Oui, en amont OU aval",
INDEX(Data_metier!$G:$G,MATCH($A9,Data_metier!$B:$B,0))="Oui, en amont ET aval"),
0.5,
0))))</f>
        <v>0</v>
      </c>
      <c r="Z9">
        <f>IF(DE_ress_transv!Z9=-1,-1,
DE_ress_transv!Z9+IF(AND(INDEX(Data_metier!$G:$G,MATCH(Z$1,Data_metier!$B:$B,0))="Non",
INDEX(Data_metier!$G:$G,MATCH($A9,Data_metier!$B:$B,0))="Oui, en amont OU aval"),
0.5,
IF(AND(INDEX(Data_metier!$G:$G,MATCH(Z$1,Data_metier!$B:$B,0))="Non",
INDEX(Data_metier!$G:$G,MATCH($A9,Data_metier!$B:$B,0))="Oui, en amont ET aval"),
1,
IF(AND(INDEX(Data_metier!$G:$G,MATCH(Z$1,Data_metier!$B:$B,0))="Oui, en amont OU aval",
INDEX(Data_metier!$G:$G,MATCH($A9,Data_metier!$B:$B,0))="Oui, en amont ET aval"),
0.5,
0))))</f>
        <v>0</v>
      </c>
      <c r="AA9">
        <f>IF(DE_ress_transv!AA9=-1,-1,
DE_ress_transv!AA9+IF(AND(INDEX(Data_metier!$G:$G,MATCH(AA$1,Data_metier!$B:$B,0))="Non",
INDEX(Data_metier!$G:$G,MATCH($A9,Data_metier!$B:$B,0))="Oui, en amont OU aval"),
0.5,
IF(AND(INDEX(Data_metier!$G:$G,MATCH(AA$1,Data_metier!$B:$B,0))="Non",
INDEX(Data_metier!$G:$G,MATCH($A9,Data_metier!$B:$B,0))="Oui, en amont ET aval"),
1,
IF(AND(INDEX(Data_metier!$G:$G,MATCH(AA$1,Data_metier!$B:$B,0))="Oui, en amont OU aval",
INDEX(Data_metier!$G:$G,MATCH($A9,Data_metier!$B:$B,0))="Oui, en amont ET aval"),
0.5,
0))))</f>
        <v>0</v>
      </c>
      <c r="AB9">
        <f>IF(DE_ress_transv!AB9=-1,-1,
DE_ress_transv!AB9+IF(AND(INDEX(Data_metier!$G:$G,MATCH(AB$1,Data_metier!$B:$B,0))="Non",
INDEX(Data_metier!$G:$G,MATCH($A9,Data_metier!$B:$B,0))="Oui, en amont OU aval"),
0.5,
IF(AND(INDEX(Data_metier!$G:$G,MATCH(AB$1,Data_metier!$B:$B,0))="Non",
INDEX(Data_metier!$G:$G,MATCH($A9,Data_metier!$B:$B,0))="Oui, en amont ET aval"),
1,
IF(AND(INDEX(Data_metier!$G:$G,MATCH(AB$1,Data_metier!$B:$B,0))="Oui, en amont OU aval",
INDEX(Data_metier!$G:$G,MATCH($A9,Data_metier!$B:$B,0))="Oui, en amont ET aval"),
0.5,
0))))</f>
        <v>-1</v>
      </c>
      <c r="AC9">
        <f>IF(DE_ress_transv!AC9=-1,-1,
DE_ress_transv!AC9+IF(AND(INDEX(Data_metier!$G:$G,MATCH(AC$1,Data_metier!$B:$B,0))="Non",
INDEX(Data_metier!$G:$G,MATCH($A9,Data_metier!$B:$B,0))="Oui, en amont OU aval"),
0.5,
IF(AND(INDEX(Data_metier!$G:$G,MATCH(AC$1,Data_metier!$B:$B,0))="Non",
INDEX(Data_metier!$G:$G,MATCH($A9,Data_metier!$B:$B,0))="Oui, en amont ET aval"),
1,
IF(AND(INDEX(Data_metier!$G:$G,MATCH(AC$1,Data_metier!$B:$B,0))="Oui, en amont OU aval",
INDEX(Data_metier!$G:$G,MATCH($A9,Data_metier!$B:$B,0))="Oui, en amont ET aval"),
0.5,
0))))</f>
        <v>-1</v>
      </c>
      <c r="AD9">
        <f>IF(DE_ress_transv!AD9=-1,-1,
DE_ress_transv!AD9+IF(AND(INDEX(Data_metier!$G:$G,MATCH(AD$1,Data_metier!$B:$B,0))="Non",
INDEX(Data_metier!$G:$G,MATCH($A9,Data_metier!$B:$B,0))="Oui, en amont OU aval"),
0.5,
IF(AND(INDEX(Data_metier!$G:$G,MATCH(AD$1,Data_metier!$B:$B,0))="Non",
INDEX(Data_metier!$G:$G,MATCH($A9,Data_metier!$B:$B,0))="Oui, en amont ET aval"),
1,
IF(AND(INDEX(Data_metier!$G:$G,MATCH(AD$1,Data_metier!$B:$B,0))="Oui, en amont OU aval",
INDEX(Data_metier!$G:$G,MATCH($A9,Data_metier!$B:$B,0))="Oui, en amont ET aval"),
0.5,
0))))</f>
        <v>-1</v>
      </c>
    </row>
    <row r="10" spans="1:30">
      <c r="A10" s="55" t="str">
        <v>Logisticien(ne) approvisionneur(se)</v>
      </c>
      <c r="B10">
        <f>IF(DE_ress_transv!B10=-1,-1,
DE_ress_transv!B10+IF(AND(INDEX(Data_metier!$G:$G,MATCH(B$1,Data_metier!$B:$B,0))="Non",
INDEX(Data_metier!$G:$G,MATCH($A10,Data_metier!$B:$B,0))="Oui, en amont OU aval"),
0.5,
IF(AND(INDEX(Data_metier!$G:$G,MATCH(B$1,Data_metier!$B:$B,0))="Non",
INDEX(Data_metier!$G:$G,MATCH($A10,Data_metier!$B:$B,0))="Oui, en amont ET aval"),
1,
IF(AND(INDEX(Data_metier!$G:$G,MATCH(B$1,Data_metier!$B:$B,0))="Oui, en amont OU aval",
INDEX(Data_metier!$G:$G,MATCH($A10,Data_metier!$B:$B,0))="Oui, en amont ET aval"),
0.5,
0))))</f>
        <v>2.4999999999999996</v>
      </c>
      <c r="C10">
        <f>IF(DE_ress_transv!C10=-1,-1,
DE_ress_transv!C10+IF(AND(INDEX(Data_metier!$G:$G,MATCH(C$1,Data_metier!$B:$B,0))="Non",
INDEX(Data_metier!$G:$G,MATCH($A10,Data_metier!$B:$B,0))="Oui, en amont OU aval"),
0.5,
IF(AND(INDEX(Data_metier!$G:$G,MATCH(C$1,Data_metier!$B:$B,0))="Non",
INDEX(Data_metier!$G:$G,MATCH($A10,Data_metier!$B:$B,0))="Oui, en amont ET aval"),
1,
IF(AND(INDEX(Data_metier!$G:$G,MATCH(C$1,Data_metier!$B:$B,0))="Oui, en amont OU aval",
INDEX(Data_metier!$G:$G,MATCH($A10,Data_metier!$B:$B,0))="Oui, en amont ET aval"),
0.5,
0))))</f>
        <v>2.833333333333333</v>
      </c>
      <c r="D10">
        <f>IF(DE_ress_transv!D10=-1,-1,
DE_ress_transv!D10+IF(AND(INDEX(Data_metier!$G:$G,MATCH(D$1,Data_metier!$B:$B,0))="Non",
INDEX(Data_metier!$G:$G,MATCH($A10,Data_metier!$B:$B,0))="Oui, en amont OU aval"),
0.5,
IF(AND(INDEX(Data_metier!$G:$G,MATCH(D$1,Data_metier!$B:$B,0))="Non",
INDEX(Data_metier!$G:$G,MATCH($A10,Data_metier!$B:$B,0))="Oui, en amont ET aval"),
1,
IF(AND(INDEX(Data_metier!$G:$G,MATCH(D$1,Data_metier!$B:$B,0))="Oui, en amont OU aval",
INDEX(Data_metier!$G:$G,MATCH($A10,Data_metier!$B:$B,0))="Oui, en amont ET aval"),
0.5,
0))))</f>
        <v>2.9999999999999996</v>
      </c>
      <c r="E10">
        <f>IF(DE_ress_transv!E10=-1,-1,
DE_ress_transv!E10+IF(AND(INDEX(Data_metier!$G:$G,MATCH(E$1,Data_metier!$B:$B,0))="Non",
INDEX(Data_metier!$G:$G,MATCH($A10,Data_metier!$B:$B,0))="Oui, en amont OU aval"),
0.5,
IF(AND(INDEX(Data_metier!$G:$G,MATCH(E$1,Data_metier!$B:$B,0))="Non",
INDEX(Data_metier!$G:$G,MATCH($A10,Data_metier!$B:$B,0))="Oui, en amont ET aval"),
1,
IF(AND(INDEX(Data_metier!$G:$G,MATCH(E$1,Data_metier!$B:$B,0))="Oui, en amont OU aval",
INDEX(Data_metier!$G:$G,MATCH($A10,Data_metier!$B:$B,0))="Oui, en amont ET aval"),
0.5,
0))))</f>
        <v>0</v>
      </c>
      <c r="F10">
        <f>IF(DE_ress_transv!F10=-1,-1,
DE_ress_transv!F10+IF(AND(INDEX(Data_metier!$G:$G,MATCH(F$1,Data_metier!$B:$B,0))="Non",
INDEX(Data_metier!$G:$G,MATCH($A10,Data_metier!$B:$B,0))="Oui, en amont OU aval"),
0.5,
IF(AND(INDEX(Data_metier!$G:$G,MATCH(F$1,Data_metier!$B:$B,0))="Non",
INDEX(Data_metier!$G:$G,MATCH($A10,Data_metier!$B:$B,0))="Oui, en amont ET aval"),
1,
IF(AND(INDEX(Data_metier!$G:$G,MATCH(F$1,Data_metier!$B:$B,0))="Oui, en amont OU aval",
INDEX(Data_metier!$G:$G,MATCH($A10,Data_metier!$B:$B,0))="Oui, en amont ET aval"),
0.5,
0))))</f>
        <v>-1</v>
      </c>
      <c r="G10">
        <f>IF(DE_ress_transv!G10=-1,-1,
DE_ress_transv!G10+IF(AND(INDEX(Data_metier!$G:$G,MATCH(G$1,Data_metier!$B:$B,0))="Non",
INDEX(Data_metier!$G:$G,MATCH($A10,Data_metier!$B:$B,0))="Oui, en amont OU aval"),
0.5,
IF(AND(INDEX(Data_metier!$G:$G,MATCH(G$1,Data_metier!$B:$B,0))="Non",
INDEX(Data_metier!$G:$G,MATCH($A10,Data_metier!$B:$B,0))="Oui, en amont ET aval"),
1,
IF(AND(INDEX(Data_metier!$G:$G,MATCH(G$1,Data_metier!$B:$B,0))="Oui, en amont OU aval",
INDEX(Data_metier!$G:$G,MATCH($A10,Data_metier!$B:$B,0))="Oui, en amont ET aval"),
0.5,
0))))</f>
        <v>-1</v>
      </c>
      <c r="H10">
        <f>IF(DE_ress_transv!H10=-1,-1,
DE_ress_transv!H10+IF(AND(INDEX(Data_metier!$G:$G,MATCH(H$1,Data_metier!$B:$B,0))="Non",
INDEX(Data_metier!$G:$G,MATCH($A10,Data_metier!$B:$B,0))="Oui, en amont OU aval"),
0.5,
IF(AND(INDEX(Data_metier!$G:$G,MATCH(H$1,Data_metier!$B:$B,0))="Non",
INDEX(Data_metier!$G:$G,MATCH($A10,Data_metier!$B:$B,0))="Oui, en amont ET aval"),
1,
IF(AND(INDEX(Data_metier!$G:$G,MATCH(H$1,Data_metier!$B:$B,0))="Oui, en amont OU aval",
INDEX(Data_metier!$G:$G,MATCH($A10,Data_metier!$B:$B,0))="Oui, en amont ET aval"),
0.5,
0))))</f>
        <v>-1</v>
      </c>
      <c r="I10">
        <f>IF(DE_ress_transv!I10=-1,-1,
DE_ress_transv!I10+IF(AND(INDEX(Data_metier!$G:$G,MATCH(I$1,Data_metier!$B:$B,0))="Non",
INDEX(Data_metier!$G:$G,MATCH($A10,Data_metier!$B:$B,0))="Oui, en amont OU aval"),
0.5,
IF(AND(INDEX(Data_metier!$G:$G,MATCH(I$1,Data_metier!$B:$B,0))="Non",
INDEX(Data_metier!$G:$G,MATCH($A10,Data_metier!$B:$B,0))="Oui, en amont ET aval"),
1,
IF(AND(INDEX(Data_metier!$G:$G,MATCH(I$1,Data_metier!$B:$B,0))="Oui, en amont OU aval",
INDEX(Data_metier!$G:$G,MATCH($A10,Data_metier!$B:$B,0))="Oui, en amont ET aval"),
0.5,
0))))</f>
        <v>2.9999999999999996</v>
      </c>
      <c r="J10">
        <f>IF(DE_ress_transv!J10=-1,-1,
DE_ress_transv!J10+IF(AND(INDEX(Data_metier!$G:$G,MATCH(J$1,Data_metier!$B:$B,0))="Non",
INDEX(Data_metier!$G:$G,MATCH($A10,Data_metier!$B:$B,0))="Oui, en amont OU aval"),
0.5,
IF(AND(INDEX(Data_metier!$G:$G,MATCH(J$1,Data_metier!$B:$B,0))="Non",
INDEX(Data_metier!$G:$G,MATCH($A10,Data_metier!$B:$B,0))="Oui, en amont ET aval"),
1,
IF(AND(INDEX(Data_metier!$G:$G,MATCH(J$1,Data_metier!$B:$B,0))="Oui, en amont OU aval",
INDEX(Data_metier!$G:$G,MATCH($A10,Data_metier!$B:$B,0))="Oui, en amont ET aval"),
0.5,
0))))</f>
        <v>0</v>
      </c>
      <c r="K10">
        <f>IF(DE_ress_transv!K10=-1,-1,
DE_ress_transv!K10+IF(AND(INDEX(Data_metier!$G:$G,MATCH(K$1,Data_metier!$B:$B,0))="Non",
INDEX(Data_metier!$G:$G,MATCH($A10,Data_metier!$B:$B,0))="Oui, en amont OU aval"),
0.5,
IF(AND(INDEX(Data_metier!$G:$G,MATCH(K$1,Data_metier!$B:$B,0))="Non",
INDEX(Data_metier!$G:$G,MATCH($A10,Data_metier!$B:$B,0))="Oui, en amont ET aval"),
1,
IF(AND(INDEX(Data_metier!$G:$G,MATCH(K$1,Data_metier!$B:$B,0))="Oui, en amont OU aval",
INDEX(Data_metier!$G:$G,MATCH($A10,Data_metier!$B:$B,0))="Oui, en amont ET aval"),
0.5,
0))))</f>
        <v>-1</v>
      </c>
      <c r="L10">
        <f>IF(DE_ress_transv!L10=-1,-1,
DE_ress_transv!L10+IF(AND(INDEX(Data_metier!$G:$G,MATCH(L$1,Data_metier!$B:$B,0))="Non",
INDEX(Data_metier!$G:$G,MATCH($A10,Data_metier!$B:$B,0))="Oui, en amont OU aval"),
0.5,
IF(AND(INDEX(Data_metier!$G:$G,MATCH(L$1,Data_metier!$B:$B,0))="Non",
INDEX(Data_metier!$G:$G,MATCH($A10,Data_metier!$B:$B,0))="Oui, en amont ET aval"),
1,
IF(AND(INDEX(Data_metier!$G:$G,MATCH(L$1,Data_metier!$B:$B,0))="Oui, en amont OU aval",
INDEX(Data_metier!$G:$G,MATCH($A10,Data_metier!$B:$B,0))="Oui, en amont ET aval"),
0.5,
0))))</f>
        <v>2.6666666666666665</v>
      </c>
      <c r="M10">
        <f>IF(DE_ress_transv!M10=-1,-1,
DE_ress_transv!M10+IF(AND(INDEX(Data_metier!$G:$G,MATCH(M$1,Data_metier!$B:$B,0))="Non",
INDEX(Data_metier!$G:$G,MATCH($A10,Data_metier!$B:$B,0))="Oui, en amont OU aval"),
0.5,
IF(AND(INDEX(Data_metier!$G:$G,MATCH(M$1,Data_metier!$B:$B,0))="Non",
INDEX(Data_metier!$G:$G,MATCH($A10,Data_metier!$B:$B,0))="Oui, en amont ET aval"),
1,
IF(AND(INDEX(Data_metier!$G:$G,MATCH(M$1,Data_metier!$B:$B,0))="Oui, en amont OU aval",
INDEX(Data_metier!$G:$G,MATCH($A10,Data_metier!$B:$B,0))="Oui, en amont ET aval"),
0.5,
0))))</f>
        <v>2.833333333333333</v>
      </c>
      <c r="N10">
        <f>IF(DE_ress_transv!N10=-1,-1,
DE_ress_transv!N10+IF(AND(INDEX(Data_metier!$G:$G,MATCH(N$1,Data_metier!$B:$B,0))="Non",
INDEX(Data_metier!$G:$G,MATCH($A10,Data_metier!$B:$B,0))="Oui, en amont OU aval"),
0.5,
IF(AND(INDEX(Data_metier!$G:$G,MATCH(N$1,Data_metier!$B:$B,0))="Non",
INDEX(Data_metier!$G:$G,MATCH($A10,Data_metier!$B:$B,0))="Oui, en amont ET aval"),
1,
IF(AND(INDEX(Data_metier!$G:$G,MATCH(N$1,Data_metier!$B:$B,0))="Oui, en amont OU aval",
INDEX(Data_metier!$G:$G,MATCH($A10,Data_metier!$B:$B,0))="Oui, en amont ET aval"),
0.5,
0))))</f>
        <v>1</v>
      </c>
      <c r="O10">
        <f>IF(DE_ress_transv!O10=-1,-1,
DE_ress_transv!O10+IF(AND(INDEX(Data_metier!$G:$G,MATCH(O$1,Data_metier!$B:$B,0))="Non",
INDEX(Data_metier!$G:$G,MATCH($A10,Data_metier!$B:$B,0))="Oui, en amont OU aval"),
0.5,
IF(AND(INDEX(Data_metier!$G:$G,MATCH(O$1,Data_metier!$B:$B,0))="Non",
INDEX(Data_metier!$G:$G,MATCH($A10,Data_metier!$B:$B,0))="Oui, en amont ET aval"),
1,
IF(AND(INDEX(Data_metier!$G:$G,MATCH(O$1,Data_metier!$B:$B,0))="Oui, en amont OU aval",
INDEX(Data_metier!$G:$G,MATCH($A10,Data_metier!$B:$B,0))="Oui, en amont ET aval"),
0.5,
0))))</f>
        <v>2.6666666666666665</v>
      </c>
      <c r="P10">
        <f>IF(DE_ress_transv!P10=-1,-1,
DE_ress_transv!P10+IF(AND(INDEX(Data_metier!$G:$G,MATCH(P$1,Data_metier!$B:$B,0))="Non",
INDEX(Data_metier!$G:$G,MATCH($A10,Data_metier!$B:$B,0))="Oui, en amont OU aval"),
0.5,
IF(AND(INDEX(Data_metier!$G:$G,MATCH(P$1,Data_metier!$B:$B,0))="Non",
INDEX(Data_metier!$G:$G,MATCH($A10,Data_metier!$B:$B,0))="Oui, en amont ET aval"),
1,
IF(AND(INDEX(Data_metier!$G:$G,MATCH(P$1,Data_metier!$B:$B,0))="Oui, en amont OU aval",
INDEX(Data_metier!$G:$G,MATCH($A10,Data_metier!$B:$B,0))="Oui, en amont ET aval"),
0.5,
0))))</f>
        <v>2.9999999999999996</v>
      </c>
      <c r="Q10">
        <f>IF(DE_ress_transv!Q10=-1,-1,
DE_ress_transv!Q10+IF(AND(INDEX(Data_metier!$G:$G,MATCH(Q$1,Data_metier!$B:$B,0))="Non",
INDEX(Data_metier!$G:$G,MATCH($A10,Data_metier!$B:$B,0))="Oui, en amont OU aval"),
0.5,
IF(AND(INDEX(Data_metier!$G:$G,MATCH(Q$1,Data_metier!$B:$B,0))="Non",
INDEX(Data_metier!$G:$G,MATCH($A10,Data_metier!$B:$B,0))="Oui, en amont ET aval"),
1,
IF(AND(INDEX(Data_metier!$G:$G,MATCH(Q$1,Data_metier!$B:$B,0))="Oui, en amont OU aval",
INDEX(Data_metier!$G:$G,MATCH($A10,Data_metier!$B:$B,0))="Oui, en amont ET aval"),
0.5,
0))))</f>
        <v>0</v>
      </c>
      <c r="R10">
        <f>IF(DE_ress_transv!R10=-1,-1,
DE_ress_transv!R10+IF(AND(INDEX(Data_metier!$G:$G,MATCH(R$1,Data_metier!$B:$B,0))="Non",
INDEX(Data_metier!$G:$G,MATCH($A10,Data_metier!$B:$B,0))="Oui, en amont OU aval"),
0.5,
IF(AND(INDEX(Data_metier!$G:$G,MATCH(R$1,Data_metier!$B:$B,0))="Non",
INDEX(Data_metier!$G:$G,MATCH($A10,Data_metier!$B:$B,0))="Oui, en amont ET aval"),
1,
IF(AND(INDEX(Data_metier!$G:$G,MATCH(R$1,Data_metier!$B:$B,0))="Oui, en amont OU aval",
INDEX(Data_metier!$G:$G,MATCH($A10,Data_metier!$B:$B,0))="Oui, en amont ET aval"),
0.5,
0))))</f>
        <v>-1</v>
      </c>
      <c r="S10">
        <f>IF(DE_ress_transv!S10=-1,-1,
DE_ress_transv!S10+IF(AND(INDEX(Data_metier!$G:$G,MATCH(S$1,Data_metier!$B:$B,0))="Non",
INDEX(Data_metier!$G:$G,MATCH($A10,Data_metier!$B:$B,0))="Oui, en amont OU aval"),
0.5,
IF(AND(INDEX(Data_metier!$G:$G,MATCH(S$1,Data_metier!$B:$B,0))="Non",
INDEX(Data_metier!$G:$G,MATCH($A10,Data_metier!$B:$B,0))="Oui, en amont ET aval"),
1,
IF(AND(INDEX(Data_metier!$G:$G,MATCH(S$1,Data_metier!$B:$B,0))="Oui, en amont OU aval",
INDEX(Data_metier!$G:$G,MATCH($A10,Data_metier!$B:$B,0))="Oui, en amont ET aval"),
0.5,
0))))</f>
        <v>2.9999999999999996</v>
      </c>
      <c r="T10">
        <f>IF(DE_ress_transv!T10=-1,-1,
DE_ress_transv!T10+IF(AND(INDEX(Data_metier!$G:$G,MATCH(T$1,Data_metier!$B:$B,0))="Non",
INDEX(Data_metier!$G:$G,MATCH($A10,Data_metier!$B:$B,0))="Oui, en amont OU aval"),
0.5,
IF(AND(INDEX(Data_metier!$G:$G,MATCH(T$1,Data_metier!$B:$B,0))="Non",
INDEX(Data_metier!$G:$G,MATCH($A10,Data_metier!$B:$B,0))="Oui, en amont ET aval"),
1,
IF(AND(INDEX(Data_metier!$G:$G,MATCH(T$1,Data_metier!$B:$B,0))="Oui, en amont OU aval",
INDEX(Data_metier!$G:$G,MATCH($A10,Data_metier!$B:$B,0))="Oui, en amont ET aval"),
0.5,
0))))</f>
        <v>2.9999999999999996</v>
      </c>
      <c r="U10">
        <f>IF(DE_ress_transv!U10=-1,-1,
DE_ress_transv!U10+IF(AND(INDEX(Data_metier!$G:$G,MATCH(U$1,Data_metier!$B:$B,0))="Non",
INDEX(Data_metier!$G:$G,MATCH($A10,Data_metier!$B:$B,0))="Oui, en amont OU aval"),
0.5,
IF(AND(INDEX(Data_metier!$G:$G,MATCH(U$1,Data_metier!$B:$B,0))="Non",
INDEX(Data_metier!$G:$G,MATCH($A10,Data_metier!$B:$B,0))="Oui, en amont ET aval"),
1,
IF(AND(INDEX(Data_metier!$G:$G,MATCH(U$1,Data_metier!$B:$B,0))="Oui, en amont OU aval",
INDEX(Data_metier!$G:$G,MATCH($A10,Data_metier!$B:$B,0))="Oui, en amont ET aval"),
0.5,
0))))</f>
        <v>2.9999999999999996</v>
      </c>
      <c r="V10">
        <f>IF(DE_ress_transv!V10=-1,-1,
DE_ress_transv!V10+IF(AND(INDEX(Data_metier!$G:$G,MATCH(V$1,Data_metier!$B:$B,0))="Non",
INDEX(Data_metier!$G:$G,MATCH($A10,Data_metier!$B:$B,0))="Oui, en amont OU aval"),
0.5,
IF(AND(INDEX(Data_metier!$G:$G,MATCH(V$1,Data_metier!$B:$B,0))="Non",
INDEX(Data_metier!$G:$G,MATCH($A10,Data_metier!$B:$B,0))="Oui, en amont ET aval"),
1,
IF(AND(INDEX(Data_metier!$G:$G,MATCH(V$1,Data_metier!$B:$B,0))="Oui, en amont OU aval",
INDEX(Data_metier!$G:$G,MATCH($A10,Data_metier!$B:$B,0))="Oui, en amont ET aval"),
0.5,
0))))</f>
        <v>2.1666666666666665</v>
      </c>
      <c r="W10">
        <f>IF(DE_ress_transv!W10=-1,-1,
DE_ress_transv!W10+IF(AND(INDEX(Data_metier!$G:$G,MATCH(W$1,Data_metier!$B:$B,0))="Non",
INDEX(Data_metier!$G:$G,MATCH($A10,Data_metier!$B:$B,0))="Oui, en amont OU aval"),
0.5,
IF(AND(INDEX(Data_metier!$G:$G,MATCH(W$1,Data_metier!$B:$B,0))="Non",
INDEX(Data_metier!$G:$G,MATCH($A10,Data_metier!$B:$B,0))="Oui, en amont ET aval"),
1,
IF(AND(INDEX(Data_metier!$G:$G,MATCH(W$1,Data_metier!$B:$B,0))="Oui, en amont OU aval",
INDEX(Data_metier!$G:$G,MATCH($A10,Data_metier!$B:$B,0))="Oui, en amont ET aval"),
0.5,
0))))</f>
        <v>2.1666666666666665</v>
      </c>
      <c r="X10">
        <f>IF(DE_ress_transv!X10=-1,-1,
DE_ress_transv!X10+IF(AND(INDEX(Data_metier!$G:$G,MATCH(X$1,Data_metier!$B:$B,0))="Non",
INDEX(Data_metier!$G:$G,MATCH($A10,Data_metier!$B:$B,0))="Oui, en amont OU aval"),
0.5,
IF(AND(INDEX(Data_metier!$G:$G,MATCH(X$1,Data_metier!$B:$B,0))="Non",
INDEX(Data_metier!$G:$G,MATCH($A10,Data_metier!$B:$B,0))="Oui, en amont ET aval"),
1,
IF(AND(INDEX(Data_metier!$G:$G,MATCH(X$1,Data_metier!$B:$B,0))="Oui, en amont OU aval",
INDEX(Data_metier!$G:$G,MATCH($A10,Data_metier!$B:$B,0))="Oui, en amont ET aval"),
0.5,
0))))</f>
        <v>-1</v>
      </c>
      <c r="Y10">
        <f>IF(DE_ress_transv!Y10=-1,-1,
DE_ress_transv!Y10+IF(AND(INDEX(Data_metier!$G:$G,MATCH(Y$1,Data_metier!$B:$B,0))="Non",
INDEX(Data_metier!$G:$G,MATCH($A10,Data_metier!$B:$B,0))="Oui, en amont OU aval"),
0.5,
IF(AND(INDEX(Data_metier!$G:$G,MATCH(Y$1,Data_metier!$B:$B,0))="Non",
INDEX(Data_metier!$G:$G,MATCH($A10,Data_metier!$B:$B,0))="Oui, en amont ET aval"),
1,
IF(AND(INDEX(Data_metier!$G:$G,MATCH(Y$1,Data_metier!$B:$B,0))="Oui, en amont OU aval",
INDEX(Data_metier!$G:$G,MATCH($A10,Data_metier!$B:$B,0))="Oui, en amont ET aval"),
0.5,
0))))</f>
        <v>2.9999999999999996</v>
      </c>
      <c r="Z10">
        <f>IF(DE_ress_transv!Z10=-1,-1,
DE_ress_transv!Z10+IF(AND(INDEX(Data_metier!$G:$G,MATCH(Z$1,Data_metier!$B:$B,0))="Non",
INDEX(Data_metier!$G:$G,MATCH($A10,Data_metier!$B:$B,0))="Oui, en amont OU aval"),
0.5,
IF(AND(INDEX(Data_metier!$G:$G,MATCH(Z$1,Data_metier!$B:$B,0))="Non",
INDEX(Data_metier!$G:$G,MATCH($A10,Data_metier!$B:$B,0))="Oui, en amont ET aval"),
1,
IF(AND(INDEX(Data_metier!$G:$G,MATCH(Z$1,Data_metier!$B:$B,0))="Oui, en amont OU aval",
INDEX(Data_metier!$G:$G,MATCH($A10,Data_metier!$B:$B,0))="Oui, en amont ET aval"),
0.5,
0))))</f>
        <v>2.9999999999999996</v>
      </c>
      <c r="AA10">
        <f>IF(DE_ress_transv!AA10=-1,-1,
DE_ress_transv!AA10+IF(AND(INDEX(Data_metier!$G:$G,MATCH(AA$1,Data_metier!$B:$B,0))="Non",
INDEX(Data_metier!$G:$G,MATCH($A10,Data_metier!$B:$B,0))="Oui, en amont OU aval"),
0.5,
IF(AND(INDEX(Data_metier!$G:$G,MATCH(AA$1,Data_metier!$B:$B,0))="Non",
INDEX(Data_metier!$G:$G,MATCH($A10,Data_metier!$B:$B,0))="Oui, en amont ET aval"),
1,
IF(AND(INDEX(Data_metier!$G:$G,MATCH(AA$1,Data_metier!$B:$B,0))="Oui, en amont OU aval",
INDEX(Data_metier!$G:$G,MATCH($A10,Data_metier!$B:$B,0))="Oui, en amont ET aval"),
0.5,
0))))</f>
        <v>2.9999999999999996</v>
      </c>
      <c r="AB10">
        <f>IF(DE_ress_transv!AB10=-1,-1,
DE_ress_transv!AB10+IF(AND(INDEX(Data_metier!$G:$G,MATCH(AB$1,Data_metier!$B:$B,0))="Non",
INDEX(Data_metier!$G:$G,MATCH($A10,Data_metier!$B:$B,0))="Oui, en amont OU aval"),
0.5,
IF(AND(INDEX(Data_metier!$G:$G,MATCH(AB$1,Data_metier!$B:$B,0))="Non",
INDEX(Data_metier!$G:$G,MATCH($A10,Data_metier!$B:$B,0))="Oui, en amont ET aval"),
1,
IF(AND(INDEX(Data_metier!$G:$G,MATCH(AB$1,Data_metier!$B:$B,0))="Oui, en amont OU aval",
INDEX(Data_metier!$G:$G,MATCH($A10,Data_metier!$B:$B,0))="Oui, en amont ET aval"),
0.5,
0))))</f>
        <v>2.333333333333333</v>
      </c>
      <c r="AC10">
        <f>IF(DE_ress_transv!AC10=-1,-1,
DE_ress_transv!AC10+IF(AND(INDEX(Data_metier!$G:$G,MATCH(AC$1,Data_metier!$B:$B,0))="Non",
INDEX(Data_metier!$G:$G,MATCH($A10,Data_metier!$B:$B,0))="Oui, en amont OU aval"),
0.5,
IF(AND(INDEX(Data_metier!$G:$G,MATCH(AC$1,Data_metier!$B:$B,0))="Non",
INDEX(Data_metier!$G:$G,MATCH($A10,Data_metier!$B:$B,0))="Oui, en amont ET aval"),
1,
IF(AND(INDEX(Data_metier!$G:$G,MATCH(AC$1,Data_metier!$B:$B,0))="Oui, en amont OU aval",
INDEX(Data_metier!$G:$G,MATCH($A10,Data_metier!$B:$B,0))="Oui, en amont ET aval"),
0.5,
0))))</f>
        <v>2.333333333333333</v>
      </c>
      <c r="AD10">
        <f>IF(DE_ress_transv!AD10=-1,-1,
DE_ress_transv!AD10+IF(AND(INDEX(Data_metier!$G:$G,MATCH(AD$1,Data_metier!$B:$B,0))="Non",
INDEX(Data_metier!$G:$G,MATCH($A10,Data_metier!$B:$B,0))="Oui, en amont OU aval"),
0.5,
IF(AND(INDEX(Data_metier!$G:$G,MATCH(AD$1,Data_metier!$B:$B,0))="Non",
INDEX(Data_metier!$G:$G,MATCH($A10,Data_metier!$B:$B,0))="Oui, en amont ET aval"),
1,
IF(AND(INDEX(Data_metier!$G:$G,MATCH(AD$1,Data_metier!$B:$B,0))="Oui, en amont OU aval",
INDEX(Data_metier!$G:$G,MATCH($A10,Data_metier!$B:$B,0))="Oui, en amont ET aval"),
0.5,
0))))</f>
        <v>1.3333333333333335</v>
      </c>
    </row>
    <row r="11" spans="1:30">
      <c r="A11" s="55" t="str">
        <v>Responsable de production de produits alimentaires (fabrication / conditionnement)</v>
      </c>
      <c r="B11">
        <f>IF(DE_ress_transv!B11=-1,-1,
DE_ress_transv!B11+IF(AND(INDEX(Data_metier!$G:$G,MATCH(B$1,Data_metier!$B:$B,0))="Non",
INDEX(Data_metier!$G:$G,MATCH($A11,Data_metier!$B:$B,0))="Oui, en amont OU aval"),
0.5,
IF(AND(INDEX(Data_metier!$G:$G,MATCH(B$1,Data_metier!$B:$B,0))="Non",
INDEX(Data_metier!$G:$G,MATCH($A11,Data_metier!$B:$B,0))="Oui, en amont ET aval"),
1,
IF(AND(INDEX(Data_metier!$G:$G,MATCH(B$1,Data_metier!$B:$B,0))="Oui, en amont OU aval",
INDEX(Data_metier!$G:$G,MATCH($A11,Data_metier!$B:$B,0))="Oui, en amont ET aval"),
0.5,
0))))</f>
        <v>3.4999999999999996</v>
      </c>
      <c r="C11">
        <f>IF(DE_ress_transv!C11=-1,-1,
DE_ress_transv!C11+IF(AND(INDEX(Data_metier!$G:$G,MATCH(C$1,Data_metier!$B:$B,0))="Non",
INDEX(Data_metier!$G:$G,MATCH($A11,Data_metier!$B:$B,0))="Oui, en amont OU aval"),
0.5,
IF(AND(INDEX(Data_metier!$G:$G,MATCH(C$1,Data_metier!$B:$B,0))="Non",
INDEX(Data_metier!$G:$G,MATCH($A11,Data_metier!$B:$B,0))="Oui, en amont ET aval"),
1,
IF(AND(INDEX(Data_metier!$G:$G,MATCH(C$1,Data_metier!$B:$B,0))="Oui, en amont OU aval",
INDEX(Data_metier!$G:$G,MATCH($A11,Data_metier!$B:$B,0))="Oui, en amont ET aval"),
0.5,
0))))</f>
        <v>3.9999999999999996</v>
      </c>
      <c r="D11">
        <f>IF(DE_ress_transv!D11=-1,-1,
DE_ress_transv!D11+IF(AND(INDEX(Data_metier!$G:$G,MATCH(D$1,Data_metier!$B:$B,0))="Non",
INDEX(Data_metier!$G:$G,MATCH($A11,Data_metier!$B:$B,0))="Oui, en amont OU aval"),
0.5,
IF(AND(INDEX(Data_metier!$G:$G,MATCH(D$1,Data_metier!$B:$B,0))="Non",
INDEX(Data_metier!$G:$G,MATCH($A11,Data_metier!$B:$B,0))="Oui, en amont ET aval"),
1,
IF(AND(INDEX(Data_metier!$G:$G,MATCH(D$1,Data_metier!$B:$B,0))="Oui, en amont OU aval",
INDEX(Data_metier!$G:$G,MATCH($A11,Data_metier!$B:$B,0))="Oui, en amont ET aval"),
0.5,
0))))</f>
        <v>3.9999999999999996</v>
      </c>
      <c r="E11">
        <f>IF(DE_ress_transv!E11=-1,-1,
DE_ress_transv!E11+IF(AND(INDEX(Data_metier!$G:$G,MATCH(E$1,Data_metier!$B:$B,0))="Non",
INDEX(Data_metier!$G:$G,MATCH($A11,Data_metier!$B:$B,0))="Oui, en amont OU aval"),
0.5,
IF(AND(INDEX(Data_metier!$G:$G,MATCH(E$1,Data_metier!$B:$B,0))="Non",
INDEX(Data_metier!$G:$G,MATCH($A11,Data_metier!$B:$B,0))="Oui, en amont ET aval"),
1,
IF(AND(INDEX(Data_metier!$G:$G,MATCH(E$1,Data_metier!$B:$B,0))="Oui, en amont OU aval",
INDEX(Data_metier!$G:$G,MATCH($A11,Data_metier!$B:$B,0))="Oui, en amont ET aval"),
0.5,
0))))</f>
        <v>2.4999999999999996</v>
      </c>
      <c r="F11">
        <f>IF(DE_ress_transv!F11=-1,-1,
DE_ress_transv!F11+IF(AND(INDEX(Data_metier!$G:$G,MATCH(F$1,Data_metier!$B:$B,0))="Non",
INDEX(Data_metier!$G:$G,MATCH($A11,Data_metier!$B:$B,0))="Oui, en amont OU aval"),
0.5,
IF(AND(INDEX(Data_metier!$G:$G,MATCH(F$1,Data_metier!$B:$B,0))="Non",
INDEX(Data_metier!$G:$G,MATCH($A11,Data_metier!$B:$B,0))="Oui, en amont ET aval"),
1,
IF(AND(INDEX(Data_metier!$G:$G,MATCH(F$1,Data_metier!$B:$B,0))="Oui, en amont OU aval",
INDEX(Data_metier!$G:$G,MATCH($A11,Data_metier!$B:$B,0))="Oui, en amont ET aval"),
0.5,
0))))</f>
        <v>2</v>
      </c>
      <c r="G11">
        <f>IF(DE_ress_transv!G11=-1,-1,
DE_ress_transv!G11+IF(AND(INDEX(Data_metier!$G:$G,MATCH(G$1,Data_metier!$B:$B,0))="Non",
INDEX(Data_metier!$G:$G,MATCH($A11,Data_metier!$B:$B,0))="Oui, en amont OU aval"),
0.5,
IF(AND(INDEX(Data_metier!$G:$G,MATCH(G$1,Data_metier!$B:$B,0))="Non",
INDEX(Data_metier!$G:$G,MATCH($A11,Data_metier!$B:$B,0))="Oui, en amont ET aval"),
1,
IF(AND(INDEX(Data_metier!$G:$G,MATCH(G$1,Data_metier!$B:$B,0))="Oui, en amont OU aval",
INDEX(Data_metier!$G:$G,MATCH($A11,Data_metier!$B:$B,0))="Oui, en amont ET aval"),
0.5,
0))))</f>
        <v>2</v>
      </c>
      <c r="H11">
        <f>IF(DE_ress_transv!H11=-1,-1,
DE_ress_transv!H11+IF(AND(INDEX(Data_metier!$G:$G,MATCH(H$1,Data_metier!$B:$B,0))="Non",
INDEX(Data_metier!$G:$G,MATCH($A11,Data_metier!$B:$B,0))="Oui, en amont OU aval"),
0.5,
IF(AND(INDEX(Data_metier!$G:$G,MATCH(H$1,Data_metier!$B:$B,0))="Non",
INDEX(Data_metier!$G:$G,MATCH($A11,Data_metier!$B:$B,0))="Oui, en amont ET aval"),
1,
IF(AND(INDEX(Data_metier!$G:$G,MATCH(H$1,Data_metier!$B:$B,0))="Oui, en amont OU aval",
INDEX(Data_metier!$G:$G,MATCH($A11,Data_metier!$B:$B,0))="Oui, en amont ET aval"),
0.5,
0))))</f>
        <v>1.5000000000000002</v>
      </c>
      <c r="I11">
        <f>IF(DE_ress_transv!I11=-1,-1,
DE_ress_transv!I11+IF(AND(INDEX(Data_metier!$G:$G,MATCH(I$1,Data_metier!$B:$B,0))="Non",
INDEX(Data_metier!$G:$G,MATCH($A11,Data_metier!$B:$B,0))="Oui, en amont OU aval"),
0.5,
IF(AND(INDEX(Data_metier!$G:$G,MATCH(I$1,Data_metier!$B:$B,0))="Non",
INDEX(Data_metier!$G:$G,MATCH($A11,Data_metier!$B:$B,0))="Oui, en amont ET aval"),
1,
IF(AND(INDEX(Data_metier!$G:$G,MATCH(I$1,Data_metier!$B:$B,0))="Oui, en amont OU aval",
INDEX(Data_metier!$G:$G,MATCH($A11,Data_metier!$B:$B,0))="Oui, en amont ET aval"),
0.5,
0))))</f>
        <v>3.9999999999999996</v>
      </c>
      <c r="J11">
        <f>IF(DE_ress_transv!J11=-1,-1,
DE_ress_transv!J11+IF(AND(INDEX(Data_metier!$G:$G,MATCH(J$1,Data_metier!$B:$B,0))="Non",
INDEX(Data_metier!$G:$G,MATCH($A11,Data_metier!$B:$B,0))="Oui, en amont OU aval"),
0.5,
IF(AND(INDEX(Data_metier!$G:$G,MATCH(J$1,Data_metier!$B:$B,0))="Non",
INDEX(Data_metier!$G:$G,MATCH($A11,Data_metier!$B:$B,0))="Oui, en amont ET aval"),
1,
IF(AND(INDEX(Data_metier!$G:$G,MATCH(J$1,Data_metier!$B:$B,0))="Oui, en amont OU aval",
INDEX(Data_metier!$G:$G,MATCH($A11,Data_metier!$B:$B,0))="Oui, en amont ET aval"),
0.5,
0))))</f>
        <v>3.4999999999999996</v>
      </c>
      <c r="K11">
        <f>IF(DE_ress_transv!K11=-1,-1,
DE_ress_transv!K11+IF(AND(INDEX(Data_metier!$G:$G,MATCH(K$1,Data_metier!$B:$B,0))="Non",
INDEX(Data_metier!$G:$G,MATCH($A11,Data_metier!$B:$B,0))="Oui, en amont OU aval"),
0.5,
IF(AND(INDEX(Data_metier!$G:$G,MATCH(K$1,Data_metier!$B:$B,0))="Non",
INDEX(Data_metier!$G:$G,MATCH($A11,Data_metier!$B:$B,0))="Oui, en amont ET aval"),
1,
IF(AND(INDEX(Data_metier!$G:$G,MATCH(K$1,Data_metier!$B:$B,0))="Oui, en amont OU aval",
INDEX(Data_metier!$G:$G,MATCH($A11,Data_metier!$B:$B,0))="Oui, en amont ET aval"),
0.5,
0))))</f>
        <v>0</v>
      </c>
      <c r="L11">
        <f>IF(DE_ress_transv!L11=-1,-1,
DE_ress_transv!L11+IF(AND(INDEX(Data_metier!$G:$G,MATCH(L$1,Data_metier!$B:$B,0))="Non",
INDEX(Data_metier!$G:$G,MATCH($A11,Data_metier!$B:$B,0))="Oui, en amont OU aval"),
0.5,
IF(AND(INDEX(Data_metier!$G:$G,MATCH(L$1,Data_metier!$B:$B,0))="Non",
INDEX(Data_metier!$G:$G,MATCH($A11,Data_metier!$B:$B,0))="Oui, en amont ET aval"),
1,
IF(AND(INDEX(Data_metier!$G:$G,MATCH(L$1,Data_metier!$B:$B,0))="Oui, en amont OU aval",
INDEX(Data_metier!$G:$G,MATCH($A11,Data_metier!$B:$B,0))="Oui, en amont ET aval"),
0.5,
0))))</f>
        <v>3.9999999999999996</v>
      </c>
      <c r="M11">
        <f>IF(DE_ress_transv!M11=-1,-1,
DE_ress_transv!M11+IF(AND(INDEX(Data_metier!$G:$G,MATCH(M$1,Data_metier!$B:$B,0))="Non",
INDEX(Data_metier!$G:$G,MATCH($A11,Data_metier!$B:$B,0))="Oui, en amont OU aval"),
0.5,
IF(AND(INDEX(Data_metier!$G:$G,MATCH(M$1,Data_metier!$B:$B,0))="Non",
INDEX(Data_metier!$G:$G,MATCH($A11,Data_metier!$B:$B,0))="Oui, en amont ET aval"),
1,
IF(AND(INDEX(Data_metier!$G:$G,MATCH(M$1,Data_metier!$B:$B,0))="Oui, en amont OU aval",
INDEX(Data_metier!$G:$G,MATCH($A11,Data_metier!$B:$B,0))="Oui, en amont ET aval"),
0.5,
0))))</f>
        <v>3.9999999999999996</v>
      </c>
      <c r="N11">
        <f>IF(DE_ress_transv!N11=-1,-1,
DE_ress_transv!N11+IF(AND(INDEX(Data_metier!$G:$G,MATCH(N$1,Data_metier!$B:$B,0))="Non",
INDEX(Data_metier!$G:$G,MATCH($A11,Data_metier!$B:$B,0))="Oui, en amont OU aval"),
0.5,
IF(AND(INDEX(Data_metier!$G:$G,MATCH(N$1,Data_metier!$B:$B,0))="Non",
INDEX(Data_metier!$G:$G,MATCH($A11,Data_metier!$B:$B,0))="Oui, en amont ET aval"),
1,
IF(AND(INDEX(Data_metier!$G:$G,MATCH(N$1,Data_metier!$B:$B,0))="Oui, en amont OU aval",
INDEX(Data_metier!$G:$G,MATCH($A11,Data_metier!$B:$B,0))="Oui, en amont ET aval"),
0.5,
0))))</f>
        <v>2.4999999999999996</v>
      </c>
      <c r="O11">
        <f>IF(DE_ress_transv!O11=-1,-1,
DE_ress_transv!O11+IF(AND(INDEX(Data_metier!$G:$G,MATCH(O$1,Data_metier!$B:$B,0))="Non",
INDEX(Data_metier!$G:$G,MATCH($A11,Data_metier!$B:$B,0))="Oui, en amont OU aval"),
0.5,
IF(AND(INDEX(Data_metier!$G:$G,MATCH(O$1,Data_metier!$B:$B,0))="Non",
INDEX(Data_metier!$G:$G,MATCH($A11,Data_metier!$B:$B,0))="Oui, en amont ET aval"),
1,
IF(AND(INDEX(Data_metier!$G:$G,MATCH(O$1,Data_metier!$B:$B,0))="Oui, en amont OU aval",
INDEX(Data_metier!$G:$G,MATCH($A11,Data_metier!$B:$B,0))="Oui, en amont ET aval"),
0.5,
0))))</f>
        <v>3.9999999999999996</v>
      </c>
      <c r="P11">
        <f>IF(DE_ress_transv!P11=-1,-1,
DE_ress_transv!P11+IF(AND(INDEX(Data_metier!$G:$G,MATCH(P$1,Data_metier!$B:$B,0))="Non",
INDEX(Data_metier!$G:$G,MATCH($A11,Data_metier!$B:$B,0))="Oui, en amont OU aval"),
0.5,
IF(AND(INDEX(Data_metier!$G:$G,MATCH(P$1,Data_metier!$B:$B,0))="Non",
INDEX(Data_metier!$G:$G,MATCH($A11,Data_metier!$B:$B,0))="Oui, en amont ET aval"),
1,
IF(AND(INDEX(Data_metier!$G:$G,MATCH(P$1,Data_metier!$B:$B,0))="Oui, en amont OU aval",
INDEX(Data_metier!$G:$G,MATCH($A11,Data_metier!$B:$B,0))="Oui, en amont ET aval"),
0.5,
0))))</f>
        <v>3.9999999999999996</v>
      </c>
      <c r="Q11">
        <f>IF(DE_ress_transv!Q11=-1,-1,
DE_ress_transv!Q11+IF(AND(INDEX(Data_metier!$G:$G,MATCH(Q$1,Data_metier!$B:$B,0))="Non",
INDEX(Data_metier!$G:$G,MATCH($A11,Data_metier!$B:$B,0))="Oui, en amont OU aval"),
0.5,
IF(AND(INDEX(Data_metier!$G:$G,MATCH(Q$1,Data_metier!$B:$B,0))="Non",
INDEX(Data_metier!$G:$G,MATCH($A11,Data_metier!$B:$B,0))="Oui, en amont ET aval"),
1,
IF(AND(INDEX(Data_metier!$G:$G,MATCH(Q$1,Data_metier!$B:$B,0))="Oui, en amont OU aval",
INDEX(Data_metier!$G:$G,MATCH($A11,Data_metier!$B:$B,0))="Oui, en amont ET aval"),
0.5,
0))))</f>
        <v>2.9999999999999996</v>
      </c>
      <c r="R11">
        <f>IF(DE_ress_transv!R11=-1,-1,
DE_ress_transv!R11+IF(AND(INDEX(Data_metier!$G:$G,MATCH(R$1,Data_metier!$B:$B,0))="Non",
INDEX(Data_metier!$G:$G,MATCH($A11,Data_metier!$B:$B,0))="Oui, en amont OU aval"),
0.5,
IF(AND(INDEX(Data_metier!$G:$G,MATCH(R$1,Data_metier!$B:$B,0))="Non",
INDEX(Data_metier!$G:$G,MATCH($A11,Data_metier!$B:$B,0))="Oui, en amont ET aval"),
1,
IF(AND(INDEX(Data_metier!$G:$G,MATCH(R$1,Data_metier!$B:$B,0))="Oui, en amont OU aval",
INDEX(Data_metier!$G:$G,MATCH($A11,Data_metier!$B:$B,0))="Oui, en amont ET aval"),
0.5,
0))))</f>
        <v>1.5000000000000002</v>
      </c>
      <c r="S11">
        <f>IF(DE_ress_transv!S11=-1,-1,
DE_ress_transv!S11+IF(AND(INDEX(Data_metier!$G:$G,MATCH(S$1,Data_metier!$B:$B,0))="Non",
INDEX(Data_metier!$G:$G,MATCH($A11,Data_metier!$B:$B,0))="Oui, en amont OU aval"),
0.5,
IF(AND(INDEX(Data_metier!$G:$G,MATCH(S$1,Data_metier!$B:$B,0))="Non",
INDEX(Data_metier!$G:$G,MATCH($A11,Data_metier!$B:$B,0))="Oui, en amont ET aval"),
1,
IF(AND(INDEX(Data_metier!$G:$G,MATCH(S$1,Data_metier!$B:$B,0))="Oui, en amont OU aval",
INDEX(Data_metier!$G:$G,MATCH($A11,Data_metier!$B:$B,0))="Oui, en amont ET aval"),
0.5,
0))))</f>
        <v>3.9999999999999996</v>
      </c>
      <c r="T11">
        <f>IF(DE_ress_transv!T11=-1,-1,
DE_ress_transv!T11+IF(AND(INDEX(Data_metier!$G:$G,MATCH(T$1,Data_metier!$B:$B,0))="Non",
INDEX(Data_metier!$G:$G,MATCH($A11,Data_metier!$B:$B,0))="Oui, en amont OU aval"),
0.5,
IF(AND(INDEX(Data_metier!$G:$G,MATCH(T$1,Data_metier!$B:$B,0))="Non",
INDEX(Data_metier!$G:$G,MATCH($A11,Data_metier!$B:$B,0))="Oui, en amont ET aval"),
1,
IF(AND(INDEX(Data_metier!$G:$G,MATCH(T$1,Data_metier!$B:$B,0))="Oui, en amont OU aval",
INDEX(Data_metier!$G:$G,MATCH($A11,Data_metier!$B:$B,0))="Oui, en amont ET aval"),
0.5,
0))))</f>
        <v>3.9999999999999996</v>
      </c>
      <c r="U11">
        <f>IF(DE_ress_transv!U11=-1,-1,
DE_ress_transv!U11+IF(AND(INDEX(Data_metier!$G:$G,MATCH(U$1,Data_metier!$B:$B,0))="Non",
INDEX(Data_metier!$G:$G,MATCH($A11,Data_metier!$B:$B,0))="Oui, en amont OU aval"),
0.5,
IF(AND(INDEX(Data_metier!$G:$G,MATCH(U$1,Data_metier!$B:$B,0))="Non",
INDEX(Data_metier!$G:$G,MATCH($A11,Data_metier!$B:$B,0))="Oui, en amont ET aval"),
1,
IF(AND(INDEX(Data_metier!$G:$G,MATCH(U$1,Data_metier!$B:$B,0))="Oui, en amont OU aval",
INDEX(Data_metier!$G:$G,MATCH($A11,Data_metier!$B:$B,0))="Oui, en amont ET aval"),
0.5,
0))))</f>
        <v>3.9999999999999996</v>
      </c>
      <c r="V11">
        <f>IF(DE_ress_transv!V11=-1,-1,
DE_ress_transv!V11+IF(AND(INDEX(Data_metier!$G:$G,MATCH(V$1,Data_metier!$B:$B,0))="Non",
INDEX(Data_metier!$G:$G,MATCH($A11,Data_metier!$B:$B,0))="Oui, en amont OU aval"),
0.5,
IF(AND(INDEX(Data_metier!$G:$G,MATCH(V$1,Data_metier!$B:$B,0))="Non",
INDEX(Data_metier!$G:$G,MATCH($A11,Data_metier!$B:$B,0))="Oui, en amont ET aval"),
1,
IF(AND(INDEX(Data_metier!$G:$G,MATCH(V$1,Data_metier!$B:$B,0))="Oui, en amont OU aval",
INDEX(Data_metier!$G:$G,MATCH($A11,Data_metier!$B:$B,0))="Oui, en amont ET aval"),
0.5,
0))))</f>
        <v>3.4999999999999996</v>
      </c>
      <c r="W11">
        <f>IF(DE_ress_transv!W11=-1,-1,
DE_ress_transv!W11+IF(AND(INDEX(Data_metier!$G:$G,MATCH(W$1,Data_metier!$B:$B,0))="Non",
INDEX(Data_metier!$G:$G,MATCH($A11,Data_metier!$B:$B,0))="Oui, en amont OU aval"),
0.5,
IF(AND(INDEX(Data_metier!$G:$G,MATCH(W$1,Data_metier!$B:$B,0))="Non",
INDEX(Data_metier!$G:$G,MATCH($A11,Data_metier!$B:$B,0))="Oui, en amont ET aval"),
1,
IF(AND(INDEX(Data_metier!$G:$G,MATCH(W$1,Data_metier!$B:$B,0))="Oui, en amont OU aval",
INDEX(Data_metier!$G:$G,MATCH($A11,Data_metier!$B:$B,0))="Oui, en amont ET aval"),
0.5,
0))))</f>
        <v>2.9999999999999996</v>
      </c>
      <c r="X11">
        <f>IF(DE_ress_transv!X11=-1,-1,
DE_ress_transv!X11+IF(AND(INDEX(Data_metier!$G:$G,MATCH(X$1,Data_metier!$B:$B,0))="Non",
INDEX(Data_metier!$G:$G,MATCH($A11,Data_metier!$B:$B,0))="Oui, en amont OU aval"),
0.5,
IF(AND(INDEX(Data_metier!$G:$G,MATCH(X$1,Data_metier!$B:$B,0))="Non",
INDEX(Data_metier!$G:$G,MATCH($A11,Data_metier!$B:$B,0))="Oui, en amont ET aval"),
1,
IF(AND(INDEX(Data_metier!$G:$G,MATCH(X$1,Data_metier!$B:$B,0))="Oui, en amont OU aval",
INDEX(Data_metier!$G:$G,MATCH($A11,Data_metier!$B:$B,0))="Oui, en amont ET aval"),
0.5,
0))))</f>
        <v>1</v>
      </c>
      <c r="Y11">
        <f>IF(DE_ress_transv!Y11=-1,-1,
DE_ress_transv!Y11+IF(AND(INDEX(Data_metier!$G:$G,MATCH(Y$1,Data_metier!$B:$B,0))="Non",
INDEX(Data_metier!$G:$G,MATCH($A11,Data_metier!$B:$B,0))="Oui, en amont OU aval"),
0.5,
IF(AND(INDEX(Data_metier!$G:$G,MATCH(Y$1,Data_metier!$B:$B,0))="Non",
INDEX(Data_metier!$G:$G,MATCH($A11,Data_metier!$B:$B,0))="Oui, en amont ET aval"),
1,
IF(AND(INDEX(Data_metier!$G:$G,MATCH(Y$1,Data_metier!$B:$B,0))="Oui, en amont OU aval",
INDEX(Data_metier!$G:$G,MATCH($A11,Data_metier!$B:$B,0))="Oui, en amont ET aval"),
0.5,
0))))</f>
        <v>3.9999999999999996</v>
      </c>
      <c r="Z11">
        <f>IF(DE_ress_transv!Z11=-1,-1,
DE_ress_transv!Z11+IF(AND(INDEX(Data_metier!$G:$G,MATCH(Z$1,Data_metier!$B:$B,0))="Non",
INDEX(Data_metier!$G:$G,MATCH($A11,Data_metier!$B:$B,0))="Oui, en amont OU aval"),
0.5,
IF(AND(INDEX(Data_metier!$G:$G,MATCH(Z$1,Data_metier!$B:$B,0))="Non",
INDEX(Data_metier!$G:$G,MATCH($A11,Data_metier!$B:$B,0))="Oui, en amont ET aval"),
1,
IF(AND(INDEX(Data_metier!$G:$G,MATCH(Z$1,Data_metier!$B:$B,0))="Oui, en amont OU aval",
INDEX(Data_metier!$G:$G,MATCH($A11,Data_metier!$B:$B,0))="Oui, en amont ET aval"),
0.5,
0))))</f>
        <v>3.9999999999999996</v>
      </c>
      <c r="AA11">
        <f>IF(DE_ress_transv!AA11=-1,-1,
DE_ress_transv!AA11+IF(AND(INDEX(Data_metier!$G:$G,MATCH(AA$1,Data_metier!$B:$B,0))="Non",
INDEX(Data_metier!$G:$G,MATCH($A11,Data_metier!$B:$B,0))="Oui, en amont OU aval"),
0.5,
IF(AND(INDEX(Data_metier!$G:$G,MATCH(AA$1,Data_metier!$B:$B,0))="Non",
INDEX(Data_metier!$G:$G,MATCH($A11,Data_metier!$B:$B,0))="Oui, en amont ET aval"),
1,
IF(AND(INDEX(Data_metier!$G:$G,MATCH(AA$1,Data_metier!$B:$B,0))="Oui, en amont OU aval",
INDEX(Data_metier!$G:$G,MATCH($A11,Data_metier!$B:$B,0))="Oui, en amont ET aval"),
0.5,
0))))</f>
        <v>3.9999999999999996</v>
      </c>
      <c r="AB11">
        <f>IF(DE_ress_transv!AB11=-1,-1,
DE_ress_transv!AB11+IF(AND(INDEX(Data_metier!$G:$G,MATCH(AB$1,Data_metier!$B:$B,0))="Non",
INDEX(Data_metier!$G:$G,MATCH($A11,Data_metier!$B:$B,0))="Oui, en amont OU aval"),
0.5,
IF(AND(INDEX(Data_metier!$G:$G,MATCH(AB$1,Data_metier!$B:$B,0))="Non",
INDEX(Data_metier!$G:$G,MATCH($A11,Data_metier!$B:$B,0))="Oui, en amont ET aval"),
1,
IF(AND(INDEX(Data_metier!$G:$G,MATCH(AB$1,Data_metier!$B:$B,0))="Oui, en amont OU aval",
INDEX(Data_metier!$G:$G,MATCH($A11,Data_metier!$B:$B,0))="Oui, en amont ET aval"),
0.5,
0))))</f>
        <v>3.4999999999999996</v>
      </c>
      <c r="AC11">
        <f>IF(DE_ress_transv!AC11=-1,-1,
DE_ress_transv!AC11+IF(AND(INDEX(Data_metier!$G:$G,MATCH(AC$1,Data_metier!$B:$B,0))="Non",
INDEX(Data_metier!$G:$G,MATCH($A11,Data_metier!$B:$B,0))="Oui, en amont OU aval"),
0.5,
IF(AND(INDEX(Data_metier!$G:$G,MATCH(AC$1,Data_metier!$B:$B,0))="Non",
INDEX(Data_metier!$G:$G,MATCH($A11,Data_metier!$B:$B,0))="Oui, en amont ET aval"),
1,
IF(AND(INDEX(Data_metier!$G:$G,MATCH(AC$1,Data_metier!$B:$B,0))="Oui, en amont OU aval",
INDEX(Data_metier!$G:$G,MATCH($A11,Data_metier!$B:$B,0))="Oui, en amont ET aval"),
0.5,
0))))</f>
        <v>3.4999999999999996</v>
      </c>
      <c r="AD11">
        <f>IF(DE_ress_transv!AD11=-1,-1,
DE_ress_transv!AD11+IF(AND(INDEX(Data_metier!$G:$G,MATCH(AD$1,Data_metier!$B:$B,0))="Non",
INDEX(Data_metier!$G:$G,MATCH($A11,Data_metier!$B:$B,0))="Oui, en amont OU aval"),
0.5,
IF(AND(INDEX(Data_metier!$G:$G,MATCH(AD$1,Data_metier!$B:$B,0))="Non",
INDEX(Data_metier!$G:$G,MATCH($A11,Data_metier!$B:$B,0))="Oui, en amont ET aval"),
1,
IF(AND(INDEX(Data_metier!$G:$G,MATCH(AD$1,Data_metier!$B:$B,0))="Oui, en amont OU aval",
INDEX(Data_metier!$G:$G,MATCH($A11,Data_metier!$B:$B,0))="Oui, en amont ET aval"),
0.5,
0))))</f>
        <v>3.4999999999999996</v>
      </c>
    </row>
    <row r="12" spans="1:30">
      <c r="A12" s="55" t="str">
        <v>Chauffeur(se) livreur(se)</v>
      </c>
      <c r="B12">
        <f>IF(DE_ress_transv!B12=-1,-1,
DE_ress_transv!B12+IF(AND(INDEX(Data_metier!$G:$G,MATCH(B$1,Data_metier!$B:$B,0))="Non",
INDEX(Data_metier!$G:$G,MATCH($A12,Data_metier!$B:$B,0))="Oui, en amont OU aval"),
0.5,
IF(AND(INDEX(Data_metier!$G:$G,MATCH(B$1,Data_metier!$B:$B,0))="Non",
INDEX(Data_metier!$G:$G,MATCH($A12,Data_metier!$B:$B,0))="Oui, en amont ET aval"),
1,
IF(AND(INDEX(Data_metier!$G:$G,MATCH(B$1,Data_metier!$B:$B,0))="Oui, en amont OU aval",
INDEX(Data_metier!$G:$G,MATCH($A12,Data_metier!$B:$B,0))="Oui, en amont ET aval"),
0.5,
0))))</f>
        <v>-1</v>
      </c>
      <c r="C12">
        <f>IF(DE_ress_transv!C12=-1,-1,
DE_ress_transv!C12+IF(AND(INDEX(Data_metier!$G:$G,MATCH(C$1,Data_metier!$B:$B,0))="Non",
INDEX(Data_metier!$G:$G,MATCH($A12,Data_metier!$B:$B,0))="Oui, en amont OU aval"),
0.5,
IF(AND(INDEX(Data_metier!$G:$G,MATCH(C$1,Data_metier!$B:$B,0))="Non",
INDEX(Data_metier!$G:$G,MATCH($A12,Data_metier!$B:$B,0))="Oui, en amont ET aval"),
1,
IF(AND(INDEX(Data_metier!$G:$G,MATCH(C$1,Data_metier!$B:$B,0))="Oui, en amont OU aval",
INDEX(Data_metier!$G:$G,MATCH($A12,Data_metier!$B:$B,0))="Oui, en amont ET aval"),
0.5,
0))))</f>
        <v>-1</v>
      </c>
      <c r="D12">
        <f>IF(DE_ress_transv!D12=-1,-1,
DE_ress_transv!D12+IF(AND(INDEX(Data_metier!$G:$G,MATCH(D$1,Data_metier!$B:$B,0))="Non",
INDEX(Data_metier!$G:$G,MATCH($A12,Data_metier!$B:$B,0))="Oui, en amont OU aval"),
0.5,
IF(AND(INDEX(Data_metier!$G:$G,MATCH(D$1,Data_metier!$B:$B,0))="Non",
INDEX(Data_metier!$G:$G,MATCH($A12,Data_metier!$B:$B,0))="Oui, en amont ET aval"),
1,
IF(AND(INDEX(Data_metier!$G:$G,MATCH(D$1,Data_metier!$B:$B,0))="Oui, en amont OU aval",
INDEX(Data_metier!$G:$G,MATCH($A12,Data_metier!$B:$B,0))="Oui, en amont ET aval"),
0.5,
0))))</f>
        <v>0.5</v>
      </c>
      <c r="E12">
        <f>IF(DE_ress_transv!E12=-1,-1,
DE_ress_transv!E12+IF(AND(INDEX(Data_metier!$G:$G,MATCH(E$1,Data_metier!$B:$B,0))="Non",
INDEX(Data_metier!$G:$G,MATCH($A12,Data_metier!$B:$B,0))="Oui, en amont OU aval"),
0.5,
IF(AND(INDEX(Data_metier!$G:$G,MATCH(E$1,Data_metier!$B:$B,0))="Non",
INDEX(Data_metier!$G:$G,MATCH($A12,Data_metier!$B:$B,0))="Oui, en amont ET aval"),
1,
IF(AND(INDEX(Data_metier!$G:$G,MATCH(E$1,Data_metier!$B:$B,0))="Oui, en amont OU aval",
INDEX(Data_metier!$G:$G,MATCH($A12,Data_metier!$B:$B,0))="Oui, en amont ET aval"),
0.5,
0))))</f>
        <v>-1</v>
      </c>
      <c r="F12">
        <f>IF(DE_ress_transv!F12=-1,-1,
DE_ress_transv!F12+IF(AND(INDEX(Data_metier!$G:$G,MATCH(F$1,Data_metier!$B:$B,0))="Non",
INDEX(Data_metier!$G:$G,MATCH($A12,Data_metier!$B:$B,0))="Oui, en amont OU aval"),
0.5,
IF(AND(INDEX(Data_metier!$G:$G,MATCH(F$1,Data_metier!$B:$B,0))="Non",
INDEX(Data_metier!$G:$G,MATCH($A12,Data_metier!$B:$B,0))="Oui, en amont ET aval"),
1,
IF(AND(INDEX(Data_metier!$G:$G,MATCH(F$1,Data_metier!$B:$B,0))="Oui, en amont OU aval",
INDEX(Data_metier!$G:$G,MATCH($A12,Data_metier!$B:$B,0))="Oui, en amont ET aval"),
0.5,
0))))</f>
        <v>-1</v>
      </c>
      <c r="G12">
        <f>IF(DE_ress_transv!G12=-1,-1,
DE_ress_transv!G12+IF(AND(INDEX(Data_metier!$G:$G,MATCH(G$1,Data_metier!$B:$B,0))="Non",
INDEX(Data_metier!$G:$G,MATCH($A12,Data_metier!$B:$B,0))="Oui, en amont OU aval"),
0.5,
IF(AND(INDEX(Data_metier!$G:$G,MATCH(G$1,Data_metier!$B:$B,0))="Non",
INDEX(Data_metier!$G:$G,MATCH($A12,Data_metier!$B:$B,0))="Oui, en amont ET aval"),
1,
IF(AND(INDEX(Data_metier!$G:$G,MATCH(G$1,Data_metier!$B:$B,0))="Oui, en amont OU aval",
INDEX(Data_metier!$G:$G,MATCH($A12,Data_metier!$B:$B,0))="Oui, en amont ET aval"),
0.5,
0))))</f>
        <v>-1</v>
      </c>
      <c r="H12">
        <f>IF(DE_ress_transv!H12=-1,-1,
DE_ress_transv!H12+IF(AND(INDEX(Data_metier!$G:$G,MATCH(H$1,Data_metier!$B:$B,0))="Non",
INDEX(Data_metier!$G:$G,MATCH($A12,Data_metier!$B:$B,0))="Oui, en amont OU aval"),
0.5,
IF(AND(INDEX(Data_metier!$G:$G,MATCH(H$1,Data_metier!$B:$B,0))="Non",
INDEX(Data_metier!$G:$G,MATCH($A12,Data_metier!$B:$B,0))="Oui, en amont ET aval"),
1,
IF(AND(INDEX(Data_metier!$G:$G,MATCH(H$1,Data_metier!$B:$B,0))="Oui, en amont OU aval",
INDEX(Data_metier!$G:$G,MATCH($A12,Data_metier!$B:$B,0))="Oui, en amont ET aval"),
0.5,
0))))</f>
        <v>-1</v>
      </c>
      <c r="I12">
        <f>IF(DE_ress_transv!I12=-1,-1,
DE_ress_transv!I12+IF(AND(INDEX(Data_metier!$G:$G,MATCH(I$1,Data_metier!$B:$B,0))="Non",
INDEX(Data_metier!$G:$G,MATCH($A12,Data_metier!$B:$B,0))="Oui, en amont OU aval"),
0.5,
IF(AND(INDEX(Data_metier!$G:$G,MATCH(I$1,Data_metier!$B:$B,0))="Non",
INDEX(Data_metier!$G:$G,MATCH($A12,Data_metier!$B:$B,0))="Oui, en amont ET aval"),
1,
IF(AND(INDEX(Data_metier!$G:$G,MATCH(I$1,Data_metier!$B:$B,0))="Oui, en amont OU aval",
INDEX(Data_metier!$G:$G,MATCH($A12,Data_metier!$B:$B,0))="Oui, en amont ET aval"),
0.5,
0))))</f>
        <v>0.5</v>
      </c>
      <c r="J12">
        <f>IF(DE_ress_transv!J12=-1,-1,
DE_ress_transv!J12+IF(AND(INDEX(Data_metier!$G:$G,MATCH(J$1,Data_metier!$B:$B,0))="Non",
INDEX(Data_metier!$G:$G,MATCH($A12,Data_metier!$B:$B,0))="Oui, en amont OU aval"),
0.5,
IF(AND(INDEX(Data_metier!$G:$G,MATCH(J$1,Data_metier!$B:$B,0))="Non",
INDEX(Data_metier!$G:$G,MATCH($A12,Data_metier!$B:$B,0))="Oui, en amont ET aval"),
1,
IF(AND(INDEX(Data_metier!$G:$G,MATCH(J$1,Data_metier!$B:$B,0))="Oui, en amont OU aval",
INDEX(Data_metier!$G:$G,MATCH($A12,Data_metier!$B:$B,0))="Oui, en amont ET aval"),
0.5,
0))))</f>
        <v>-1</v>
      </c>
      <c r="K12">
        <f>IF(DE_ress_transv!K12=-1,-1,
DE_ress_transv!K12+IF(AND(INDEX(Data_metier!$G:$G,MATCH(K$1,Data_metier!$B:$B,0))="Non",
INDEX(Data_metier!$G:$G,MATCH($A12,Data_metier!$B:$B,0))="Oui, en amont OU aval"),
0.5,
IF(AND(INDEX(Data_metier!$G:$G,MATCH(K$1,Data_metier!$B:$B,0))="Non",
INDEX(Data_metier!$G:$G,MATCH($A12,Data_metier!$B:$B,0))="Oui, en amont ET aval"),
1,
IF(AND(INDEX(Data_metier!$G:$G,MATCH(K$1,Data_metier!$B:$B,0))="Oui, en amont OU aval",
INDEX(Data_metier!$G:$G,MATCH($A12,Data_metier!$B:$B,0))="Oui, en amont ET aval"),
0.5,
0))))</f>
        <v>-1</v>
      </c>
      <c r="L12">
        <f>IF(DE_ress_transv!L12=-1,-1,
DE_ress_transv!L12+IF(AND(INDEX(Data_metier!$G:$G,MATCH(L$1,Data_metier!$B:$B,0))="Non",
INDEX(Data_metier!$G:$G,MATCH($A12,Data_metier!$B:$B,0))="Oui, en amont OU aval"),
0.5,
IF(AND(INDEX(Data_metier!$G:$G,MATCH(L$1,Data_metier!$B:$B,0))="Non",
INDEX(Data_metier!$G:$G,MATCH($A12,Data_metier!$B:$B,0))="Oui, en amont ET aval"),
1,
IF(AND(INDEX(Data_metier!$G:$G,MATCH(L$1,Data_metier!$B:$B,0))="Oui, en amont OU aval",
INDEX(Data_metier!$G:$G,MATCH($A12,Data_metier!$B:$B,0))="Oui, en amont ET aval"),
0.5,
0))))</f>
        <v>0</v>
      </c>
      <c r="M12">
        <f>IF(DE_ress_transv!M12=-1,-1,
DE_ress_transv!M12+IF(AND(INDEX(Data_metier!$G:$G,MATCH(M$1,Data_metier!$B:$B,0))="Non",
INDEX(Data_metier!$G:$G,MATCH($A12,Data_metier!$B:$B,0))="Oui, en amont OU aval"),
0.5,
IF(AND(INDEX(Data_metier!$G:$G,MATCH(M$1,Data_metier!$B:$B,0))="Non",
INDEX(Data_metier!$G:$G,MATCH($A12,Data_metier!$B:$B,0))="Oui, en amont ET aval"),
1,
IF(AND(INDEX(Data_metier!$G:$G,MATCH(M$1,Data_metier!$B:$B,0))="Oui, en amont OU aval",
INDEX(Data_metier!$G:$G,MATCH($A12,Data_metier!$B:$B,0))="Oui, en amont ET aval"),
0.5,
0))))</f>
        <v>-1</v>
      </c>
      <c r="N12">
        <f>IF(DE_ress_transv!N12=-1,-1,
DE_ress_transv!N12+IF(AND(INDEX(Data_metier!$G:$G,MATCH(N$1,Data_metier!$B:$B,0))="Non",
INDEX(Data_metier!$G:$G,MATCH($A12,Data_metier!$B:$B,0))="Oui, en amont OU aval"),
0.5,
IF(AND(INDEX(Data_metier!$G:$G,MATCH(N$1,Data_metier!$B:$B,0))="Non",
INDEX(Data_metier!$G:$G,MATCH($A12,Data_metier!$B:$B,0))="Oui, en amont ET aval"),
1,
IF(AND(INDEX(Data_metier!$G:$G,MATCH(N$1,Data_metier!$B:$B,0))="Oui, en amont OU aval",
INDEX(Data_metier!$G:$G,MATCH($A12,Data_metier!$B:$B,0))="Oui, en amont ET aval"),
0.5,
0))))</f>
        <v>-1</v>
      </c>
      <c r="O12">
        <f>IF(DE_ress_transv!O12=-1,-1,
DE_ress_transv!O12+IF(AND(INDEX(Data_metier!$G:$G,MATCH(O$1,Data_metier!$B:$B,0))="Non",
INDEX(Data_metier!$G:$G,MATCH($A12,Data_metier!$B:$B,0))="Oui, en amont OU aval"),
0.5,
IF(AND(INDEX(Data_metier!$G:$G,MATCH(O$1,Data_metier!$B:$B,0))="Non",
INDEX(Data_metier!$G:$G,MATCH($A12,Data_metier!$B:$B,0))="Oui, en amont ET aval"),
1,
IF(AND(INDEX(Data_metier!$G:$G,MATCH(O$1,Data_metier!$B:$B,0))="Oui, en amont OU aval",
INDEX(Data_metier!$G:$G,MATCH($A12,Data_metier!$B:$B,0))="Oui, en amont ET aval"),
0.5,
0))))</f>
        <v>0</v>
      </c>
      <c r="P12">
        <f>IF(DE_ress_transv!P12=-1,-1,
DE_ress_transv!P12+IF(AND(INDEX(Data_metier!$G:$G,MATCH(P$1,Data_metier!$B:$B,0))="Non",
INDEX(Data_metier!$G:$G,MATCH($A12,Data_metier!$B:$B,0))="Oui, en amont OU aval"),
0.5,
IF(AND(INDEX(Data_metier!$G:$G,MATCH(P$1,Data_metier!$B:$B,0))="Non",
INDEX(Data_metier!$G:$G,MATCH($A12,Data_metier!$B:$B,0))="Oui, en amont ET aval"),
1,
IF(AND(INDEX(Data_metier!$G:$G,MATCH(P$1,Data_metier!$B:$B,0))="Oui, en amont OU aval",
INDEX(Data_metier!$G:$G,MATCH($A12,Data_metier!$B:$B,0))="Oui, en amont ET aval"),
0.5,
0))))</f>
        <v>0.5</v>
      </c>
      <c r="Q12">
        <f>IF(DE_ress_transv!Q12=-1,-1,
DE_ress_transv!Q12+IF(AND(INDEX(Data_metier!$G:$G,MATCH(Q$1,Data_metier!$B:$B,0))="Non",
INDEX(Data_metier!$G:$G,MATCH($A12,Data_metier!$B:$B,0))="Oui, en amont OU aval"),
0.5,
IF(AND(INDEX(Data_metier!$G:$G,MATCH(Q$1,Data_metier!$B:$B,0))="Non",
INDEX(Data_metier!$G:$G,MATCH($A12,Data_metier!$B:$B,0))="Oui, en amont ET aval"),
1,
IF(AND(INDEX(Data_metier!$G:$G,MATCH(Q$1,Data_metier!$B:$B,0))="Oui, en amont OU aval",
INDEX(Data_metier!$G:$G,MATCH($A12,Data_metier!$B:$B,0))="Oui, en amont ET aval"),
0.5,
0))))</f>
        <v>-1</v>
      </c>
      <c r="R12">
        <f>IF(DE_ress_transv!R12=-1,-1,
DE_ress_transv!R12+IF(AND(INDEX(Data_metier!$G:$G,MATCH(R$1,Data_metier!$B:$B,0))="Non",
INDEX(Data_metier!$G:$G,MATCH($A12,Data_metier!$B:$B,0))="Oui, en amont OU aval"),
0.5,
IF(AND(INDEX(Data_metier!$G:$G,MATCH(R$1,Data_metier!$B:$B,0))="Non",
INDEX(Data_metier!$G:$G,MATCH($A12,Data_metier!$B:$B,0))="Oui, en amont ET aval"),
1,
IF(AND(INDEX(Data_metier!$G:$G,MATCH(R$1,Data_metier!$B:$B,0))="Oui, en amont OU aval",
INDEX(Data_metier!$G:$G,MATCH($A12,Data_metier!$B:$B,0))="Oui, en amont ET aval"),
0.5,
0))))</f>
        <v>-1</v>
      </c>
      <c r="S12">
        <f>IF(DE_ress_transv!S12=-1,-1,
DE_ress_transv!S12+IF(AND(INDEX(Data_metier!$G:$G,MATCH(S$1,Data_metier!$B:$B,0))="Non",
INDEX(Data_metier!$G:$G,MATCH($A12,Data_metier!$B:$B,0))="Oui, en amont OU aval"),
0.5,
IF(AND(INDEX(Data_metier!$G:$G,MATCH(S$1,Data_metier!$B:$B,0))="Non",
INDEX(Data_metier!$G:$G,MATCH($A12,Data_metier!$B:$B,0))="Oui, en amont ET aval"),
1,
IF(AND(INDEX(Data_metier!$G:$G,MATCH(S$1,Data_metier!$B:$B,0))="Oui, en amont OU aval",
INDEX(Data_metier!$G:$G,MATCH($A12,Data_metier!$B:$B,0))="Oui, en amont ET aval"),
0.5,
0))))</f>
        <v>0.5</v>
      </c>
      <c r="T12">
        <f>IF(DE_ress_transv!T12=-1,-1,
DE_ress_transv!T12+IF(AND(INDEX(Data_metier!$G:$G,MATCH(T$1,Data_metier!$B:$B,0))="Non",
INDEX(Data_metier!$G:$G,MATCH($A12,Data_metier!$B:$B,0))="Oui, en amont OU aval"),
0.5,
IF(AND(INDEX(Data_metier!$G:$G,MATCH(T$1,Data_metier!$B:$B,0))="Non",
INDEX(Data_metier!$G:$G,MATCH($A12,Data_metier!$B:$B,0))="Oui, en amont ET aval"),
1,
IF(AND(INDEX(Data_metier!$G:$G,MATCH(T$1,Data_metier!$B:$B,0))="Oui, en amont OU aval",
INDEX(Data_metier!$G:$G,MATCH($A12,Data_metier!$B:$B,0))="Oui, en amont ET aval"),
0.5,
0))))</f>
        <v>0.33333333333333331</v>
      </c>
      <c r="U12">
        <f>IF(DE_ress_transv!U12=-1,-1,
DE_ress_transv!U12+IF(AND(INDEX(Data_metier!$G:$G,MATCH(U$1,Data_metier!$B:$B,0))="Non",
INDEX(Data_metier!$G:$G,MATCH($A12,Data_metier!$B:$B,0))="Oui, en amont OU aval"),
0.5,
IF(AND(INDEX(Data_metier!$G:$G,MATCH(U$1,Data_metier!$B:$B,0))="Non",
INDEX(Data_metier!$G:$G,MATCH($A12,Data_metier!$B:$B,0))="Oui, en amont ET aval"),
1,
IF(AND(INDEX(Data_metier!$G:$G,MATCH(U$1,Data_metier!$B:$B,0))="Oui, en amont OU aval",
INDEX(Data_metier!$G:$G,MATCH($A12,Data_metier!$B:$B,0))="Oui, en amont ET aval"),
0.5,
0))))</f>
        <v>0.5</v>
      </c>
      <c r="V12">
        <f>IF(DE_ress_transv!V12=-1,-1,
DE_ress_transv!V12+IF(AND(INDEX(Data_metier!$G:$G,MATCH(V$1,Data_metier!$B:$B,0))="Non",
INDEX(Data_metier!$G:$G,MATCH($A12,Data_metier!$B:$B,0))="Oui, en amont OU aval"),
0.5,
IF(AND(INDEX(Data_metier!$G:$G,MATCH(V$1,Data_metier!$B:$B,0))="Non",
INDEX(Data_metier!$G:$G,MATCH($A12,Data_metier!$B:$B,0))="Oui, en amont ET aval"),
1,
IF(AND(INDEX(Data_metier!$G:$G,MATCH(V$1,Data_metier!$B:$B,0))="Oui, en amont OU aval",
INDEX(Data_metier!$G:$G,MATCH($A12,Data_metier!$B:$B,0))="Oui, en amont ET aval"),
0.5,
0))))</f>
        <v>-1</v>
      </c>
      <c r="W12">
        <f>IF(DE_ress_transv!W12=-1,-1,
DE_ress_transv!W12+IF(AND(INDEX(Data_metier!$G:$G,MATCH(W$1,Data_metier!$B:$B,0))="Non",
INDEX(Data_metier!$G:$G,MATCH($A12,Data_metier!$B:$B,0))="Oui, en amont OU aval"),
0.5,
IF(AND(INDEX(Data_metier!$G:$G,MATCH(W$1,Data_metier!$B:$B,0))="Non",
INDEX(Data_metier!$G:$G,MATCH($A12,Data_metier!$B:$B,0))="Oui, en amont ET aval"),
1,
IF(AND(INDEX(Data_metier!$G:$G,MATCH(W$1,Data_metier!$B:$B,0))="Oui, en amont OU aval",
INDEX(Data_metier!$G:$G,MATCH($A12,Data_metier!$B:$B,0))="Oui, en amont ET aval"),
0.5,
0))))</f>
        <v>-1</v>
      </c>
      <c r="X12">
        <f>IF(DE_ress_transv!X12=-1,-1,
DE_ress_transv!X12+IF(AND(INDEX(Data_metier!$G:$G,MATCH(X$1,Data_metier!$B:$B,0))="Non",
INDEX(Data_metier!$G:$G,MATCH($A12,Data_metier!$B:$B,0))="Oui, en amont OU aval"),
0.5,
IF(AND(INDEX(Data_metier!$G:$G,MATCH(X$1,Data_metier!$B:$B,0))="Non",
INDEX(Data_metier!$G:$G,MATCH($A12,Data_metier!$B:$B,0))="Oui, en amont ET aval"),
1,
IF(AND(INDEX(Data_metier!$G:$G,MATCH(X$1,Data_metier!$B:$B,0))="Oui, en amont OU aval",
INDEX(Data_metier!$G:$G,MATCH($A12,Data_metier!$B:$B,0))="Oui, en amont ET aval"),
0.5,
0))))</f>
        <v>-1</v>
      </c>
      <c r="Y12">
        <f>IF(DE_ress_transv!Y12=-1,-1,
DE_ress_transv!Y12+IF(AND(INDEX(Data_metier!$G:$G,MATCH(Y$1,Data_metier!$B:$B,0))="Non",
INDEX(Data_metier!$G:$G,MATCH($A12,Data_metier!$B:$B,0))="Oui, en amont OU aval"),
0.5,
IF(AND(INDEX(Data_metier!$G:$G,MATCH(Y$1,Data_metier!$B:$B,0))="Non",
INDEX(Data_metier!$G:$G,MATCH($A12,Data_metier!$B:$B,0))="Oui, en amont ET aval"),
1,
IF(AND(INDEX(Data_metier!$G:$G,MATCH(Y$1,Data_metier!$B:$B,0))="Oui, en amont OU aval",
INDEX(Data_metier!$G:$G,MATCH($A12,Data_metier!$B:$B,0))="Oui, en amont ET aval"),
0.5,
0))))</f>
        <v>0.5</v>
      </c>
      <c r="Z12">
        <f>IF(DE_ress_transv!Z12=-1,-1,
DE_ress_transv!Z12+IF(AND(INDEX(Data_metier!$G:$G,MATCH(Z$1,Data_metier!$B:$B,0))="Non",
INDEX(Data_metier!$G:$G,MATCH($A12,Data_metier!$B:$B,0))="Oui, en amont OU aval"),
0.5,
IF(AND(INDEX(Data_metier!$G:$G,MATCH(Z$1,Data_metier!$B:$B,0))="Non",
INDEX(Data_metier!$G:$G,MATCH($A12,Data_metier!$B:$B,0))="Oui, en amont ET aval"),
1,
IF(AND(INDEX(Data_metier!$G:$G,MATCH(Z$1,Data_metier!$B:$B,0))="Oui, en amont OU aval",
INDEX(Data_metier!$G:$G,MATCH($A12,Data_metier!$B:$B,0))="Oui, en amont ET aval"),
0.5,
0))))</f>
        <v>0.5</v>
      </c>
      <c r="AA12">
        <f>IF(DE_ress_transv!AA12=-1,-1,
DE_ress_transv!AA12+IF(AND(INDEX(Data_metier!$G:$G,MATCH(AA$1,Data_metier!$B:$B,0))="Non",
INDEX(Data_metier!$G:$G,MATCH($A12,Data_metier!$B:$B,0))="Oui, en amont OU aval"),
0.5,
IF(AND(INDEX(Data_metier!$G:$G,MATCH(AA$1,Data_metier!$B:$B,0))="Non",
INDEX(Data_metier!$G:$G,MATCH($A12,Data_metier!$B:$B,0))="Oui, en amont ET aval"),
1,
IF(AND(INDEX(Data_metier!$G:$G,MATCH(AA$1,Data_metier!$B:$B,0))="Oui, en amont OU aval",
INDEX(Data_metier!$G:$G,MATCH($A12,Data_metier!$B:$B,0))="Oui, en amont ET aval"),
0.5,
0))))</f>
        <v>0.5</v>
      </c>
      <c r="AB12">
        <f>IF(DE_ress_transv!AB12=-1,-1,
DE_ress_transv!AB12+IF(AND(INDEX(Data_metier!$G:$G,MATCH(AB$1,Data_metier!$B:$B,0))="Non",
INDEX(Data_metier!$G:$G,MATCH($A12,Data_metier!$B:$B,0))="Oui, en amont OU aval"),
0.5,
IF(AND(INDEX(Data_metier!$G:$G,MATCH(AB$1,Data_metier!$B:$B,0))="Non",
INDEX(Data_metier!$G:$G,MATCH($A12,Data_metier!$B:$B,0))="Oui, en amont ET aval"),
1,
IF(AND(INDEX(Data_metier!$G:$G,MATCH(AB$1,Data_metier!$B:$B,0))="Oui, en amont OU aval",
INDEX(Data_metier!$G:$G,MATCH($A12,Data_metier!$B:$B,0))="Oui, en amont ET aval"),
0.5,
0))))</f>
        <v>-1</v>
      </c>
      <c r="AC12">
        <f>IF(DE_ress_transv!AC12=-1,-1,
DE_ress_transv!AC12+IF(AND(INDEX(Data_metier!$G:$G,MATCH(AC$1,Data_metier!$B:$B,0))="Non",
INDEX(Data_metier!$G:$G,MATCH($A12,Data_metier!$B:$B,0))="Oui, en amont OU aval"),
0.5,
IF(AND(INDEX(Data_metier!$G:$G,MATCH(AC$1,Data_metier!$B:$B,0))="Non",
INDEX(Data_metier!$G:$G,MATCH($A12,Data_metier!$B:$B,0))="Oui, en amont ET aval"),
1,
IF(AND(INDEX(Data_metier!$G:$G,MATCH(AC$1,Data_metier!$B:$B,0))="Oui, en amont OU aval",
INDEX(Data_metier!$G:$G,MATCH($A12,Data_metier!$B:$B,0))="Oui, en amont ET aval"),
0.5,
0))))</f>
        <v>-1</v>
      </c>
      <c r="AD12">
        <f>IF(DE_ress_transv!AD12=-1,-1,
DE_ress_transv!AD12+IF(AND(INDEX(Data_metier!$G:$G,MATCH(AD$1,Data_metier!$B:$B,0))="Non",
INDEX(Data_metier!$G:$G,MATCH($A12,Data_metier!$B:$B,0))="Oui, en amont OU aval"),
0.5,
IF(AND(INDEX(Data_metier!$G:$G,MATCH(AD$1,Data_metier!$B:$B,0))="Non",
INDEX(Data_metier!$G:$G,MATCH($A12,Data_metier!$B:$B,0))="Oui, en amont ET aval"),
1,
IF(AND(INDEX(Data_metier!$G:$G,MATCH(AD$1,Data_metier!$B:$B,0))="Oui, en amont OU aval",
INDEX(Data_metier!$G:$G,MATCH($A12,Data_metier!$B:$B,0))="Oui, en amont ET aval"),
0.5,
0))))</f>
        <v>-1</v>
      </c>
    </row>
    <row r="13" spans="1:30">
      <c r="A13" s="55" t="str">
        <v>Régleur(se)</v>
      </c>
      <c r="B13">
        <f>IF(DE_ress_transv!B13=-1,-1,
DE_ress_transv!B13+IF(AND(INDEX(Data_metier!$G:$G,MATCH(B$1,Data_metier!$B:$B,0))="Non",
INDEX(Data_metier!$G:$G,MATCH($A13,Data_metier!$B:$B,0))="Oui, en amont OU aval"),
0.5,
IF(AND(INDEX(Data_metier!$G:$G,MATCH(B$1,Data_metier!$B:$B,0))="Non",
INDEX(Data_metier!$G:$G,MATCH($A13,Data_metier!$B:$B,0))="Oui, en amont ET aval"),
1,
IF(AND(INDEX(Data_metier!$G:$G,MATCH(B$1,Data_metier!$B:$B,0))="Oui, en amont OU aval",
INDEX(Data_metier!$G:$G,MATCH($A13,Data_metier!$B:$B,0))="Oui, en amont ET aval"),
0.5,
0))))</f>
        <v>0.16666666666666666</v>
      </c>
      <c r="C13">
        <f>IF(DE_ress_transv!C13=-1,-1,
DE_ress_transv!C13+IF(AND(INDEX(Data_metier!$G:$G,MATCH(C$1,Data_metier!$B:$B,0))="Non",
INDEX(Data_metier!$G:$G,MATCH($A13,Data_metier!$B:$B,0))="Oui, en amont OU aval"),
0.5,
IF(AND(INDEX(Data_metier!$G:$G,MATCH(C$1,Data_metier!$B:$B,0))="Non",
INDEX(Data_metier!$G:$G,MATCH($A13,Data_metier!$B:$B,0))="Oui, en amont ET aval"),
1,
IF(AND(INDEX(Data_metier!$G:$G,MATCH(C$1,Data_metier!$B:$B,0))="Oui, en amont OU aval",
INDEX(Data_metier!$G:$G,MATCH($A13,Data_metier!$B:$B,0))="Oui, en amont ET aval"),
0.5,
0))))</f>
        <v>0</v>
      </c>
      <c r="D13">
        <f>IF(DE_ress_transv!D13=-1,-1,
DE_ress_transv!D13+IF(AND(INDEX(Data_metier!$G:$G,MATCH(D$1,Data_metier!$B:$B,0))="Non",
INDEX(Data_metier!$G:$G,MATCH($A13,Data_metier!$B:$B,0))="Oui, en amont OU aval"),
0.5,
IF(AND(INDEX(Data_metier!$G:$G,MATCH(D$1,Data_metier!$B:$B,0))="Non",
INDEX(Data_metier!$G:$G,MATCH($A13,Data_metier!$B:$B,0))="Oui, en amont ET aval"),
1,
IF(AND(INDEX(Data_metier!$G:$G,MATCH(D$1,Data_metier!$B:$B,0))="Oui, en amont OU aval",
INDEX(Data_metier!$G:$G,MATCH($A13,Data_metier!$B:$B,0))="Oui, en amont ET aval"),
0.5,
0))))</f>
        <v>1.1666666666666667</v>
      </c>
      <c r="E13">
        <f>IF(DE_ress_transv!E13=-1,-1,
DE_ress_transv!E13+IF(AND(INDEX(Data_metier!$G:$G,MATCH(E$1,Data_metier!$B:$B,0))="Non",
INDEX(Data_metier!$G:$G,MATCH($A13,Data_metier!$B:$B,0))="Oui, en amont OU aval"),
0.5,
IF(AND(INDEX(Data_metier!$G:$G,MATCH(E$1,Data_metier!$B:$B,0))="Non",
INDEX(Data_metier!$G:$G,MATCH($A13,Data_metier!$B:$B,0))="Oui, en amont ET aval"),
1,
IF(AND(INDEX(Data_metier!$G:$G,MATCH(E$1,Data_metier!$B:$B,0))="Oui, en amont OU aval",
INDEX(Data_metier!$G:$G,MATCH($A13,Data_metier!$B:$B,0))="Oui, en amont ET aval"),
0.5,
0))))</f>
        <v>-1</v>
      </c>
      <c r="F13">
        <f>IF(DE_ress_transv!F13=-1,-1,
DE_ress_transv!F13+IF(AND(INDEX(Data_metier!$G:$G,MATCH(F$1,Data_metier!$B:$B,0))="Non",
INDEX(Data_metier!$G:$G,MATCH($A13,Data_metier!$B:$B,0))="Oui, en amont OU aval"),
0.5,
IF(AND(INDEX(Data_metier!$G:$G,MATCH(F$1,Data_metier!$B:$B,0))="Non",
INDEX(Data_metier!$G:$G,MATCH($A13,Data_metier!$B:$B,0))="Oui, en amont ET aval"),
1,
IF(AND(INDEX(Data_metier!$G:$G,MATCH(F$1,Data_metier!$B:$B,0))="Oui, en amont OU aval",
INDEX(Data_metier!$G:$G,MATCH($A13,Data_metier!$B:$B,0))="Oui, en amont ET aval"),
0.5,
0))))</f>
        <v>-1</v>
      </c>
      <c r="G13">
        <f>IF(DE_ress_transv!G13=-1,-1,
DE_ress_transv!G13+IF(AND(INDEX(Data_metier!$G:$G,MATCH(G$1,Data_metier!$B:$B,0))="Non",
INDEX(Data_metier!$G:$G,MATCH($A13,Data_metier!$B:$B,0))="Oui, en amont OU aval"),
0.5,
IF(AND(INDEX(Data_metier!$G:$G,MATCH(G$1,Data_metier!$B:$B,0))="Non",
INDEX(Data_metier!$G:$G,MATCH($A13,Data_metier!$B:$B,0))="Oui, en amont ET aval"),
1,
IF(AND(INDEX(Data_metier!$G:$G,MATCH(G$1,Data_metier!$B:$B,0))="Oui, en amont OU aval",
INDEX(Data_metier!$G:$G,MATCH($A13,Data_metier!$B:$B,0))="Oui, en amont ET aval"),
0.5,
0))))</f>
        <v>-1</v>
      </c>
      <c r="H13">
        <f>IF(DE_ress_transv!H13=-1,-1,
DE_ress_transv!H13+IF(AND(INDEX(Data_metier!$G:$G,MATCH(H$1,Data_metier!$B:$B,0))="Non",
INDEX(Data_metier!$G:$G,MATCH($A13,Data_metier!$B:$B,0))="Oui, en amont OU aval"),
0.5,
IF(AND(INDEX(Data_metier!$G:$G,MATCH(H$1,Data_metier!$B:$B,0))="Non",
INDEX(Data_metier!$G:$G,MATCH($A13,Data_metier!$B:$B,0))="Oui, en amont ET aval"),
1,
IF(AND(INDEX(Data_metier!$G:$G,MATCH(H$1,Data_metier!$B:$B,0))="Oui, en amont OU aval",
INDEX(Data_metier!$G:$G,MATCH($A13,Data_metier!$B:$B,0))="Oui, en amont ET aval"),
0.5,
0))))</f>
        <v>-1</v>
      </c>
      <c r="I13">
        <f>IF(DE_ress_transv!I13=-1,-1,
DE_ress_transv!I13+IF(AND(INDEX(Data_metier!$G:$G,MATCH(I$1,Data_metier!$B:$B,0))="Non",
INDEX(Data_metier!$G:$G,MATCH($A13,Data_metier!$B:$B,0))="Oui, en amont OU aval"),
0.5,
IF(AND(INDEX(Data_metier!$G:$G,MATCH(I$1,Data_metier!$B:$B,0))="Non",
INDEX(Data_metier!$G:$G,MATCH($A13,Data_metier!$B:$B,0))="Oui, en amont ET aval"),
1,
IF(AND(INDEX(Data_metier!$G:$G,MATCH(I$1,Data_metier!$B:$B,0))="Oui, en amont OU aval",
INDEX(Data_metier!$G:$G,MATCH($A13,Data_metier!$B:$B,0))="Oui, en amont ET aval"),
0.5,
0))))</f>
        <v>1.1666666666666667</v>
      </c>
      <c r="J13">
        <f>IF(DE_ress_transv!J13=-1,-1,
DE_ress_transv!J13+IF(AND(INDEX(Data_metier!$G:$G,MATCH(J$1,Data_metier!$B:$B,0))="Non",
INDEX(Data_metier!$G:$G,MATCH($A13,Data_metier!$B:$B,0))="Oui, en amont OU aval"),
0.5,
IF(AND(INDEX(Data_metier!$G:$G,MATCH(J$1,Data_metier!$B:$B,0))="Non",
INDEX(Data_metier!$G:$G,MATCH($A13,Data_metier!$B:$B,0))="Oui, en amont ET aval"),
1,
IF(AND(INDEX(Data_metier!$G:$G,MATCH(J$1,Data_metier!$B:$B,0))="Oui, en amont OU aval",
INDEX(Data_metier!$G:$G,MATCH($A13,Data_metier!$B:$B,0))="Oui, en amont ET aval"),
0.5,
0))))</f>
        <v>-1</v>
      </c>
      <c r="K13">
        <f>IF(DE_ress_transv!K13=-1,-1,
DE_ress_transv!K13+IF(AND(INDEX(Data_metier!$G:$G,MATCH(K$1,Data_metier!$B:$B,0))="Non",
INDEX(Data_metier!$G:$G,MATCH($A13,Data_metier!$B:$B,0))="Oui, en amont OU aval"),
0.5,
IF(AND(INDEX(Data_metier!$G:$G,MATCH(K$1,Data_metier!$B:$B,0))="Non",
INDEX(Data_metier!$G:$G,MATCH($A13,Data_metier!$B:$B,0))="Oui, en amont ET aval"),
1,
IF(AND(INDEX(Data_metier!$G:$G,MATCH(K$1,Data_metier!$B:$B,0))="Oui, en amont OU aval",
INDEX(Data_metier!$G:$G,MATCH($A13,Data_metier!$B:$B,0))="Oui, en amont ET aval"),
0.5,
0))))</f>
        <v>-1</v>
      </c>
      <c r="L13">
        <f>IF(DE_ress_transv!L13=-1,-1,
DE_ress_transv!L13+IF(AND(INDEX(Data_metier!$G:$G,MATCH(L$1,Data_metier!$B:$B,0))="Non",
INDEX(Data_metier!$G:$G,MATCH($A13,Data_metier!$B:$B,0))="Oui, en amont OU aval"),
0.5,
IF(AND(INDEX(Data_metier!$G:$G,MATCH(L$1,Data_metier!$B:$B,0))="Non",
INDEX(Data_metier!$G:$G,MATCH($A13,Data_metier!$B:$B,0))="Oui, en amont ET aval"),
1,
IF(AND(INDEX(Data_metier!$G:$G,MATCH(L$1,Data_metier!$B:$B,0))="Oui, en amont OU aval",
INDEX(Data_metier!$G:$G,MATCH($A13,Data_metier!$B:$B,0))="Oui, en amont ET aval"),
0.5,
0))))</f>
        <v>1</v>
      </c>
      <c r="M13">
        <f>IF(DE_ress_transv!M13=-1,-1,
DE_ress_transv!M13+IF(AND(INDEX(Data_metier!$G:$G,MATCH(M$1,Data_metier!$B:$B,0))="Non",
INDEX(Data_metier!$G:$G,MATCH($A13,Data_metier!$B:$B,0))="Oui, en amont OU aval"),
0.5,
IF(AND(INDEX(Data_metier!$G:$G,MATCH(M$1,Data_metier!$B:$B,0))="Non",
INDEX(Data_metier!$G:$G,MATCH($A13,Data_metier!$B:$B,0))="Oui, en amont ET aval"),
1,
IF(AND(INDEX(Data_metier!$G:$G,MATCH(M$1,Data_metier!$B:$B,0))="Oui, en amont OU aval",
INDEX(Data_metier!$G:$G,MATCH($A13,Data_metier!$B:$B,0))="Oui, en amont ET aval"),
0.5,
0))))</f>
        <v>0</v>
      </c>
      <c r="N13">
        <f>IF(DE_ress_transv!N13=-1,-1,
DE_ress_transv!N13+IF(AND(INDEX(Data_metier!$G:$G,MATCH(N$1,Data_metier!$B:$B,0))="Non",
INDEX(Data_metier!$G:$G,MATCH($A13,Data_metier!$B:$B,0))="Oui, en amont OU aval"),
0.5,
IF(AND(INDEX(Data_metier!$G:$G,MATCH(N$1,Data_metier!$B:$B,0))="Non",
INDEX(Data_metier!$G:$G,MATCH($A13,Data_metier!$B:$B,0))="Oui, en amont ET aval"),
1,
IF(AND(INDEX(Data_metier!$G:$G,MATCH(N$1,Data_metier!$B:$B,0))="Oui, en amont OU aval",
INDEX(Data_metier!$G:$G,MATCH($A13,Data_metier!$B:$B,0))="Oui, en amont ET aval"),
0.5,
0))))</f>
        <v>-1</v>
      </c>
      <c r="O13">
        <f>IF(DE_ress_transv!O13=-1,-1,
DE_ress_transv!O13+IF(AND(INDEX(Data_metier!$G:$G,MATCH(O$1,Data_metier!$B:$B,0))="Non",
INDEX(Data_metier!$G:$G,MATCH($A13,Data_metier!$B:$B,0))="Oui, en amont OU aval"),
0.5,
IF(AND(INDEX(Data_metier!$G:$G,MATCH(O$1,Data_metier!$B:$B,0))="Non",
INDEX(Data_metier!$G:$G,MATCH($A13,Data_metier!$B:$B,0))="Oui, en amont ET aval"),
1,
IF(AND(INDEX(Data_metier!$G:$G,MATCH(O$1,Data_metier!$B:$B,0))="Oui, en amont OU aval",
INDEX(Data_metier!$G:$G,MATCH($A13,Data_metier!$B:$B,0))="Oui, en amont ET aval"),
0.5,
0))))</f>
        <v>1</v>
      </c>
      <c r="P13">
        <f>IF(DE_ress_transv!P13=-1,-1,
DE_ress_transv!P13+IF(AND(INDEX(Data_metier!$G:$G,MATCH(P$1,Data_metier!$B:$B,0))="Non",
INDEX(Data_metier!$G:$G,MATCH($A13,Data_metier!$B:$B,0))="Oui, en amont OU aval"),
0.5,
IF(AND(INDEX(Data_metier!$G:$G,MATCH(P$1,Data_metier!$B:$B,0))="Non",
INDEX(Data_metier!$G:$G,MATCH($A13,Data_metier!$B:$B,0))="Oui, en amont ET aval"),
1,
IF(AND(INDEX(Data_metier!$G:$G,MATCH(P$1,Data_metier!$B:$B,0))="Oui, en amont OU aval",
INDEX(Data_metier!$G:$G,MATCH($A13,Data_metier!$B:$B,0))="Oui, en amont ET aval"),
0.5,
0))))</f>
        <v>1.1666666666666667</v>
      </c>
      <c r="Q13">
        <f>IF(DE_ress_transv!Q13=-1,-1,
DE_ress_transv!Q13+IF(AND(INDEX(Data_metier!$G:$G,MATCH(Q$1,Data_metier!$B:$B,0))="Non",
INDEX(Data_metier!$G:$G,MATCH($A13,Data_metier!$B:$B,0))="Oui, en amont OU aval"),
0.5,
IF(AND(INDEX(Data_metier!$G:$G,MATCH(Q$1,Data_metier!$B:$B,0))="Non",
INDEX(Data_metier!$G:$G,MATCH($A13,Data_metier!$B:$B,0))="Oui, en amont ET aval"),
1,
IF(AND(INDEX(Data_metier!$G:$G,MATCH(Q$1,Data_metier!$B:$B,0))="Oui, en amont OU aval",
INDEX(Data_metier!$G:$G,MATCH($A13,Data_metier!$B:$B,0))="Oui, en amont ET aval"),
0.5,
0))))</f>
        <v>-1</v>
      </c>
      <c r="R13">
        <f>IF(DE_ress_transv!R13=-1,-1,
DE_ress_transv!R13+IF(AND(INDEX(Data_metier!$G:$G,MATCH(R$1,Data_metier!$B:$B,0))="Non",
INDEX(Data_metier!$G:$G,MATCH($A13,Data_metier!$B:$B,0))="Oui, en amont OU aval"),
0.5,
IF(AND(INDEX(Data_metier!$G:$G,MATCH(R$1,Data_metier!$B:$B,0))="Non",
INDEX(Data_metier!$G:$G,MATCH($A13,Data_metier!$B:$B,0))="Oui, en amont ET aval"),
1,
IF(AND(INDEX(Data_metier!$G:$G,MATCH(R$1,Data_metier!$B:$B,0))="Oui, en amont OU aval",
INDEX(Data_metier!$G:$G,MATCH($A13,Data_metier!$B:$B,0))="Oui, en amont ET aval"),
0.5,
0))))</f>
        <v>-1</v>
      </c>
      <c r="S13">
        <f>IF(DE_ress_transv!S13=-1,-1,
DE_ress_transv!S13+IF(AND(INDEX(Data_metier!$G:$G,MATCH(S$1,Data_metier!$B:$B,0))="Non",
INDEX(Data_metier!$G:$G,MATCH($A13,Data_metier!$B:$B,0))="Oui, en amont OU aval"),
0.5,
IF(AND(INDEX(Data_metier!$G:$G,MATCH(S$1,Data_metier!$B:$B,0))="Non",
INDEX(Data_metier!$G:$G,MATCH($A13,Data_metier!$B:$B,0))="Oui, en amont ET aval"),
1,
IF(AND(INDEX(Data_metier!$G:$G,MATCH(S$1,Data_metier!$B:$B,0))="Oui, en amont OU aval",
INDEX(Data_metier!$G:$G,MATCH($A13,Data_metier!$B:$B,0))="Oui, en amont ET aval"),
0.5,
0))))</f>
        <v>1.1666666666666667</v>
      </c>
      <c r="T13">
        <f>IF(DE_ress_transv!T13=-1,-1,
DE_ress_transv!T13+IF(AND(INDEX(Data_metier!$G:$G,MATCH(T$1,Data_metier!$B:$B,0))="Non",
INDEX(Data_metier!$G:$G,MATCH($A13,Data_metier!$B:$B,0))="Oui, en amont OU aval"),
0.5,
IF(AND(INDEX(Data_metier!$G:$G,MATCH(T$1,Data_metier!$B:$B,0))="Non",
INDEX(Data_metier!$G:$G,MATCH($A13,Data_metier!$B:$B,0))="Oui, en amont ET aval"),
1,
IF(AND(INDEX(Data_metier!$G:$G,MATCH(T$1,Data_metier!$B:$B,0))="Oui, en amont OU aval",
INDEX(Data_metier!$G:$G,MATCH($A13,Data_metier!$B:$B,0))="Oui, en amont ET aval"),
0.5,
0))))</f>
        <v>1.1666666666666667</v>
      </c>
      <c r="U13">
        <f>IF(DE_ress_transv!U13=-1,-1,
DE_ress_transv!U13+IF(AND(INDEX(Data_metier!$G:$G,MATCH(U$1,Data_metier!$B:$B,0))="Non",
INDEX(Data_metier!$G:$G,MATCH($A13,Data_metier!$B:$B,0))="Oui, en amont OU aval"),
0.5,
IF(AND(INDEX(Data_metier!$G:$G,MATCH(U$1,Data_metier!$B:$B,0))="Non",
INDEX(Data_metier!$G:$G,MATCH($A13,Data_metier!$B:$B,0))="Oui, en amont ET aval"),
1,
IF(AND(INDEX(Data_metier!$G:$G,MATCH(U$1,Data_metier!$B:$B,0))="Oui, en amont OU aval",
INDEX(Data_metier!$G:$G,MATCH($A13,Data_metier!$B:$B,0))="Oui, en amont ET aval"),
0.5,
0))))</f>
        <v>1.1666666666666667</v>
      </c>
      <c r="V13">
        <f>IF(DE_ress_transv!V13=-1,-1,
DE_ress_transv!V13+IF(AND(INDEX(Data_metier!$G:$G,MATCH(V$1,Data_metier!$B:$B,0))="Non",
INDEX(Data_metier!$G:$G,MATCH($A13,Data_metier!$B:$B,0))="Oui, en amont OU aval"),
0.5,
IF(AND(INDEX(Data_metier!$G:$G,MATCH(V$1,Data_metier!$B:$B,0))="Non",
INDEX(Data_metier!$G:$G,MATCH($A13,Data_metier!$B:$B,0))="Oui, en amont ET aval"),
1,
IF(AND(INDEX(Data_metier!$G:$G,MATCH(V$1,Data_metier!$B:$B,0))="Oui, en amont OU aval",
INDEX(Data_metier!$G:$G,MATCH($A13,Data_metier!$B:$B,0))="Oui, en amont ET aval"),
0.5,
0))))</f>
        <v>0</v>
      </c>
      <c r="W13">
        <f>IF(DE_ress_transv!W13=-1,-1,
DE_ress_transv!W13+IF(AND(INDEX(Data_metier!$G:$G,MATCH(W$1,Data_metier!$B:$B,0))="Non",
INDEX(Data_metier!$G:$G,MATCH($A13,Data_metier!$B:$B,0))="Oui, en amont OU aval"),
0.5,
IF(AND(INDEX(Data_metier!$G:$G,MATCH(W$1,Data_metier!$B:$B,0))="Non",
INDEX(Data_metier!$G:$G,MATCH($A13,Data_metier!$B:$B,0))="Oui, en amont ET aval"),
1,
IF(AND(INDEX(Data_metier!$G:$G,MATCH(W$1,Data_metier!$B:$B,0))="Oui, en amont OU aval",
INDEX(Data_metier!$G:$G,MATCH($A13,Data_metier!$B:$B,0))="Oui, en amont ET aval"),
0.5,
0))))</f>
        <v>0</v>
      </c>
      <c r="X13">
        <f>IF(DE_ress_transv!X13=-1,-1,
DE_ress_transv!X13+IF(AND(INDEX(Data_metier!$G:$G,MATCH(X$1,Data_metier!$B:$B,0))="Non",
INDEX(Data_metier!$G:$G,MATCH($A13,Data_metier!$B:$B,0))="Oui, en amont OU aval"),
0.5,
IF(AND(INDEX(Data_metier!$G:$G,MATCH(X$1,Data_metier!$B:$B,0))="Non",
INDEX(Data_metier!$G:$G,MATCH($A13,Data_metier!$B:$B,0))="Oui, en amont ET aval"),
1,
IF(AND(INDEX(Data_metier!$G:$G,MATCH(X$1,Data_metier!$B:$B,0))="Oui, en amont OU aval",
INDEX(Data_metier!$G:$G,MATCH($A13,Data_metier!$B:$B,0))="Oui, en amont ET aval"),
0.5,
0))))</f>
        <v>-1</v>
      </c>
      <c r="Y13">
        <f>IF(DE_ress_transv!Y13=-1,-1,
DE_ress_transv!Y13+IF(AND(INDEX(Data_metier!$G:$G,MATCH(Y$1,Data_metier!$B:$B,0))="Non",
INDEX(Data_metier!$G:$G,MATCH($A13,Data_metier!$B:$B,0))="Oui, en amont OU aval"),
0.5,
IF(AND(INDEX(Data_metier!$G:$G,MATCH(Y$1,Data_metier!$B:$B,0))="Non",
INDEX(Data_metier!$G:$G,MATCH($A13,Data_metier!$B:$B,0))="Oui, en amont ET aval"),
1,
IF(AND(INDEX(Data_metier!$G:$G,MATCH(Y$1,Data_metier!$B:$B,0))="Oui, en amont OU aval",
INDEX(Data_metier!$G:$G,MATCH($A13,Data_metier!$B:$B,0))="Oui, en amont ET aval"),
0.5,
0))))</f>
        <v>1.1666666666666667</v>
      </c>
      <c r="Z13">
        <f>IF(DE_ress_transv!Z13=-1,-1,
DE_ress_transv!Z13+IF(AND(INDEX(Data_metier!$G:$G,MATCH(Z$1,Data_metier!$B:$B,0))="Non",
INDEX(Data_metier!$G:$G,MATCH($A13,Data_metier!$B:$B,0))="Oui, en amont OU aval"),
0.5,
IF(AND(INDEX(Data_metier!$G:$G,MATCH(Z$1,Data_metier!$B:$B,0))="Non",
INDEX(Data_metier!$G:$G,MATCH($A13,Data_metier!$B:$B,0))="Oui, en amont ET aval"),
1,
IF(AND(INDEX(Data_metier!$G:$G,MATCH(Z$1,Data_metier!$B:$B,0))="Oui, en amont OU aval",
INDEX(Data_metier!$G:$G,MATCH($A13,Data_metier!$B:$B,0))="Oui, en amont ET aval"),
0.5,
0))))</f>
        <v>1.1666666666666667</v>
      </c>
      <c r="AA13">
        <f>IF(DE_ress_transv!AA13=-1,-1,
DE_ress_transv!AA13+IF(AND(INDEX(Data_metier!$G:$G,MATCH(AA$1,Data_metier!$B:$B,0))="Non",
INDEX(Data_metier!$G:$G,MATCH($A13,Data_metier!$B:$B,0))="Oui, en amont OU aval"),
0.5,
IF(AND(INDEX(Data_metier!$G:$G,MATCH(AA$1,Data_metier!$B:$B,0))="Non",
INDEX(Data_metier!$G:$G,MATCH($A13,Data_metier!$B:$B,0))="Oui, en amont ET aval"),
1,
IF(AND(INDEX(Data_metier!$G:$G,MATCH(AA$1,Data_metier!$B:$B,0))="Oui, en amont OU aval",
INDEX(Data_metier!$G:$G,MATCH($A13,Data_metier!$B:$B,0))="Oui, en amont ET aval"),
0.5,
0))))</f>
        <v>1.1666666666666667</v>
      </c>
      <c r="AB13">
        <f>IF(DE_ress_transv!AB13=-1,-1,
DE_ress_transv!AB13+IF(AND(INDEX(Data_metier!$G:$G,MATCH(AB$1,Data_metier!$B:$B,0))="Non",
INDEX(Data_metier!$G:$G,MATCH($A13,Data_metier!$B:$B,0))="Oui, en amont OU aval"),
0.5,
IF(AND(INDEX(Data_metier!$G:$G,MATCH(AB$1,Data_metier!$B:$B,0))="Non",
INDEX(Data_metier!$G:$G,MATCH($A13,Data_metier!$B:$B,0))="Oui, en amont ET aval"),
1,
IF(AND(INDEX(Data_metier!$G:$G,MATCH(AB$1,Data_metier!$B:$B,0))="Oui, en amont OU aval",
INDEX(Data_metier!$G:$G,MATCH($A13,Data_metier!$B:$B,0))="Oui, en amont ET aval"),
0.5,
0))))</f>
        <v>0</v>
      </c>
      <c r="AC13">
        <f>IF(DE_ress_transv!AC13=-1,-1,
DE_ress_transv!AC13+IF(AND(INDEX(Data_metier!$G:$G,MATCH(AC$1,Data_metier!$B:$B,0))="Non",
INDEX(Data_metier!$G:$G,MATCH($A13,Data_metier!$B:$B,0))="Oui, en amont OU aval"),
0.5,
IF(AND(INDEX(Data_metier!$G:$G,MATCH(AC$1,Data_metier!$B:$B,0))="Non",
INDEX(Data_metier!$G:$G,MATCH($A13,Data_metier!$B:$B,0))="Oui, en amont ET aval"),
1,
IF(AND(INDEX(Data_metier!$G:$G,MATCH(AC$1,Data_metier!$B:$B,0))="Oui, en amont OU aval",
INDEX(Data_metier!$G:$G,MATCH($A13,Data_metier!$B:$B,0))="Oui, en amont ET aval"),
0.5,
0))))</f>
        <v>0</v>
      </c>
      <c r="AD13">
        <f>IF(DE_ress_transv!AD13=-1,-1,
DE_ress_transv!AD13+IF(AND(INDEX(Data_metier!$G:$G,MATCH(AD$1,Data_metier!$B:$B,0))="Non",
INDEX(Data_metier!$G:$G,MATCH($A13,Data_metier!$B:$B,0))="Oui, en amont OU aval"),
0.5,
IF(AND(INDEX(Data_metier!$G:$G,MATCH(AD$1,Data_metier!$B:$B,0))="Non",
INDEX(Data_metier!$G:$G,MATCH($A13,Data_metier!$B:$B,0))="Oui, en amont ET aval"),
1,
IF(AND(INDEX(Data_metier!$G:$G,MATCH(AD$1,Data_metier!$B:$B,0))="Oui, en amont OU aval",
INDEX(Data_metier!$G:$G,MATCH($A13,Data_metier!$B:$B,0))="Oui, en amont ET aval"),
0.5,
0))))</f>
        <v>-1</v>
      </c>
    </row>
    <row r="14" spans="1:30">
      <c r="A14" s="55" t="str">
        <v>Spécialiste procédés et installations de production alimentaire</v>
      </c>
      <c r="B14">
        <f>IF(DE_ress_transv!B14=-1,-1,
DE_ress_transv!B14+IF(AND(INDEX(Data_metier!$G:$G,MATCH(B$1,Data_metier!$B:$B,0))="Non",
INDEX(Data_metier!$G:$G,MATCH($A14,Data_metier!$B:$B,0))="Oui, en amont OU aval"),
0.5,
IF(AND(INDEX(Data_metier!$G:$G,MATCH(B$1,Data_metier!$B:$B,0))="Non",
INDEX(Data_metier!$G:$G,MATCH($A14,Data_metier!$B:$B,0))="Oui, en amont ET aval"),
1,
IF(AND(INDEX(Data_metier!$G:$G,MATCH(B$1,Data_metier!$B:$B,0))="Oui, en amont OU aval",
INDEX(Data_metier!$G:$G,MATCH($A14,Data_metier!$B:$B,0))="Oui, en amont ET aval"),
0.5,
0))))</f>
        <v>2.5</v>
      </c>
      <c r="C14">
        <f>IF(DE_ress_transv!C14=-1,-1,
DE_ress_transv!C14+IF(AND(INDEX(Data_metier!$G:$G,MATCH(C$1,Data_metier!$B:$B,0))="Non",
INDEX(Data_metier!$G:$G,MATCH($A14,Data_metier!$B:$B,0))="Oui, en amont OU aval"),
0.5,
IF(AND(INDEX(Data_metier!$G:$G,MATCH(C$1,Data_metier!$B:$B,0))="Non",
INDEX(Data_metier!$G:$G,MATCH($A14,Data_metier!$B:$B,0))="Oui, en amont ET aval"),
1,
IF(AND(INDEX(Data_metier!$G:$G,MATCH(C$1,Data_metier!$B:$B,0))="Oui, en amont OU aval",
INDEX(Data_metier!$G:$G,MATCH($A14,Data_metier!$B:$B,0))="Oui, en amont ET aval"),
0.5,
0))))</f>
        <v>3</v>
      </c>
      <c r="D14">
        <f>IF(DE_ress_transv!D14=-1,-1,
DE_ress_transv!D14+IF(AND(INDEX(Data_metier!$G:$G,MATCH(D$1,Data_metier!$B:$B,0))="Non",
INDEX(Data_metier!$G:$G,MATCH($A14,Data_metier!$B:$B,0))="Oui, en amont OU aval"),
0.5,
IF(AND(INDEX(Data_metier!$G:$G,MATCH(D$1,Data_metier!$B:$B,0))="Non",
INDEX(Data_metier!$G:$G,MATCH($A14,Data_metier!$B:$B,0))="Oui, en amont ET aval"),
1,
IF(AND(INDEX(Data_metier!$G:$G,MATCH(D$1,Data_metier!$B:$B,0))="Oui, en amont OU aval",
INDEX(Data_metier!$G:$G,MATCH($A14,Data_metier!$B:$B,0))="Oui, en amont ET aval"),
0.5,
0))))</f>
        <v>3.9999999999999996</v>
      </c>
      <c r="E14">
        <f>IF(DE_ress_transv!E14=-1,-1,
DE_ress_transv!E14+IF(AND(INDEX(Data_metier!$G:$G,MATCH(E$1,Data_metier!$B:$B,0))="Non",
INDEX(Data_metier!$G:$G,MATCH($A14,Data_metier!$B:$B,0))="Oui, en amont OU aval"),
0.5,
IF(AND(INDEX(Data_metier!$G:$G,MATCH(E$1,Data_metier!$B:$B,0))="Non",
INDEX(Data_metier!$G:$G,MATCH($A14,Data_metier!$B:$B,0))="Oui, en amont ET aval"),
1,
IF(AND(INDEX(Data_metier!$G:$G,MATCH(E$1,Data_metier!$B:$B,0))="Oui, en amont OU aval",
INDEX(Data_metier!$G:$G,MATCH($A14,Data_metier!$B:$B,0))="Oui, en amont ET aval"),
0.5,
0))))</f>
        <v>-1</v>
      </c>
      <c r="F14">
        <f>IF(DE_ress_transv!F14=-1,-1,
DE_ress_transv!F14+IF(AND(INDEX(Data_metier!$G:$G,MATCH(F$1,Data_metier!$B:$B,0))="Non",
INDEX(Data_metier!$G:$G,MATCH($A14,Data_metier!$B:$B,0))="Oui, en amont OU aval"),
0.5,
IF(AND(INDEX(Data_metier!$G:$G,MATCH(F$1,Data_metier!$B:$B,0))="Non",
INDEX(Data_metier!$G:$G,MATCH($A14,Data_metier!$B:$B,0))="Oui, en amont ET aval"),
1,
IF(AND(INDEX(Data_metier!$G:$G,MATCH(F$1,Data_metier!$B:$B,0))="Oui, en amont OU aval",
INDEX(Data_metier!$G:$G,MATCH($A14,Data_metier!$B:$B,0))="Oui, en amont ET aval"),
0.5,
0))))</f>
        <v>-0.33333333333333337</v>
      </c>
      <c r="G14">
        <f>IF(DE_ress_transv!G14=-1,-1,
DE_ress_transv!G14+IF(AND(INDEX(Data_metier!$G:$G,MATCH(G$1,Data_metier!$B:$B,0))="Non",
INDEX(Data_metier!$G:$G,MATCH($A14,Data_metier!$B:$B,0))="Oui, en amont OU aval"),
0.5,
IF(AND(INDEX(Data_metier!$G:$G,MATCH(G$1,Data_metier!$B:$B,0))="Non",
INDEX(Data_metier!$G:$G,MATCH($A14,Data_metier!$B:$B,0))="Oui, en amont ET aval"),
1,
IF(AND(INDEX(Data_metier!$G:$G,MATCH(G$1,Data_metier!$B:$B,0))="Oui, en amont OU aval",
INDEX(Data_metier!$G:$G,MATCH($A14,Data_metier!$B:$B,0))="Oui, en amont ET aval"),
0.5,
0))))</f>
        <v>-1</v>
      </c>
      <c r="H14">
        <f>IF(DE_ress_transv!H14=-1,-1,
DE_ress_transv!H14+IF(AND(INDEX(Data_metier!$G:$G,MATCH(H$1,Data_metier!$B:$B,0))="Non",
INDEX(Data_metier!$G:$G,MATCH($A14,Data_metier!$B:$B,0))="Oui, en amont OU aval"),
0.5,
IF(AND(INDEX(Data_metier!$G:$G,MATCH(H$1,Data_metier!$B:$B,0))="Non",
INDEX(Data_metier!$G:$G,MATCH($A14,Data_metier!$B:$B,0))="Oui, en amont ET aval"),
1,
IF(AND(INDEX(Data_metier!$G:$G,MATCH(H$1,Data_metier!$B:$B,0))="Oui, en amont OU aval",
INDEX(Data_metier!$G:$G,MATCH($A14,Data_metier!$B:$B,0))="Oui, en amont ET aval"),
0.5,
0))))</f>
        <v>-1</v>
      </c>
      <c r="I14">
        <f>IF(DE_ress_transv!I14=-1,-1,
DE_ress_transv!I14+IF(AND(INDEX(Data_metier!$G:$G,MATCH(I$1,Data_metier!$B:$B,0))="Non",
INDEX(Data_metier!$G:$G,MATCH($A14,Data_metier!$B:$B,0))="Oui, en amont OU aval"),
0.5,
IF(AND(INDEX(Data_metier!$G:$G,MATCH(I$1,Data_metier!$B:$B,0))="Non",
INDEX(Data_metier!$G:$G,MATCH($A14,Data_metier!$B:$B,0))="Oui, en amont ET aval"),
1,
IF(AND(INDEX(Data_metier!$G:$G,MATCH(I$1,Data_metier!$B:$B,0))="Oui, en amont OU aval",
INDEX(Data_metier!$G:$G,MATCH($A14,Data_metier!$B:$B,0))="Oui, en amont ET aval"),
0.5,
0))))</f>
        <v>3.9999999999999996</v>
      </c>
      <c r="J14">
        <f>IF(DE_ress_transv!J14=-1,-1,
DE_ress_transv!J14+IF(AND(INDEX(Data_metier!$G:$G,MATCH(J$1,Data_metier!$B:$B,0))="Non",
INDEX(Data_metier!$G:$G,MATCH($A14,Data_metier!$B:$B,0))="Oui, en amont OU aval"),
0.5,
IF(AND(INDEX(Data_metier!$G:$G,MATCH(J$1,Data_metier!$B:$B,0))="Non",
INDEX(Data_metier!$G:$G,MATCH($A14,Data_metier!$B:$B,0))="Oui, en amont ET aval"),
1,
IF(AND(INDEX(Data_metier!$G:$G,MATCH(J$1,Data_metier!$B:$B,0))="Oui, en amont OU aval",
INDEX(Data_metier!$G:$G,MATCH($A14,Data_metier!$B:$B,0))="Oui, en amont ET aval"),
0.5,
0))))</f>
        <v>0.16666666666666663</v>
      </c>
      <c r="K14">
        <f>IF(DE_ress_transv!K14=-1,-1,
DE_ress_transv!K14+IF(AND(INDEX(Data_metier!$G:$G,MATCH(K$1,Data_metier!$B:$B,0))="Non",
INDEX(Data_metier!$G:$G,MATCH($A14,Data_metier!$B:$B,0))="Oui, en amont OU aval"),
0.5,
IF(AND(INDEX(Data_metier!$G:$G,MATCH(K$1,Data_metier!$B:$B,0))="Non",
INDEX(Data_metier!$G:$G,MATCH($A14,Data_metier!$B:$B,0))="Oui, en amont ET aval"),
1,
IF(AND(INDEX(Data_metier!$G:$G,MATCH(K$1,Data_metier!$B:$B,0))="Oui, en amont OU aval",
INDEX(Data_metier!$G:$G,MATCH($A14,Data_metier!$B:$B,0))="Oui, en amont ET aval"),
0.5,
0))))</f>
        <v>-1</v>
      </c>
      <c r="L14">
        <f>IF(DE_ress_transv!L14=-1,-1,
DE_ress_transv!L14+IF(AND(INDEX(Data_metier!$G:$G,MATCH(L$1,Data_metier!$B:$B,0))="Non",
INDEX(Data_metier!$G:$G,MATCH($A14,Data_metier!$B:$B,0))="Oui, en amont OU aval"),
0.5,
IF(AND(INDEX(Data_metier!$G:$G,MATCH(L$1,Data_metier!$B:$B,0))="Non",
INDEX(Data_metier!$G:$G,MATCH($A14,Data_metier!$B:$B,0))="Oui, en amont ET aval"),
1,
IF(AND(INDEX(Data_metier!$G:$G,MATCH(L$1,Data_metier!$B:$B,0))="Oui, en amont OU aval",
INDEX(Data_metier!$G:$G,MATCH($A14,Data_metier!$B:$B,0))="Oui, en amont ET aval"),
0.5,
0))))</f>
        <v>3.833333333333333</v>
      </c>
      <c r="M14">
        <f>IF(DE_ress_transv!M14=-1,-1,
DE_ress_transv!M14+IF(AND(INDEX(Data_metier!$G:$G,MATCH(M$1,Data_metier!$B:$B,0))="Non",
INDEX(Data_metier!$G:$G,MATCH($A14,Data_metier!$B:$B,0))="Oui, en amont OU aval"),
0.5,
IF(AND(INDEX(Data_metier!$G:$G,MATCH(M$1,Data_metier!$B:$B,0))="Non",
INDEX(Data_metier!$G:$G,MATCH($A14,Data_metier!$B:$B,0))="Oui, en amont ET aval"),
1,
IF(AND(INDEX(Data_metier!$G:$G,MATCH(M$1,Data_metier!$B:$B,0))="Oui, en amont OU aval",
INDEX(Data_metier!$G:$G,MATCH($A14,Data_metier!$B:$B,0))="Oui, en amont ET aval"),
0.5,
0))))</f>
        <v>3</v>
      </c>
      <c r="N14">
        <f>IF(DE_ress_transv!N14=-1,-1,
DE_ress_transv!N14+IF(AND(INDEX(Data_metier!$G:$G,MATCH(N$1,Data_metier!$B:$B,0))="Non",
INDEX(Data_metier!$G:$G,MATCH($A14,Data_metier!$B:$B,0))="Oui, en amont OU aval"),
0.5,
IF(AND(INDEX(Data_metier!$G:$G,MATCH(N$1,Data_metier!$B:$B,0))="Non",
INDEX(Data_metier!$G:$G,MATCH($A14,Data_metier!$B:$B,0))="Oui, en amont ET aval"),
1,
IF(AND(INDEX(Data_metier!$G:$G,MATCH(N$1,Data_metier!$B:$B,0))="Oui, en amont OU aval",
INDEX(Data_metier!$G:$G,MATCH($A14,Data_metier!$B:$B,0))="Oui, en amont ET aval"),
0.5,
0))))</f>
        <v>0</v>
      </c>
      <c r="O14">
        <f>IF(DE_ress_transv!O14=-1,-1,
DE_ress_transv!O14+IF(AND(INDEX(Data_metier!$G:$G,MATCH(O$1,Data_metier!$B:$B,0))="Non",
INDEX(Data_metier!$G:$G,MATCH($A14,Data_metier!$B:$B,0))="Oui, en amont OU aval"),
0.5,
IF(AND(INDEX(Data_metier!$G:$G,MATCH(O$1,Data_metier!$B:$B,0))="Non",
INDEX(Data_metier!$G:$G,MATCH($A14,Data_metier!$B:$B,0))="Oui, en amont ET aval"),
1,
IF(AND(INDEX(Data_metier!$G:$G,MATCH(O$1,Data_metier!$B:$B,0))="Oui, en amont OU aval",
INDEX(Data_metier!$G:$G,MATCH($A14,Data_metier!$B:$B,0))="Oui, en amont ET aval"),
0.5,
0))))</f>
        <v>3.833333333333333</v>
      </c>
      <c r="P14">
        <f>IF(DE_ress_transv!P14=-1,-1,
DE_ress_transv!P14+IF(AND(INDEX(Data_metier!$G:$G,MATCH(P$1,Data_metier!$B:$B,0))="Non",
INDEX(Data_metier!$G:$G,MATCH($A14,Data_metier!$B:$B,0))="Oui, en amont OU aval"),
0.5,
IF(AND(INDEX(Data_metier!$G:$G,MATCH(P$1,Data_metier!$B:$B,0))="Non",
INDEX(Data_metier!$G:$G,MATCH($A14,Data_metier!$B:$B,0))="Oui, en amont ET aval"),
1,
IF(AND(INDEX(Data_metier!$G:$G,MATCH(P$1,Data_metier!$B:$B,0))="Oui, en amont OU aval",
INDEX(Data_metier!$G:$G,MATCH($A14,Data_metier!$B:$B,0))="Oui, en amont ET aval"),
0.5,
0))))</f>
        <v>3.9999999999999996</v>
      </c>
      <c r="Q14">
        <f>IF(DE_ress_transv!Q14=-1,-1,
DE_ress_transv!Q14+IF(AND(INDEX(Data_metier!$G:$G,MATCH(Q$1,Data_metier!$B:$B,0))="Non",
INDEX(Data_metier!$G:$G,MATCH($A14,Data_metier!$B:$B,0))="Oui, en amont OU aval"),
0.5,
IF(AND(INDEX(Data_metier!$G:$G,MATCH(Q$1,Data_metier!$B:$B,0))="Non",
INDEX(Data_metier!$G:$G,MATCH($A14,Data_metier!$B:$B,0))="Oui, en amont ET aval"),
1,
IF(AND(INDEX(Data_metier!$G:$G,MATCH(Q$1,Data_metier!$B:$B,0))="Oui, en amont OU aval",
INDEX(Data_metier!$G:$G,MATCH($A14,Data_metier!$B:$B,0))="Oui, en amont ET aval"),
0.5,
0))))</f>
        <v>-1</v>
      </c>
      <c r="R14">
        <f>IF(DE_ress_transv!R14=-1,-1,
DE_ress_transv!R14+IF(AND(INDEX(Data_metier!$G:$G,MATCH(R$1,Data_metier!$B:$B,0))="Non",
INDEX(Data_metier!$G:$G,MATCH($A14,Data_metier!$B:$B,0))="Oui, en amont OU aval"),
0.5,
IF(AND(INDEX(Data_metier!$G:$G,MATCH(R$1,Data_metier!$B:$B,0))="Non",
INDEX(Data_metier!$G:$G,MATCH($A14,Data_metier!$B:$B,0))="Oui, en amont ET aval"),
1,
IF(AND(INDEX(Data_metier!$G:$G,MATCH(R$1,Data_metier!$B:$B,0))="Oui, en amont OU aval",
INDEX(Data_metier!$G:$G,MATCH($A14,Data_metier!$B:$B,0))="Oui, en amont ET aval"),
0.5,
0))))</f>
        <v>-1</v>
      </c>
      <c r="S14">
        <f>IF(DE_ress_transv!S14=-1,-1,
DE_ress_transv!S14+IF(AND(INDEX(Data_metier!$G:$G,MATCH(S$1,Data_metier!$B:$B,0))="Non",
INDEX(Data_metier!$G:$G,MATCH($A14,Data_metier!$B:$B,0))="Oui, en amont OU aval"),
0.5,
IF(AND(INDEX(Data_metier!$G:$G,MATCH(S$1,Data_metier!$B:$B,0))="Non",
INDEX(Data_metier!$G:$G,MATCH($A14,Data_metier!$B:$B,0))="Oui, en amont ET aval"),
1,
IF(AND(INDEX(Data_metier!$G:$G,MATCH(S$1,Data_metier!$B:$B,0))="Oui, en amont OU aval",
INDEX(Data_metier!$G:$G,MATCH($A14,Data_metier!$B:$B,0))="Oui, en amont ET aval"),
0.5,
0))))</f>
        <v>3.9999999999999996</v>
      </c>
      <c r="T14">
        <f>IF(DE_ress_transv!T14=-1,-1,
DE_ress_transv!T14+IF(AND(INDEX(Data_metier!$G:$G,MATCH(T$1,Data_metier!$B:$B,0))="Non",
INDEX(Data_metier!$G:$G,MATCH($A14,Data_metier!$B:$B,0))="Oui, en amont OU aval"),
0.5,
IF(AND(INDEX(Data_metier!$G:$G,MATCH(T$1,Data_metier!$B:$B,0))="Non",
INDEX(Data_metier!$G:$G,MATCH($A14,Data_metier!$B:$B,0))="Oui, en amont ET aval"),
1,
IF(AND(INDEX(Data_metier!$G:$G,MATCH(T$1,Data_metier!$B:$B,0))="Oui, en amont OU aval",
INDEX(Data_metier!$G:$G,MATCH($A14,Data_metier!$B:$B,0))="Oui, en amont ET aval"),
0.5,
0))))</f>
        <v>3.9999999999999996</v>
      </c>
      <c r="U14">
        <f>IF(DE_ress_transv!U14=-1,-1,
DE_ress_transv!U14+IF(AND(INDEX(Data_metier!$G:$G,MATCH(U$1,Data_metier!$B:$B,0))="Non",
INDEX(Data_metier!$G:$G,MATCH($A14,Data_metier!$B:$B,0))="Oui, en amont OU aval"),
0.5,
IF(AND(INDEX(Data_metier!$G:$G,MATCH(U$1,Data_metier!$B:$B,0))="Non",
INDEX(Data_metier!$G:$G,MATCH($A14,Data_metier!$B:$B,0))="Oui, en amont ET aval"),
1,
IF(AND(INDEX(Data_metier!$G:$G,MATCH(U$1,Data_metier!$B:$B,0))="Oui, en amont OU aval",
INDEX(Data_metier!$G:$G,MATCH($A14,Data_metier!$B:$B,0))="Oui, en amont ET aval"),
0.5,
0))))</f>
        <v>3.9999999999999996</v>
      </c>
      <c r="V14">
        <f>IF(DE_ress_transv!V14=-1,-1,
DE_ress_transv!V14+IF(AND(INDEX(Data_metier!$G:$G,MATCH(V$1,Data_metier!$B:$B,0))="Non",
INDEX(Data_metier!$G:$G,MATCH($A14,Data_metier!$B:$B,0))="Oui, en amont OU aval"),
0.5,
IF(AND(INDEX(Data_metier!$G:$G,MATCH(V$1,Data_metier!$B:$B,0))="Non",
INDEX(Data_metier!$G:$G,MATCH($A14,Data_metier!$B:$B,0))="Oui, en amont ET aval"),
1,
IF(AND(INDEX(Data_metier!$G:$G,MATCH(V$1,Data_metier!$B:$B,0))="Oui, en amont OU aval",
INDEX(Data_metier!$G:$G,MATCH($A14,Data_metier!$B:$B,0))="Oui, en amont ET aval"),
0.5,
0))))</f>
        <v>2.3333333333333335</v>
      </c>
      <c r="W14">
        <f>IF(DE_ress_transv!W14=-1,-1,
DE_ress_transv!W14+IF(AND(INDEX(Data_metier!$G:$G,MATCH(W$1,Data_metier!$B:$B,0))="Non",
INDEX(Data_metier!$G:$G,MATCH($A14,Data_metier!$B:$B,0))="Oui, en amont OU aval"),
0.5,
IF(AND(INDEX(Data_metier!$G:$G,MATCH(W$1,Data_metier!$B:$B,0))="Non",
INDEX(Data_metier!$G:$G,MATCH($A14,Data_metier!$B:$B,0))="Oui, en amont ET aval"),
1,
IF(AND(INDEX(Data_metier!$G:$G,MATCH(W$1,Data_metier!$B:$B,0))="Oui, en amont OU aval",
INDEX(Data_metier!$G:$G,MATCH($A14,Data_metier!$B:$B,0))="Oui, en amont ET aval"),
0.5,
0))))</f>
        <v>1.8333333333333335</v>
      </c>
      <c r="X14">
        <f>IF(DE_ress_transv!X14=-1,-1,
DE_ress_transv!X14+IF(AND(INDEX(Data_metier!$G:$G,MATCH(X$1,Data_metier!$B:$B,0))="Non",
INDEX(Data_metier!$G:$G,MATCH($A14,Data_metier!$B:$B,0))="Oui, en amont OU aval"),
0.5,
IF(AND(INDEX(Data_metier!$G:$G,MATCH(X$1,Data_metier!$B:$B,0))="Non",
INDEX(Data_metier!$G:$G,MATCH($A14,Data_metier!$B:$B,0))="Oui, en amont ET aval"),
1,
IF(AND(INDEX(Data_metier!$G:$G,MATCH(X$1,Data_metier!$B:$B,0))="Oui, en amont OU aval",
INDEX(Data_metier!$G:$G,MATCH($A14,Data_metier!$B:$B,0))="Oui, en amont ET aval"),
0.5,
0))))</f>
        <v>-1</v>
      </c>
      <c r="Y14">
        <f>IF(DE_ress_transv!Y14=-1,-1,
DE_ress_transv!Y14+IF(AND(INDEX(Data_metier!$G:$G,MATCH(Y$1,Data_metier!$B:$B,0))="Non",
INDEX(Data_metier!$G:$G,MATCH($A14,Data_metier!$B:$B,0))="Oui, en amont OU aval"),
0.5,
IF(AND(INDEX(Data_metier!$G:$G,MATCH(Y$1,Data_metier!$B:$B,0))="Non",
INDEX(Data_metier!$G:$G,MATCH($A14,Data_metier!$B:$B,0))="Oui, en amont ET aval"),
1,
IF(AND(INDEX(Data_metier!$G:$G,MATCH(Y$1,Data_metier!$B:$B,0))="Oui, en amont OU aval",
INDEX(Data_metier!$G:$G,MATCH($A14,Data_metier!$B:$B,0))="Oui, en amont ET aval"),
0.5,
0))))</f>
        <v>3.9999999999999996</v>
      </c>
      <c r="Z14">
        <f>IF(DE_ress_transv!Z14=-1,-1,
DE_ress_transv!Z14+IF(AND(INDEX(Data_metier!$G:$G,MATCH(Z$1,Data_metier!$B:$B,0))="Non",
INDEX(Data_metier!$G:$G,MATCH($A14,Data_metier!$B:$B,0))="Oui, en amont OU aval"),
0.5,
IF(AND(INDEX(Data_metier!$G:$G,MATCH(Z$1,Data_metier!$B:$B,0))="Non",
INDEX(Data_metier!$G:$G,MATCH($A14,Data_metier!$B:$B,0))="Oui, en amont ET aval"),
1,
IF(AND(INDEX(Data_metier!$G:$G,MATCH(Z$1,Data_metier!$B:$B,0))="Oui, en amont OU aval",
INDEX(Data_metier!$G:$G,MATCH($A14,Data_metier!$B:$B,0))="Oui, en amont ET aval"),
0.5,
0))))</f>
        <v>3.9999999999999996</v>
      </c>
      <c r="AA14">
        <f>IF(DE_ress_transv!AA14=-1,-1,
DE_ress_transv!AA14+IF(AND(INDEX(Data_metier!$G:$G,MATCH(AA$1,Data_metier!$B:$B,0))="Non",
INDEX(Data_metier!$G:$G,MATCH($A14,Data_metier!$B:$B,0))="Oui, en amont OU aval"),
0.5,
IF(AND(INDEX(Data_metier!$G:$G,MATCH(AA$1,Data_metier!$B:$B,0))="Non",
INDEX(Data_metier!$G:$G,MATCH($A14,Data_metier!$B:$B,0))="Oui, en amont ET aval"),
1,
IF(AND(INDEX(Data_metier!$G:$G,MATCH(AA$1,Data_metier!$B:$B,0))="Oui, en amont OU aval",
INDEX(Data_metier!$G:$G,MATCH($A14,Data_metier!$B:$B,0))="Oui, en amont ET aval"),
0.5,
0))))</f>
        <v>3.9999999999999996</v>
      </c>
      <c r="AB14">
        <f>IF(DE_ress_transv!AB14=-1,-1,
DE_ress_transv!AB14+IF(AND(INDEX(Data_metier!$G:$G,MATCH(AB$1,Data_metier!$B:$B,0))="Non",
INDEX(Data_metier!$G:$G,MATCH($A14,Data_metier!$B:$B,0))="Oui, en amont OU aval"),
0.5,
IF(AND(INDEX(Data_metier!$G:$G,MATCH(AB$1,Data_metier!$B:$B,0))="Non",
INDEX(Data_metier!$G:$G,MATCH($A14,Data_metier!$B:$B,0))="Oui, en amont ET aval"),
1,
IF(AND(INDEX(Data_metier!$G:$G,MATCH(AB$1,Data_metier!$B:$B,0))="Oui, en amont OU aval",
INDEX(Data_metier!$G:$G,MATCH($A14,Data_metier!$B:$B,0))="Oui, en amont ET aval"),
0.5,
0))))</f>
        <v>2.5</v>
      </c>
      <c r="AC14">
        <f>IF(DE_ress_transv!AC14=-1,-1,
DE_ress_transv!AC14+IF(AND(INDEX(Data_metier!$G:$G,MATCH(AC$1,Data_metier!$B:$B,0))="Non",
INDEX(Data_metier!$G:$G,MATCH($A14,Data_metier!$B:$B,0))="Oui, en amont OU aval"),
0.5,
IF(AND(INDEX(Data_metier!$G:$G,MATCH(AC$1,Data_metier!$B:$B,0))="Non",
INDEX(Data_metier!$G:$G,MATCH($A14,Data_metier!$B:$B,0))="Oui, en amont ET aval"),
1,
IF(AND(INDEX(Data_metier!$G:$G,MATCH(AC$1,Data_metier!$B:$B,0))="Oui, en amont OU aval",
INDEX(Data_metier!$G:$G,MATCH($A14,Data_metier!$B:$B,0))="Oui, en amont ET aval"),
0.5,
0))))</f>
        <v>2.5</v>
      </c>
      <c r="AD14">
        <f>IF(DE_ress_transv!AD14=-1,-1,
DE_ress_transv!AD14+IF(AND(INDEX(Data_metier!$G:$G,MATCH(AD$1,Data_metier!$B:$B,0))="Non",
INDEX(Data_metier!$G:$G,MATCH($A14,Data_metier!$B:$B,0))="Oui, en amont OU aval"),
0.5,
IF(AND(INDEX(Data_metier!$G:$G,MATCH(AD$1,Data_metier!$B:$B,0))="Non",
INDEX(Data_metier!$G:$G,MATCH($A14,Data_metier!$B:$B,0))="Oui, en amont ET aval"),
1,
IF(AND(INDEX(Data_metier!$G:$G,MATCH(AD$1,Data_metier!$B:$B,0))="Oui, en amont OU aval",
INDEX(Data_metier!$G:$G,MATCH($A14,Data_metier!$B:$B,0))="Oui, en amont ET aval"),
0.5,
0))))</f>
        <v>2.5</v>
      </c>
    </row>
    <row r="15" spans="1:30">
      <c r="A15" s="55" t="str">
        <v>Conducteur(trice) de livraison et de collecte</v>
      </c>
      <c r="B15">
        <f>IF(DE_ress_transv!B15=-1,-1,
DE_ress_transv!B15+IF(AND(INDEX(Data_metier!$G:$G,MATCH(B$1,Data_metier!$B:$B,0))="Non",
INDEX(Data_metier!$G:$G,MATCH($A15,Data_metier!$B:$B,0))="Oui, en amont OU aval"),
0.5,
IF(AND(INDEX(Data_metier!$G:$G,MATCH(B$1,Data_metier!$B:$B,0))="Non",
INDEX(Data_metier!$G:$G,MATCH($A15,Data_metier!$B:$B,0))="Oui, en amont ET aval"),
1,
IF(AND(INDEX(Data_metier!$G:$G,MATCH(B$1,Data_metier!$B:$B,0))="Oui, en amont OU aval",
INDEX(Data_metier!$G:$G,MATCH($A15,Data_metier!$B:$B,0))="Oui, en amont ET aval"),
0.5,
0))))</f>
        <v>-1</v>
      </c>
      <c r="C15">
        <f>IF(DE_ress_transv!C15=-1,-1,
DE_ress_transv!C15+IF(AND(INDEX(Data_metier!$G:$G,MATCH(C$1,Data_metier!$B:$B,0))="Non",
INDEX(Data_metier!$G:$G,MATCH($A15,Data_metier!$B:$B,0))="Oui, en amont OU aval"),
0.5,
IF(AND(INDEX(Data_metier!$G:$G,MATCH(C$1,Data_metier!$B:$B,0))="Non",
INDEX(Data_metier!$G:$G,MATCH($A15,Data_metier!$B:$B,0))="Oui, en amont ET aval"),
1,
IF(AND(INDEX(Data_metier!$G:$G,MATCH(C$1,Data_metier!$B:$B,0))="Oui, en amont OU aval",
INDEX(Data_metier!$G:$G,MATCH($A15,Data_metier!$B:$B,0))="Oui, en amont ET aval"),
0.5,
0))))</f>
        <v>-1</v>
      </c>
      <c r="D15">
        <f>IF(DE_ress_transv!D15=-1,-1,
DE_ress_transv!D15+IF(AND(INDEX(Data_metier!$G:$G,MATCH(D$1,Data_metier!$B:$B,0))="Non",
INDEX(Data_metier!$G:$G,MATCH($A15,Data_metier!$B:$B,0))="Oui, en amont OU aval"),
0.5,
IF(AND(INDEX(Data_metier!$G:$G,MATCH(D$1,Data_metier!$B:$B,0))="Non",
INDEX(Data_metier!$G:$G,MATCH($A15,Data_metier!$B:$B,0))="Oui, en amont ET aval"),
1,
IF(AND(INDEX(Data_metier!$G:$G,MATCH(D$1,Data_metier!$B:$B,0))="Oui, en amont OU aval",
INDEX(Data_metier!$G:$G,MATCH($A15,Data_metier!$B:$B,0))="Oui, en amont ET aval"),
0.5,
0))))</f>
        <v>0.5</v>
      </c>
      <c r="E15">
        <f>IF(DE_ress_transv!E15=-1,-1,
DE_ress_transv!E15+IF(AND(INDEX(Data_metier!$G:$G,MATCH(E$1,Data_metier!$B:$B,0))="Non",
INDEX(Data_metier!$G:$G,MATCH($A15,Data_metier!$B:$B,0))="Oui, en amont OU aval"),
0.5,
IF(AND(INDEX(Data_metier!$G:$G,MATCH(E$1,Data_metier!$B:$B,0))="Non",
INDEX(Data_metier!$G:$G,MATCH($A15,Data_metier!$B:$B,0))="Oui, en amont ET aval"),
1,
IF(AND(INDEX(Data_metier!$G:$G,MATCH(E$1,Data_metier!$B:$B,0))="Oui, en amont OU aval",
INDEX(Data_metier!$G:$G,MATCH($A15,Data_metier!$B:$B,0))="Oui, en amont ET aval"),
0.5,
0))))</f>
        <v>-1</v>
      </c>
      <c r="F15">
        <f>IF(DE_ress_transv!F15=-1,-1,
DE_ress_transv!F15+IF(AND(INDEX(Data_metier!$G:$G,MATCH(F$1,Data_metier!$B:$B,0))="Non",
INDEX(Data_metier!$G:$G,MATCH($A15,Data_metier!$B:$B,0))="Oui, en amont OU aval"),
0.5,
IF(AND(INDEX(Data_metier!$G:$G,MATCH(F$1,Data_metier!$B:$B,0))="Non",
INDEX(Data_metier!$G:$G,MATCH($A15,Data_metier!$B:$B,0))="Oui, en amont ET aval"),
1,
IF(AND(INDEX(Data_metier!$G:$G,MATCH(F$1,Data_metier!$B:$B,0))="Oui, en amont OU aval",
INDEX(Data_metier!$G:$G,MATCH($A15,Data_metier!$B:$B,0))="Oui, en amont ET aval"),
0.5,
0))))</f>
        <v>-1</v>
      </c>
      <c r="G15">
        <f>IF(DE_ress_transv!G15=-1,-1,
DE_ress_transv!G15+IF(AND(INDEX(Data_metier!$G:$G,MATCH(G$1,Data_metier!$B:$B,0))="Non",
INDEX(Data_metier!$G:$G,MATCH($A15,Data_metier!$B:$B,0))="Oui, en amont OU aval"),
0.5,
IF(AND(INDEX(Data_metier!$G:$G,MATCH(G$1,Data_metier!$B:$B,0))="Non",
INDEX(Data_metier!$G:$G,MATCH($A15,Data_metier!$B:$B,0))="Oui, en amont ET aval"),
1,
IF(AND(INDEX(Data_metier!$G:$G,MATCH(G$1,Data_metier!$B:$B,0))="Oui, en amont OU aval",
INDEX(Data_metier!$G:$G,MATCH($A15,Data_metier!$B:$B,0))="Oui, en amont ET aval"),
0.5,
0))))</f>
        <v>-1</v>
      </c>
      <c r="H15">
        <f>IF(DE_ress_transv!H15=-1,-1,
DE_ress_transv!H15+IF(AND(INDEX(Data_metier!$G:$G,MATCH(H$1,Data_metier!$B:$B,0))="Non",
INDEX(Data_metier!$G:$G,MATCH($A15,Data_metier!$B:$B,0))="Oui, en amont OU aval"),
0.5,
IF(AND(INDEX(Data_metier!$G:$G,MATCH(H$1,Data_metier!$B:$B,0))="Non",
INDEX(Data_metier!$G:$G,MATCH($A15,Data_metier!$B:$B,0))="Oui, en amont ET aval"),
1,
IF(AND(INDEX(Data_metier!$G:$G,MATCH(H$1,Data_metier!$B:$B,0))="Oui, en amont OU aval",
INDEX(Data_metier!$G:$G,MATCH($A15,Data_metier!$B:$B,0))="Oui, en amont ET aval"),
0.5,
0))))</f>
        <v>-1</v>
      </c>
      <c r="I15">
        <f>IF(DE_ress_transv!I15=-1,-1,
DE_ress_transv!I15+IF(AND(INDEX(Data_metier!$G:$G,MATCH(I$1,Data_metier!$B:$B,0))="Non",
INDEX(Data_metier!$G:$G,MATCH($A15,Data_metier!$B:$B,0))="Oui, en amont OU aval"),
0.5,
IF(AND(INDEX(Data_metier!$G:$G,MATCH(I$1,Data_metier!$B:$B,0))="Non",
INDEX(Data_metier!$G:$G,MATCH($A15,Data_metier!$B:$B,0))="Oui, en amont ET aval"),
1,
IF(AND(INDEX(Data_metier!$G:$G,MATCH(I$1,Data_metier!$B:$B,0))="Oui, en amont OU aval",
INDEX(Data_metier!$G:$G,MATCH($A15,Data_metier!$B:$B,0))="Oui, en amont ET aval"),
0.5,
0))))</f>
        <v>0.5</v>
      </c>
      <c r="J15">
        <f>IF(DE_ress_transv!J15=-1,-1,
DE_ress_transv!J15+IF(AND(INDEX(Data_metier!$G:$G,MATCH(J$1,Data_metier!$B:$B,0))="Non",
INDEX(Data_metier!$G:$G,MATCH($A15,Data_metier!$B:$B,0))="Oui, en amont OU aval"),
0.5,
IF(AND(INDEX(Data_metier!$G:$G,MATCH(J$1,Data_metier!$B:$B,0))="Non",
INDEX(Data_metier!$G:$G,MATCH($A15,Data_metier!$B:$B,0))="Oui, en amont ET aval"),
1,
IF(AND(INDEX(Data_metier!$G:$G,MATCH(J$1,Data_metier!$B:$B,0))="Oui, en amont OU aval",
INDEX(Data_metier!$G:$G,MATCH($A15,Data_metier!$B:$B,0))="Oui, en amont ET aval"),
0.5,
0))))</f>
        <v>-1</v>
      </c>
      <c r="K15">
        <f>IF(DE_ress_transv!K15=-1,-1,
DE_ress_transv!K15+IF(AND(INDEX(Data_metier!$G:$G,MATCH(K$1,Data_metier!$B:$B,0))="Non",
INDEX(Data_metier!$G:$G,MATCH($A15,Data_metier!$B:$B,0))="Oui, en amont OU aval"),
0.5,
IF(AND(INDEX(Data_metier!$G:$G,MATCH(K$1,Data_metier!$B:$B,0))="Non",
INDEX(Data_metier!$G:$G,MATCH($A15,Data_metier!$B:$B,0))="Oui, en amont ET aval"),
1,
IF(AND(INDEX(Data_metier!$G:$G,MATCH(K$1,Data_metier!$B:$B,0))="Oui, en amont OU aval",
INDEX(Data_metier!$G:$G,MATCH($A15,Data_metier!$B:$B,0))="Oui, en amont ET aval"),
0.5,
0))))</f>
        <v>-1</v>
      </c>
      <c r="L15">
        <f>IF(DE_ress_transv!L15=-1,-1,
DE_ress_transv!L15+IF(AND(INDEX(Data_metier!$G:$G,MATCH(L$1,Data_metier!$B:$B,0))="Non",
INDEX(Data_metier!$G:$G,MATCH($A15,Data_metier!$B:$B,0))="Oui, en amont OU aval"),
0.5,
IF(AND(INDEX(Data_metier!$G:$G,MATCH(L$1,Data_metier!$B:$B,0))="Non",
INDEX(Data_metier!$G:$G,MATCH($A15,Data_metier!$B:$B,0))="Oui, en amont ET aval"),
1,
IF(AND(INDEX(Data_metier!$G:$G,MATCH(L$1,Data_metier!$B:$B,0))="Oui, en amont OU aval",
INDEX(Data_metier!$G:$G,MATCH($A15,Data_metier!$B:$B,0))="Oui, en amont ET aval"),
0.5,
0))))</f>
        <v>0</v>
      </c>
      <c r="M15">
        <f>IF(DE_ress_transv!M15=-1,-1,
DE_ress_transv!M15+IF(AND(INDEX(Data_metier!$G:$G,MATCH(M$1,Data_metier!$B:$B,0))="Non",
INDEX(Data_metier!$G:$G,MATCH($A15,Data_metier!$B:$B,0))="Oui, en amont OU aval"),
0.5,
IF(AND(INDEX(Data_metier!$G:$G,MATCH(M$1,Data_metier!$B:$B,0))="Non",
INDEX(Data_metier!$G:$G,MATCH($A15,Data_metier!$B:$B,0))="Oui, en amont ET aval"),
1,
IF(AND(INDEX(Data_metier!$G:$G,MATCH(M$1,Data_metier!$B:$B,0))="Oui, en amont OU aval",
INDEX(Data_metier!$G:$G,MATCH($A15,Data_metier!$B:$B,0))="Oui, en amont ET aval"),
0.5,
0))))</f>
        <v>-1</v>
      </c>
      <c r="N15">
        <f>IF(DE_ress_transv!N15=-1,-1,
DE_ress_transv!N15+IF(AND(INDEX(Data_metier!$G:$G,MATCH(N$1,Data_metier!$B:$B,0))="Non",
INDEX(Data_metier!$G:$G,MATCH($A15,Data_metier!$B:$B,0))="Oui, en amont OU aval"),
0.5,
IF(AND(INDEX(Data_metier!$G:$G,MATCH(N$1,Data_metier!$B:$B,0))="Non",
INDEX(Data_metier!$G:$G,MATCH($A15,Data_metier!$B:$B,0))="Oui, en amont ET aval"),
1,
IF(AND(INDEX(Data_metier!$G:$G,MATCH(N$1,Data_metier!$B:$B,0))="Oui, en amont OU aval",
INDEX(Data_metier!$G:$G,MATCH($A15,Data_metier!$B:$B,0))="Oui, en amont ET aval"),
0.5,
0))))</f>
        <v>-1</v>
      </c>
      <c r="O15">
        <f>IF(DE_ress_transv!O15=-1,-1,
DE_ress_transv!O15+IF(AND(INDEX(Data_metier!$G:$G,MATCH(O$1,Data_metier!$B:$B,0))="Non",
INDEX(Data_metier!$G:$G,MATCH($A15,Data_metier!$B:$B,0))="Oui, en amont OU aval"),
0.5,
IF(AND(INDEX(Data_metier!$G:$G,MATCH(O$1,Data_metier!$B:$B,0))="Non",
INDEX(Data_metier!$G:$G,MATCH($A15,Data_metier!$B:$B,0))="Oui, en amont ET aval"),
1,
IF(AND(INDEX(Data_metier!$G:$G,MATCH(O$1,Data_metier!$B:$B,0))="Oui, en amont OU aval",
INDEX(Data_metier!$G:$G,MATCH($A15,Data_metier!$B:$B,0))="Oui, en amont ET aval"),
0.5,
0))))</f>
        <v>0</v>
      </c>
      <c r="P15">
        <f>IF(DE_ress_transv!P15=-1,-1,
DE_ress_transv!P15+IF(AND(INDEX(Data_metier!$G:$G,MATCH(P$1,Data_metier!$B:$B,0))="Non",
INDEX(Data_metier!$G:$G,MATCH($A15,Data_metier!$B:$B,0))="Oui, en amont OU aval"),
0.5,
IF(AND(INDEX(Data_metier!$G:$G,MATCH(P$1,Data_metier!$B:$B,0))="Non",
INDEX(Data_metier!$G:$G,MATCH($A15,Data_metier!$B:$B,0))="Oui, en amont ET aval"),
1,
IF(AND(INDEX(Data_metier!$G:$G,MATCH(P$1,Data_metier!$B:$B,0))="Oui, en amont OU aval",
INDEX(Data_metier!$G:$G,MATCH($A15,Data_metier!$B:$B,0))="Oui, en amont ET aval"),
0.5,
0))))</f>
        <v>0.5</v>
      </c>
      <c r="Q15">
        <f>IF(DE_ress_transv!Q15=-1,-1,
DE_ress_transv!Q15+IF(AND(INDEX(Data_metier!$G:$G,MATCH(Q$1,Data_metier!$B:$B,0))="Non",
INDEX(Data_metier!$G:$G,MATCH($A15,Data_metier!$B:$B,0))="Oui, en amont OU aval"),
0.5,
IF(AND(INDEX(Data_metier!$G:$G,MATCH(Q$1,Data_metier!$B:$B,0))="Non",
INDEX(Data_metier!$G:$G,MATCH($A15,Data_metier!$B:$B,0))="Oui, en amont ET aval"),
1,
IF(AND(INDEX(Data_metier!$G:$G,MATCH(Q$1,Data_metier!$B:$B,0))="Oui, en amont OU aval",
INDEX(Data_metier!$G:$G,MATCH($A15,Data_metier!$B:$B,0))="Oui, en amont ET aval"),
0.5,
0))))</f>
        <v>-1</v>
      </c>
      <c r="R15">
        <f>IF(DE_ress_transv!R15=-1,-1,
DE_ress_transv!R15+IF(AND(INDEX(Data_metier!$G:$G,MATCH(R$1,Data_metier!$B:$B,0))="Non",
INDEX(Data_metier!$G:$G,MATCH($A15,Data_metier!$B:$B,0))="Oui, en amont OU aval"),
0.5,
IF(AND(INDEX(Data_metier!$G:$G,MATCH(R$1,Data_metier!$B:$B,0))="Non",
INDEX(Data_metier!$G:$G,MATCH($A15,Data_metier!$B:$B,0))="Oui, en amont ET aval"),
1,
IF(AND(INDEX(Data_metier!$G:$G,MATCH(R$1,Data_metier!$B:$B,0))="Oui, en amont OU aval",
INDEX(Data_metier!$G:$G,MATCH($A15,Data_metier!$B:$B,0))="Oui, en amont ET aval"),
0.5,
0))))</f>
        <v>-1</v>
      </c>
      <c r="S15">
        <f>IF(DE_ress_transv!S15=-1,-1,
DE_ress_transv!S15+IF(AND(INDEX(Data_metier!$G:$G,MATCH(S$1,Data_metier!$B:$B,0))="Non",
INDEX(Data_metier!$G:$G,MATCH($A15,Data_metier!$B:$B,0))="Oui, en amont OU aval"),
0.5,
IF(AND(INDEX(Data_metier!$G:$G,MATCH(S$1,Data_metier!$B:$B,0))="Non",
INDEX(Data_metier!$G:$G,MATCH($A15,Data_metier!$B:$B,0))="Oui, en amont ET aval"),
1,
IF(AND(INDEX(Data_metier!$G:$G,MATCH(S$1,Data_metier!$B:$B,0))="Oui, en amont OU aval",
INDEX(Data_metier!$G:$G,MATCH($A15,Data_metier!$B:$B,0))="Oui, en amont ET aval"),
0.5,
0))))</f>
        <v>0.5</v>
      </c>
      <c r="T15">
        <f>IF(DE_ress_transv!T15=-1,-1,
DE_ress_transv!T15+IF(AND(INDEX(Data_metier!$G:$G,MATCH(T$1,Data_metier!$B:$B,0))="Non",
INDEX(Data_metier!$G:$G,MATCH($A15,Data_metier!$B:$B,0))="Oui, en amont OU aval"),
0.5,
IF(AND(INDEX(Data_metier!$G:$G,MATCH(T$1,Data_metier!$B:$B,0))="Non",
INDEX(Data_metier!$G:$G,MATCH($A15,Data_metier!$B:$B,0))="Oui, en amont ET aval"),
1,
IF(AND(INDEX(Data_metier!$G:$G,MATCH(T$1,Data_metier!$B:$B,0))="Oui, en amont OU aval",
INDEX(Data_metier!$G:$G,MATCH($A15,Data_metier!$B:$B,0))="Oui, en amont ET aval"),
0.5,
0))))</f>
        <v>0.33333333333333331</v>
      </c>
      <c r="U15">
        <f>IF(DE_ress_transv!U15=-1,-1,
DE_ress_transv!U15+IF(AND(INDEX(Data_metier!$G:$G,MATCH(U$1,Data_metier!$B:$B,0))="Non",
INDEX(Data_metier!$G:$G,MATCH($A15,Data_metier!$B:$B,0))="Oui, en amont OU aval"),
0.5,
IF(AND(INDEX(Data_metier!$G:$G,MATCH(U$1,Data_metier!$B:$B,0))="Non",
INDEX(Data_metier!$G:$G,MATCH($A15,Data_metier!$B:$B,0))="Oui, en amont ET aval"),
1,
IF(AND(INDEX(Data_metier!$G:$G,MATCH(U$1,Data_metier!$B:$B,0))="Oui, en amont OU aval",
INDEX(Data_metier!$G:$G,MATCH($A15,Data_metier!$B:$B,0))="Oui, en amont ET aval"),
0.5,
0))))</f>
        <v>0.5</v>
      </c>
      <c r="V15">
        <f>IF(DE_ress_transv!V15=-1,-1,
DE_ress_transv!V15+IF(AND(INDEX(Data_metier!$G:$G,MATCH(V$1,Data_metier!$B:$B,0))="Non",
INDEX(Data_metier!$G:$G,MATCH($A15,Data_metier!$B:$B,0))="Oui, en amont OU aval"),
0.5,
IF(AND(INDEX(Data_metier!$G:$G,MATCH(V$1,Data_metier!$B:$B,0))="Non",
INDEX(Data_metier!$G:$G,MATCH($A15,Data_metier!$B:$B,0))="Oui, en amont ET aval"),
1,
IF(AND(INDEX(Data_metier!$G:$G,MATCH(V$1,Data_metier!$B:$B,0))="Oui, en amont OU aval",
INDEX(Data_metier!$G:$G,MATCH($A15,Data_metier!$B:$B,0))="Oui, en amont ET aval"),
0.5,
0))))</f>
        <v>-1</v>
      </c>
      <c r="W15">
        <f>IF(DE_ress_transv!W15=-1,-1,
DE_ress_transv!W15+IF(AND(INDEX(Data_metier!$G:$G,MATCH(W$1,Data_metier!$B:$B,0))="Non",
INDEX(Data_metier!$G:$G,MATCH($A15,Data_metier!$B:$B,0))="Oui, en amont OU aval"),
0.5,
IF(AND(INDEX(Data_metier!$G:$G,MATCH(W$1,Data_metier!$B:$B,0))="Non",
INDEX(Data_metier!$G:$G,MATCH($A15,Data_metier!$B:$B,0))="Oui, en amont ET aval"),
1,
IF(AND(INDEX(Data_metier!$G:$G,MATCH(W$1,Data_metier!$B:$B,0))="Oui, en amont OU aval",
INDEX(Data_metier!$G:$G,MATCH($A15,Data_metier!$B:$B,0))="Oui, en amont ET aval"),
0.5,
0))))</f>
        <v>-1</v>
      </c>
      <c r="X15">
        <f>IF(DE_ress_transv!X15=-1,-1,
DE_ress_transv!X15+IF(AND(INDEX(Data_metier!$G:$G,MATCH(X$1,Data_metier!$B:$B,0))="Non",
INDEX(Data_metier!$G:$G,MATCH($A15,Data_metier!$B:$B,0))="Oui, en amont OU aval"),
0.5,
IF(AND(INDEX(Data_metier!$G:$G,MATCH(X$1,Data_metier!$B:$B,0))="Non",
INDEX(Data_metier!$G:$G,MATCH($A15,Data_metier!$B:$B,0))="Oui, en amont ET aval"),
1,
IF(AND(INDEX(Data_metier!$G:$G,MATCH(X$1,Data_metier!$B:$B,0))="Oui, en amont OU aval",
INDEX(Data_metier!$G:$G,MATCH($A15,Data_metier!$B:$B,0))="Oui, en amont ET aval"),
0.5,
0))))</f>
        <v>-1</v>
      </c>
      <c r="Y15">
        <f>IF(DE_ress_transv!Y15=-1,-1,
DE_ress_transv!Y15+IF(AND(INDEX(Data_metier!$G:$G,MATCH(Y$1,Data_metier!$B:$B,0))="Non",
INDEX(Data_metier!$G:$G,MATCH($A15,Data_metier!$B:$B,0))="Oui, en amont OU aval"),
0.5,
IF(AND(INDEX(Data_metier!$G:$G,MATCH(Y$1,Data_metier!$B:$B,0))="Non",
INDEX(Data_metier!$G:$G,MATCH($A15,Data_metier!$B:$B,0))="Oui, en amont ET aval"),
1,
IF(AND(INDEX(Data_metier!$G:$G,MATCH(Y$1,Data_metier!$B:$B,0))="Oui, en amont OU aval",
INDEX(Data_metier!$G:$G,MATCH($A15,Data_metier!$B:$B,0))="Oui, en amont ET aval"),
0.5,
0))))</f>
        <v>0.5</v>
      </c>
      <c r="Z15">
        <f>IF(DE_ress_transv!Z15=-1,-1,
DE_ress_transv!Z15+IF(AND(INDEX(Data_metier!$G:$G,MATCH(Z$1,Data_metier!$B:$B,0))="Non",
INDEX(Data_metier!$G:$G,MATCH($A15,Data_metier!$B:$B,0))="Oui, en amont OU aval"),
0.5,
IF(AND(INDEX(Data_metier!$G:$G,MATCH(Z$1,Data_metier!$B:$B,0))="Non",
INDEX(Data_metier!$G:$G,MATCH($A15,Data_metier!$B:$B,0))="Oui, en amont ET aval"),
1,
IF(AND(INDEX(Data_metier!$G:$G,MATCH(Z$1,Data_metier!$B:$B,0))="Oui, en amont OU aval",
INDEX(Data_metier!$G:$G,MATCH($A15,Data_metier!$B:$B,0))="Oui, en amont ET aval"),
0.5,
0))))</f>
        <v>0.5</v>
      </c>
      <c r="AA15">
        <f>IF(DE_ress_transv!AA15=-1,-1,
DE_ress_transv!AA15+IF(AND(INDEX(Data_metier!$G:$G,MATCH(AA$1,Data_metier!$B:$B,0))="Non",
INDEX(Data_metier!$G:$G,MATCH($A15,Data_metier!$B:$B,0))="Oui, en amont OU aval"),
0.5,
IF(AND(INDEX(Data_metier!$G:$G,MATCH(AA$1,Data_metier!$B:$B,0))="Non",
INDEX(Data_metier!$G:$G,MATCH($A15,Data_metier!$B:$B,0))="Oui, en amont ET aval"),
1,
IF(AND(INDEX(Data_metier!$G:$G,MATCH(AA$1,Data_metier!$B:$B,0))="Oui, en amont OU aval",
INDEX(Data_metier!$G:$G,MATCH($A15,Data_metier!$B:$B,0))="Oui, en amont ET aval"),
0.5,
0))))</f>
        <v>0.5</v>
      </c>
      <c r="AB15">
        <f>IF(DE_ress_transv!AB15=-1,-1,
DE_ress_transv!AB15+IF(AND(INDEX(Data_metier!$G:$G,MATCH(AB$1,Data_metier!$B:$B,0))="Non",
INDEX(Data_metier!$G:$G,MATCH($A15,Data_metier!$B:$B,0))="Oui, en amont OU aval"),
0.5,
IF(AND(INDEX(Data_metier!$G:$G,MATCH(AB$1,Data_metier!$B:$B,0))="Non",
INDEX(Data_metier!$G:$G,MATCH($A15,Data_metier!$B:$B,0))="Oui, en amont ET aval"),
1,
IF(AND(INDEX(Data_metier!$G:$G,MATCH(AB$1,Data_metier!$B:$B,0))="Oui, en amont OU aval",
INDEX(Data_metier!$G:$G,MATCH($A15,Data_metier!$B:$B,0))="Oui, en amont ET aval"),
0.5,
0))))</f>
        <v>-1</v>
      </c>
      <c r="AC15">
        <f>IF(DE_ress_transv!AC15=-1,-1,
DE_ress_transv!AC15+IF(AND(INDEX(Data_metier!$G:$G,MATCH(AC$1,Data_metier!$B:$B,0))="Non",
INDEX(Data_metier!$G:$G,MATCH($A15,Data_metier!$B:$B,0))="Oui, en amont OU aval"),
0.5,
IF(AND(INDEX(Data_metier!$G:$G,MATCH(AC$1,Data_metier!$B:$B,0))="Non",
INDEX(Data_metier!$G:$G,MATCH($A15,Data_metier!$B:$B,0))="Oui, en amont ET aval"),
1,
IF(AND(INDEX(Data_metier!$G:$G,MATCH(AC$1,Data_metier!$B:$B,0))="Oui, en amont OU aval",
INDEX(Data_metier!$G:$G,MATCH($A15,Data_metier!$B:$B,0))="Oui, en amont ET aval"),
0.5,
0))))</f>
        <v>-1</v>
      </c>
      <c r="AD15">
        <f>IF(DE_ress_transv!AD15=-1,-1,
DE_ress_transv!AD15+IF(AND(INDEX(Data_metier!$G:$G,MATCH(AD$1,Data_metier!$B:$B,0))="Non",
INDEX(Data_metier!$G:$G,MATCH($A15,Data_metier!$B:$B,0))="Oui, en amont OU aval"),
0.5,
IF(AND(INDEX(Data_metier!$G:$G,MATCH(AD$1,Data_metier!$B:$B,0))="Non",
INDEX(Data_metier!$G:$G,MATCH($A15,Data_metier!$B:$B,0))="Oui, en amont ET aval"),
1,
IF(AND(INDEX(Data_metier!$G:$G,MATCH(AD$1,Data_metier!$B:$B,0))="Oui, en amont OU aval",
INDEX(Data_metier!$G:$G,MATCH($A15,Data_metier!$B:$B,0))="Oui, en amont ET aval"),
0.5,
0))))</f>
        <v>-1</v>
      </c>
    </row>
    <row r="16" spans="1:30">
      <c r="A16" s="55" t="str">
        <v>Opérateur(trice) hygiène / sanitation</v>
      </c>
      <c r="B16">
        <f>IF(DE_ress_transv!B16=-1,-1,
DE_ress_transv!B16+IF(AND(INDEX(Data_metier!$G:$G,MATCH(B$1,Data_metier!$B:$B,0))="Non",
INDEX(Data_metier!$G:$G,MATCH($A16,Data_metier!$B:$B,0))="Oui, en amont OU aval"),
0.5,
IF(AND(INDEX(Data_metier!$G:$G,MATCH(B$1,Data_metier!$B:$B,0))="Non",
INDEX(Data_metier!$G:$G,MATCH($A16,Data_metier!$B:$B,0))="Oui, en amont ET aval"),
1,
IF(AND(INDEX(Data_metier!$G:$G,MATCH(B$1,Data_metier!$B:$B,0))="Oui, en amont OU aval",
INDEX(Data_metier!$G:$G,MATCH($A16,Data_metier!$B:$B,0))="Oui, en amont ET aval"),
0.5,
0))))</f>
        <v>-1</v>
      </c>
      <c r="C16">
        <f>IF(DE_ress_transv!C16=-1,-1,
DE_ress_transv!C16+IF(AND(INDEX(Data_metier!$G:$G,MATCH(C$1,Data_metier!$B:$B,0))="Non",
INDEX(Data_metier!$G:$G,MATCH($A16,Data_metier!$B:$B,0))="Oui, en amont OU aval"),
0.5,
IF(AND(INDEX(Data_metier!$G:$G,MATCH(C$1,Data_metier!$B:$B,0))="Non",
INDEX(Data_metier!$G:$G,MATCH($A16,Data_metier!$B:$B,0))="Oui, en amont ET aval"),
1,
IF(AND(INDEX(Data_metier!$G:$G,MATCH(C$1,Data_metier!$B:$B,0))="Oui, en amont OU aval",
INDEX(Data_metier!$G:$G,MATCH($A16,Data_metier!$B:$B,0))="Oui, en amont ET aval"),
0.5,
0))))</f>
        <v>-1</v>
      </c>
      <c r="D16">
        <f>IF(DE_ress_transv!D16=-1,-1,
DE_ress_transv!D16+IF(AND(INDEX(Data_metier!$G:$G,MATCH(D$1,Data_metier!$B:$B,0))="Non",
INDEX(Data_metier!$G:$G,MATCH($A16,Data_metier!$B:$B,0))="Oui, en amont OU aval"),
0.5,
IF(AND(INDEX(Data_metier!$G:$G,MATCH(D$1,Data_metier!$B:$B,0))="Non",
INDEX(Data_metier!$G:$G,MATCH($A16,Data_metier!$B:$B,0))="Oui, en amont ET aval"),
1,
IF(AND(INDEX(Data_metier!$G:$G,MATCH(D$1,Data_metier!$B:$B,0))="Oui, en amont OU aval",
INDEX(Data_metier!$G:$G,MATCH($A16,Data_metier!$B:$B,0))="Oui, en amont ET aval"),
0.5,
0))))</f>
        <v>0</v>
      </c>
      <c r="E16">
        <f>IF(DE_ress_transv!E16=-1,-1,
DE_ress_transv!E16+IF(AND(INDEX(Data_metier!$G:$G,MATCH(E$1,Data_metier!$B:$B,0))="Non",
INDEX(Data_metier!$G:$G,MATCH($A16,Data_metier!$B:$B,0))="Oui, en amont OU aval"),
0.5,
IF(AND(INDEX(Data_metier!$G:$G,MATCH(E$1,Data_metier!$B:$B,0))="Non",
INDEX(Data_metier!$G:$G,MATCH($A16,Data_metier!$B:$B,0))="Oui, en amont ET aval"),
1,
IF(AND(INDEX(Data_metier!$G:$G,MATCH(E$1,Data_metier!$B:$B,0))="Oui, en amont OU aval",
INDEX(Data_metier!$G:$G,MATCH($A16,Data_metier!$B:$B,0))="Oui, en amont ET aval"),
0.5,
0))))</f>
        <v>-1</v>
      </c>
      <c r="F16">
        <f>IF(DE_ress_transv!F16=-1,-1,
DE_ress_transv!F16+IF(AND(INDEX(Data_metier!$G:$G,MATCH(F$1,Data_metier!$B:$B,0))="Non",
INDEX(Data_metier!$G:$G,MATCH($A16,Data_metier!$B:$B,0))="Oui, en amont OU aval"),
0.5,
IF(AND(INDEX(Data_metier!$G:$G,MATCH(F$1,Data_metier!$B:$B,0))="Non",
INDEX(Data_metier!$G:$G,MATCH($A16,Data_metier!$B:$B,0))="Oui, en amont ET aval"),
1,
IF(AND(INDEX(Data_metier!$G:$G,MATCH(F$1,Data_metier!$B:$B,0))="Oui, en amont OU aval",
INDEX(Data_metier!$G:$G,MATCH($A16,Data_metier!$B:$B,0))="Oui, en amont ET aval"),
0.5,
0))))</f>
        <v>-1</v>
      </c>
      <c r="G16">
        <f>IF(DE_ress_transv!G16=-1,-1,
DE_ress_transv!G16+IF(AND(INDEX(Data_metier!$G:$G,MATCH(G$1,Data_metier!$B:$B,0))="Non",
INDEX(Data_metier!$G:$G,MATCH($A16,Data_metier!$B:$B,0))="Oui, en amont OU aval"),
0.5,
IF(AND(INDEX(Data_metier!$G:$G,MATCH(G$1,Data_metier!$B:$B,0))="Non",
INDEX(Data_metier!$G:$G,MATCH($A16,Data_metier!$B:$B,0))="Oui, en amont ET aval"),
1,
IF(AND(INDEX(Data_metier!$G:$G,MATCH(G$1,Data_metier!$B:$B,0))="Oui, en amont OU aval",
INDEX(Data_metier!$G:$G,MATCH($A16,Data_metier!$B:$B,0))="Oui, en amont ET aval"),
0.5,
0))))</f>
        <v>-1</v>
      </c>
      <c r="H16">
        <f>IF(DE_ress_transv!H16=-1,-1,
DE_ress_transv!H16+IF(AND(INDEX(Data_metier!$G:$G,MATCH(H$1,Data_metier!$B:$B,0))="Non",
INDEX(Data_metier!$G:$G,MATCH($A16,Data_metier!$B:$B,0))="Oui, en amont OU aval"),
0.5,
IF(AND(INDEX(Data_metier!$G:$G,MATCH(H$1,Data_metier!$B:$B,0))="Non",
INDEX(Data_metier!$G:$G,MATCH($A16,Data_metier!$B:$B,0))="Oui, en amont ET aval"),
1,
IF(AND(INDEX(Data_metier!$G:$G,MATCH(H$1,Data_metier!$B:$B,0))="Oui, en amont OU aval",
INDEX(Data_metier!$G:$G,MATCH($A16,Data_metier!$B:$B,0))="Oui, en amont ET aval"),
0.5,
0))))</f>
        <v>-1</v>
      </c>
      <c r="I16">
        <f>IF(DE_ress_transv!I16=-1,-1,
DE_ress_transv!I16+IF(AND(INDEX(Data_metier!$G:$G,MATCH(I$1,Data_metier!$B:$B,0))="Non",
INDEX(Data_metier!$G:$G,MATCH($A16,Data_metier!$B:$B,0))="Oui, en amont OU aval"),
0.5,
IF(AND(INDEX(Data_metier!$G:$G,MATCH(I$1,Data_metier!$B:$B,0))="Non",
INDEX(Data_metier!$G:$G,MATCH($A16,Data_metier!$B:$B,0))="Oui, en amont ET aval"),
1,
IF(AND(INDEX(Data_metier!$G:$G,MATCH(I$1,Data_metier!$B:$B,0))="Oui, en amont OU aval",
INDEX(Data_metier!$G:$G,MATCH($A16,Data_metier!$B:$B,0))="Oui, en amont ET aval"),
0.5,
0))))</f>
        <v>0</v>
      </c>
      <c r="J16">
        <f>IF(DE_ress_transv!J16=-1,-1,
DE_ress_transv!J16+IF(AND(INDEX(Data_metier!$G:$G,MATCH(J$1,Data_metier!$B:$B,0))="Non",
INDEX(Data_metier!$G:$G,MATCH($A16,Data_metier!$B:$B,0))="Oui, en amont OU aval"),
0.5,
IF(AND(INDEX(Data_metier!$G:$G,MATCH(J$1,Data_metier!$B:$B,0))="Non",
INDEX(Data_metier!$G:$G,MATCH($A16,Data_metier!$B:$B,0))="Oui, en amont ET aval"),
1,
IF(AND(INDEX(Data_metier!$G:$G,MATCH(J$1,Data_metier!$B:$B,0))="Oui, en amont OU aval",
INDEX(Data_metier!$G:$G,MATCH($A16,Data_metier!$B:$B,0))="Oui, en amont ET aval"),
0.5,
0))))</f>
        <v>-1</v>
      </c>
      <c r="K16">
        <f>IF(DE_ress_transv!K16=-1,-1,
DE_ress_transv!K16+IF(AND(INDEX(Data_metier!$G:$G,MATCH(K$1,Data_metier!$B:$B,0))="Non",
INDEX(Data_metier!$G:$G,MATCH($A16,Data_metier!$B:$B,0))="Oui, en amont OU aval"),
0.5,
IF(AND(INDEX(Data_metier!$G:$G,MATCH(K$1,Data_metier!$B:$B,0))="Non",
INDEX(Data_metier!$G:$G,MATCH($A16,Data_metier!$B:$B,0))="Oui, en amont ET aval"),
1,
IF(AND(INDEX(Data_metier!$G:$G,MATCH(K$1,Data_metier!$B:$B,0))="Oui, en amont OU aval",
INDEX(Data_metier!$G:$G,MATCH($A16,Data_metier!$B:$B,0))="Oui, en amont ET aval"),
0.5,
0))))</f>
        <v>-1</v>
      </c>
      <c r="L16">
        <f>IF(DE_ress_transv!L16=-1,-1,
DE_ress_transv!L16+IF(AND(INDEX(Data_metier!$G:$G,MATCH(L$1,Data_metier!$B:$B,0))="Non",
INDEX(Data_metier!$G:$G,MATCH($A16,Data_metier!$B:$B,0))="Oui, en amont OU aval"),
0.5,
IF(AND(INDEX(Data_metier!$G:$G,MATCH(L$1,Data_metier!$B:$B,0))="Non",
INDEX(Data_metier!$G:$G,MATCH($A16,Data_metier!$B:$B,0))="Oui, en amont ET aval"),
1,
IF(AND(INDEX(Data_metier!$G:$G,MATCH(L$1,Data_metier!$B:$B,0))="Oui, en amont OU aval",
INDEX(Data_metier!$G:$G,MATCH($A16,Data_metier!$B:$B,0))="Oui, en amont ET aval"),
0.5,
0))))</f>
        <v>0</v>
      </c>
      <c r="M16">
        <f>IF(DE_ress_transv!M16=-1,-1,
DE_ress_transv!M16+IF(AND(INDEX(Data_metier!$G:$G,MATCH(M$1,Data_metier!$B:$B,0))="Non",
INDEX(Data_metier!$G:$G,MATCH($A16,Data_metier!$B:$B,0))="Oui, en amont OU aval"),
0.5,
IF(AND(INDEX(Data_metier!$G:$G,MATCH(M$1,Data_metier!$B:$B,0))="Non",
INDEX(Data_metier!$G:$G,MATCH($A16,Data_metier!$B:$B,0))="Oui, en amont ET aval"),
1,
IF(AND(INDEX(Data_metier!$G:$G,MATCH(M$1,Data_metier!$B:$B,0))="Oui, en amont OU aval",
INDEX(Data_metier!$G:$G,MATCH($A16,Data_metier!$B:$B,0))="Oui, en amont ET aval"),
0.5,
0))))</f>
        <v>-1</v>
      </c>
      <c r="N16">
        <f>IF(DE_ress_transv!N16=-1,-1,
DE_ress_transv!N16+IF(AND(INDEX(Data_metier!$G:$G,MATCH(N$1,Data_metier!$B:$B,0))="Non",
INDEX(Data_metier!$G:$G,MATCH($A16,Data_metier!$B:$B,0))="Oui, en amont OU aval"),
0.5,
IF(AND(INDEX(Data_metier!$G:$G,MATCH(N$1,Data_metier!$B:$B,0))="Non",
INDEX(Data_metier!$G:$G,MATCH($A16,Data_metier!$B:$B,0))="Oui, en amont ET aval"),
1,
IF(AND(INDEX(Data_metier!$G:$G,MATCH(N$1,Data_metier!$B:$B,0))="Oui, en amont OU aval",
INDEX(Data_metier!$G:$G,MATCH($A16,Data_metier!$B:$B,0))="Oui, en amont ET aval"),
0.5,
0))))</f>
        <v>-1</v>
      </c>
      <c r="O16">
        <f>IF(DE_ress_transv!O16=-1,-1,
DE_ress_transv!O16+IF(AND(INDEX(Data_metier!$G:$G,MATCH(O$1,Data_metier!$B:$B,0))="Non",
INDEX(Data_metier!$G:$G,MATCH($A16,Data_metier!$B:$B,0))="Oui, en amont OU aval"),
0.5,
IF(AND(INDEX(Data_metier!$G:$G,MATCH(O$1,Data_metier!$B:$B,0))="Non",
INDEX(Data_metier!$G:$G,MATCH($A16,Data_metier!$B:$B,0))="Oui, en amont ET aval"),
1,
IF(AND(INDEX(Data_metier!$G:$G,MATCH(O$1,Data_metier!$B:$B,0))="Oui, en amont OU aval",
INDEX(Data_metier!$G:$G,MATCH($A16,Data_metier!$B:$B,0))="Oui, en amont ET aval"),
0.5,
0))))</f>
        <v>0</v>
      </c>
      <c r="P16">
        <f>IF(DE_ress_transv!P16=-1,-1,
DE_ress_transv!P16+IF(AND(INDEX(Data_metier!$G:$G,MATCH(P$1,Data_metier!$B:$B,0))="Non",
INDEX(Data_metier!$G:$G,MATCH($A16,Data_metier!$B:$B,0))="Oui, en amont OU aval"),
0.5,
IF(AND(INDEX(Data_metier!$G:$G,MATCH(P$1,Data_metier!$B:$B,0))="Non",
INDEX(Data_metier!$G:$G,MATCH($A16,Data_metier!$B:$B,0))="Oui, en amont ET aval"),
1,
IF(AND(INDEX(Data_metier!$G:$G,MATCH(P$1,Data_metier!$B:$B,0))="Oui, en amont OU aval",
INDEX(Data_metier!$G:$G,MATCH($A16,Data_metier!$B:$B,0))="Oui, en amont ET aval"),
0.5,
0))))</f>
        <v>0</v>
      </c>
      <c r="Q16">
        <f>IF(DE_ress_transv!Q16=-1,-1,
DE_ress_transv!Q16+IF(AND(INDEX(Data_metier!$G:$G,MATCH(Q$1,Data_metier!$B:$B,0))="Non",
INDEX(Data_metier!$G:$G,MATCH($A16,Data_metier!$B:$B,0))="Oui, en amont OU aval"),
0.5,
IF(AND(INDEX(Data_metier!$G:$G,MATCH(Q$1,Data_metier!$B:$B,0))="Non",
INDEX(Data_metier!$G:$G,MATCH($A16,Data_metier!$B:$B,0))="Oui, en amont ET aval"),
1,
IF(AND(INDEX(Data_metier!$G:$G,MATCH(Q$1,Data_metier!$B:$B,0))="Oui, en amont OU aval",
INDEX(Data_metier!$G:$G,MATCH($A16,Data_metier!$B:$B,0))="Oui, en amont ET aval"),
0.5,
0))))</f>
        <v>-1</v>
      </c>
      <c r="R16">
        <f>IF(DE_ress_transv!R16=-1,-1,
DE_ress_transv!R16+IF(AND(INDEX(Data_metier!$G:$G,MATCH(R$1,Data_metier!$B:$B,0))="Non",
INDEX(Data_metier!$G:$G,MATCH($A16,Data_metier!$B:$B,0))="Oui, en amont OU aval"),
0.5,
IF(AND(INDEX(Data_metier!$G:$G,MATCH(R$1,Data_metier!$B:$B,0))="Non",
INDEX(Data_metier!$G:$G,MATCH($A16,Data_metier!$B:$B,0))="Oui, en amont ET aval"),
1,
IF(AND(INDEX(Data_metier!$G:$G,MATCH(R$1,Data_metier!$B:$B,0))="Oui, en amont OU aval",
INDEX(Data_metier!$G:$G,MATCH($A16,Data_metier!$B:$B,0))="Oui, en amont ET aval"),
0.5,
0))))</f>
        <v>-1</v>
      </c>
      <c r="S16">
        <f>IF(DE_ress_transv!S16=-1,-1,
DE_ress_transv!S16+IF(AND(INDEX(Data_metier!$G:$G,MATCH(S$1,Data_metier!$B:$B,0))="Non",
INDEX(Data_metier!$G:$G,MATCH($A16,Data_metier!$B:$B,0))="Oui, en amont OU aval"),
0.5,
IF(AND(INDEX(Data_metier!$G:$G,MATCH(S$1,Data_metier!$B:$B,0))="Non",
INDEX(Data_metier!$G:$G,MATCH($A16,Data_metier!$B:$B,0))="Oui, en amont ET aval"),
1,
IF(AND(INDEX(Data_metier!$G:$G,MATCH(S$1,Data_metier!$B:$B,0))="Oui, en amont OU aval",
INDEX(Data_metier!$G:$G,MATCH($A16,Data_metier!$B:$B,0))="Oui, en amont ET aval"),
0.5,
0))))</f>
        <v>0</v>
      </c>
      <c r="T16">
        <f>IF(DE_ress_transv!T16=-1,-1,
DE_ress_transv!T16+IF(AND(INDEX(Data_metier!$G:$G,MATCH(T$1,Data_metier!$B:$B,0))="Non",
INDEX(Data_metier!$G:$G,MATCH($A16,Data_metier!$B:$B,0))="Oui, en amont OU aval"),
0.5,
IF(AND(INDEX(Data_metier!$G:$G,MATCH(T$1,Data_metier!$B:$B,0))="Non",
INDEX(Data_metier!$G:$G,MATCH($A16,Data_metier!$B:$B,0))="Oui, en amont ET aval"),
1,
IF(AND(INDEX(Data_metier!$G:$G,MATCH(T$1,Data_metier!$B:$B,0))="Oui, en amont OU aval",
INDEX(Data_metier!$G:$G,MATCH($A16,Data_metier!$B:$B,0))="Oui, en amont ET aval"),
0.5,
0))))</f>
        <v>0</v>
      </c>
      <c r="U16">
        <f>IF(DE_ress_transv!U16=-1,-1,
DE_ress_transv!U16+IF(AND(INDEX(Data_metier!$G:$G,MATCH(U$1,Data_metier!$B:$B,0))="Non",
INDEX(Data_metier!$G:$G,MATCH($A16,Data_metier!$B:$B,0))="Oui, en amont OU aval"),
0.5,
IF(AND(INDEX(Data_metier!$G:$G,MATCH(U$1,Data_metier!$B:$B,0))="Non",
INDEX(Data_metier!$G:$G,MATCH($A16,Data_metier!$B:$B,0))="Oui, en amont ET aval"),
1,
IF(AND(INDEX(Data_metier!$G:$G,MATCH(U$1,Data_metier!$B:$B,0))="Oui, en amont OU aval",
INDEX(Data_metier!$G:$G,MATCH($A16,Data_metier!$B:$B,0))="Oui, en amont ET aval"),
0.5,
0))))</f>
        <v>0</v>
      </c>
      <c r="V16">
        <f>IF(DE_ress_transv!V16=-1,-1,
DE_ress_transv!V16+IF(AND(INDEX(Data_metier!$G:$G,MATCH(V$1,Data_metier!$B:$B,0))="Non",
INDEX(Data_metier!$G:$G,MATCH($A16,Data_metier!$B:$B,0))="Oui, en amont OU aval"),
0.5,
IF(AND(INDEX(Data_metier!$G:$G,MATCH(V$1,Data_metier!$B:$B,0))="Non",
INDEX(Data_metier!$G:$G,MATCH($A16,Data_metier!$B:$B,0))="Oui, en amont ET aval"),
1,
IF(AND(INDEX(Data_metier!$G:$G,MATCH(V$1,Data_metier!$B:$B,0))="Oui, en amont OU aval",
INDEX(Data_metier!$G:$G,MATCH($A16,Data_metier!$B:$B,0))="Oui, en amont ET aval"),
0.5,
0))))</f>
        <v>-1</v>
      </c>
      <c r="W16">
        <f>IF(DE_ress_transv!W16=-1,-1,
DE_ress_transv!W16+IF(AND(INDEX(Data_metier!$G:$G,MATCH(W$1,Data_metier!$B:$B,0))="Non",
INDEX(Data_metier!$G:$G,MATCH($A16,Data_metier!$B:$B,0))="Oui, en amont OU aval"),
0.5,
IF(AND(INDEX(Data_metier!$G:$G,MATCH(W$1,Data_metier!$B:$B,0))="Non",
INDEX(Data_metier!$G:$G,MATCH($A16,Data_metier!$B:$B,0))="Oui, en amont ET aval"),
1,
IF(AND(INDEX(Data_metier!$G:$G,MATCH(W$1,Data_metier!$B:$B,0))="Oui, en amont OU aval",
INDEX(Data_metier!$G:$G,MATCH($A16,Data_metier!$B:$B,0))="Oui, en amont ET aval"),
0.5,
0))))</f>
        <v>-1</v>
      </c>
      <c r="X16">
        <f>IF(DE_ress_transv!X16=-1,-1,
DE_ress_transv!X16+IF(AND(INDEX(Data_metier!$G:$G,MATCH(X$1,Data_metier!$B:$B,0))="Non",
INDEX(Data_metier!$G:$G,MATCH($A16,Data_metier!$B:$B,0))="Oui, en amont OU aval"),
0.5,
IF(AND(INDEX(Data_metier!$G:$G,MATCH(X$1,Data_metier!$B:$B,0))="Non",
INDEX(Data_metier!$G:$G,MATCH($A16,Data_metier!$B:$B,0))="Oui, en amont ET aval"),
1,
IF(AND(INDEX(Data_metier!$G:$G,MATCH(X$1,Data_metier!$B:$B,0))="Oui, en amont OU aval",
INDEX(Data_metier!$G:$G,MATCH($A16,Data_metier!$B:$B,0))="Oui, en amont ET aval"),
0.5,
0))))</f>
        <v>-1</v>
      </c>
      <c r="Y16">
        <f>IF(DE_ress_transv!Y16=-1,-1,
DE_ress_transv!Y16+IF(AND(INDEX(Data_metier!$G:$G,MATCH(Y$1,Data_metier!$B:$B,0))="Non",
INDEX(Data_metier!$G:$G,MATCH($A16,Data_metier!$B:$B,0))="Oui, en amont OU aval"),
0.5,
IF(AND(INDEX(Data_metier!$G:$G,MATCH(Y$1,Data_metier!$B:$B,0))="Non",
INDEX(Data_metier!$G:$G,MATCH($A16,Data_metier!$B:$B,0))="Oui, en amont ET aval"),
1,
IF(AND(INDEX(Data_metier!$G:$G,MATCH(Y$1,Data_metier!$B:$B,0))="Oui, en amont OU aval",
INDEX(Data_metier!$G:$G,MATCH($A16,Data_metier!$B:$B,0))="Oui, en amont ET aval"),
0.5,
0))))</f>
        <v>0</v>
      </c>
      <c r="Z16">
        <f>IF(DE_ress_transv!Z16=-1,-1,
DE_ress_transv!Z16+IF(AND(INDEX(Data_metier!$G:$G,MATCH(Z$1,Data_metier!$B:$B,0))="Non",
INDEX(Data_metier!$G:$G,MATCH($A16,Data_metier!$B:$B,0))="Oui, en amont OU aval"),
0.5,
IF(AND(INDEX(Data_metier!$G:$G,MATCH(Z$1,Data_metier!$B:$B,0))="Non",
INDEX(Data_metier!$G:$G,MATCH($A16,Data_metier!$B:$B,0))="Oui, en amont ET aval"),
1,
IF(AND(INDEX(Data_metier!$G:$G,MATCH(Z$1,Data_metier!$B:$B,0))="Oui, en amont OU aval",
INDEX(Data_metier!$G:$G,MATCH($A16,Data_metier!$B:$B,0))="Oui, en amont ET aval"),
0.5,
0))))</f>
        <v>0</v>
      </c>
      <c r="AA16">
        <f>IF(DE_ress_transv!AA16=-1,-1,
DE_ress_transv!AA16+IF(AND(INDEX(Data_metier!$G:$G,MATCH(AA$1,Data_metier!$B:$B,0))="Non",
INDEX(Data_metier!$G:$G,MATCH($A16,Data_metier!$B:$B,0))="Oui, en amont OU aval"),
0.5,
IF(AND(INDEX(Data_metier!$G:$G,MATCH(AA$1,Data_metier!$B:$B,0))="Non",
INDEX(Data_metier!$G:$G,MATCH($A16,Data_metier!$B:$B,0))="Oui, en amont ET aval"),
1,
IF(AND(INDEX(Data_metier!$G:$G,MATCH(AA$1,Data_metier!$B:$B,0))="Oui, en amont OU aval",
INDEX(Data_metier!$G:$G,MATCH($A16,Data_metier!$B:$B,0))="Oui, en amont ET aval"),
0.5,
0))))</f>
        <v>0</v>
      </c>
      <c r="AB16">
        <f>IF(DE_ress_transv!AB16=-1,-1,
DE_ress_transv!AB16+IF(AND(INDEX(Data_metier!$G:$G,MATCH(AB$1,Data_metier!$B:$B,0))="Non",
INDEX(Data_metier!$G:$G,MATCH($A16,Data_metier!$B:$B,0))="Oui, en amont OU aval"),
0.5,
IF(AND(INDEX(Data_metier!$G:$G,MATCH(AB$1,Data_metier!$B:$B,0))="Non",
INDEX(Data_metier!$G:$G,MATCH($A16,Data_metier!$B:$B,0))="Oui, en amont ET aval"),
1,
IF(AND(INDEX(Data_metier!$G:$G,MATCH(AB$1,Data_metier!$B:$B,0))="Oui, en amont OU aval",
INDEX(Data_metier!$G:$G,MATCH($A16,Data_metier!$B:$B,0))="Oui, en amont ET aval"),
0.5,
0))))</f>
        <v>-1</v>
      </c>
      <c r="AC16">
        <f>IF(DE_ress_transv!AC16=-1,-1,
DE_ress_transv!AC16+IF(AND(INDEX(Data_metier!$G:$G,MATCH(AC$1,Data_metier!$B:$B,0))="Non",
INDEX(Data_metier!$G:$G,MATCH($A16,Data_metier!$B:$B,0))="Oui, en amont OU aval"),
0.5,
IF(AND(INDEX(Data_metier!$G:$G,MATCH(AC$1,Data_metier!$B:$B,0))="Non",
INDEX(Data_metier!$G:$G,MATCH($A16,Data_metier!$B:$B,0))="Oui, en amont ET aval"),
1,
IF(AND(INDEX(Data_metier!$G:$G,MATCH(AC$1,Data_metier!$B:$B,0))="Oui, en amont OU aval",
INDEX(Data_metier!$G:$G,MATCH($A16,Data_metier!$B:$B,0))="Oui, en amont ET aval"),
0.5,
0))))</f>
        <v>-1</v>
      </c>
      <c r="AD16">
        <f>IF(DE_ress_transv!AD16=-1,-1,
DE_ress_transv!AD16+IF(AND(INDEX(Data_metier!$G:$G,MATCH(AD$1,Data_metier!$B:$B,0))="Non",
INDEX(Data_metier!$G:$G,MATCH($A16,Data_metier!$B:$B,0))="Oui, en amont OU aval"),
0.5,
IF(AND(INDEX(Data_metier!$G:$G,MATCH(AD$1,Data_metier!$B:$B,0))="Non",
INDEX(Data_metier!$G:$G,MATCH($A16,Data_metier!$B:$B,0))="Oui, en amont ET aval"),
1,
IF(AND(INDEX(Data_metier!$G:$G,MATCH(AD$1,Data_metier!$B:$B,0))="Oui, en amont OU aval",
INDEX(Data_metier!$G:$G,MATCH($A16,Data_metier!$B:$B,0))="Oui, en amont ET aval"),
0.5,
0))))</f>
        <v>-1</v>
      </c>
    </row>
    <row r="17" spans="1:30">
      <c r="A17" s="55" t="str">
        <v>Chef(fe) de silo</v>
      </c>
      <c r="B17">
        <f>IF(DE_ress_transv!B17=-1,-1,
DE_ress_transv!B17+IF(AND(INDEX(Data_metier!$G:$G,MATCH(B$1,Data_metier!$B:$B,0))="Non",
INDEX(Data_metier!$G:$G,MATCH($A17,Data_metier!$B:$B,0))="Oui, en amont OU aval"),
0.5,
IF(AND(INDEX(Data_metier!$G:$G,MATCH(B$1,Data_metier!$B:$B,0))="Non",
INDEX(Data_metier!$G:$G,MATCH($A17,Data_metier!$B:$B,0))="Oui, en amont ET aval"),
1,
IF(AND(INDEX(Data_metier!$G:$G,MATCH(B$1,Data_metier!$B:$B,0))="Oui, en amont OU aval",
INDEX(Data_metier!$G:$G,MATCH($A17,Data_metier!$B:$B,0))="Oui, en amont ET aval"),
0.5,
0))))</f>
        <v>2.9999999999999996</v>
      </c>
      <c r="C17">
        <f>IF(DE_ress_transv!C17=-1,-1,
DE_ress_transv!C17+IF(AND(INDEX(Data_metier!$G:$G,MATCH(C$1,Data_metier!$B:$B,0))="Non",
INDEX(Data_metier!$G:$G,MATCH($A17,Data_metier!$B:$B,0))="Oui, en amont OU aval"),
0.5,
IF(AND(INDEX(Data_metier!$G:$G,MATCH(C$1,Data_metier!$B:$B,0))="Non",
INDEX(Data_metier!$G:$G,MATCH($A17,Data_metier!$B:$B,0))="Oui, en amont ET aval"),
1,
IF(AND(INDEX(Data_metier!$G:$G,MATCH(C$1,Data_metier!$B:$B,0))="Oui, en amont OU aval",
INDEX(Data_metier!$G:$G,MATCH($A17,Data_metier!$B:$B,0))="Oui, en amont ET aval"),
0.5,
0))))</f>
        <v>3.4999999999999996</v>
      </c>
      <c r="D17">
        <f>IF(DE_ress_transv!D17=-1,-1,
DE_ress_transv!D17+IF(AND(INDEX(Data_metier!$G:$G,MATCH(D$1,Data_metier!$B:$B,0))="Non",
INDEX(Data_metier!$G:$G,MATCH($A17,Data_metier!$B:$B,0))="Oui, en amont OU aval"),
0.5,
IF(AND(INDEX(Data_metier!$G:$G,MATCH(D$1,Data_metier!$B:$B,0))="Non",
INDEX(Data_metier!$G:$G,MATCH($A17,Data_metier!$B:$B,0))="Oui, en amont ET aval"),
1,
IF(AND(INDEX(Data_metier!$G:$G,MATCH(D$1,Data_metier!$B:$B,0))="Oui, en amont OU aval",
INDEX(Data_metier!$G:$G,MATCH($A17,Data_metier!$B:$B,0))="Oui, en amont ET aval"),
0.5,
0))))</f>
        <v>3.4999999999999996</v>
      </c>
      <c r="E17">
        <f>IF(DE_ress_transv!E17=-1,-1,
DE_ress_transv!E17+IF(AND(INDEX(Data_metier!$G:$G,MATCH(E$1,Data_metier!$B:$B,0))="Non",
INDEX(Data_metier!$G:$G,MATCH($A17,Data_metier!$B:$B,0))="Oui, en amont OU aval"),
0.5,
IF(AND(INDEX(Data_metier!$G:$G,MATCH(E$1,Data_metier!$B:$B,0))="Non",
INDEX(Data_metier!$G:$G,MATCH($A17,Data_metier!$B:$B,0))="Oui, en amont ET aval"),
1,
IF(AND(INDEX(Data_metier!$G:$G,MATCH(E$1,Data_metier!$B:$B,0))="Oui, en amont OU aval",
INDEX(Data_metier!$G:$G,MATCH($A17,Data_metier!$B:$B,0))="Oui, en amont ET aval"),
0.5,
0))))</f>
        <v>0</v>
      </c>
      <c r="F17">
        <f>IF(DE_ress_transv!F17=-1,-1,
DE_ress_transv!F17+IF(AND(INDEX(Data_metier!$G:$G,MATCH(F$1,Data_metier!$B:$B,0))="Non",
INDEX(Data_metier!$G:$G,MATCH($A17,Data_metier!$B:$B,0))="Oui, en amont OU aval"),
0.5,
IF(AND(INDEX(Data_metier!$G:$G,MATCH(F$1,Data_metier!$B:$B,0))="Non",
INDEX(Data_metier!$G:$G,MATCH($A17,Data_metier!$B:$B,0))="Oui, en amont ET aval"),
1,
IF(AND(INDEX(Data_metier!$G:$G,MATCH(F$1,Data_metier!$B:$B,0))="Oui, en amont OU aval",
INDEX(Data_metier!$G:$G,MATCH($A17,Data_metier!$B:$B,0))="Oui, en amont ET aval"),
0.5,
0))))</f>
        <v>-0.33333333333333337</v>
      </c>
      <c r="G17">
        <f>IF(DE_ress_transv!G17=-1,-1,
DE_ress_transv!G17+IF(AND(INDEX(Data_metier!$G:$G,MATCH(G$1,Data_metier!$B:$B,0))="Non",
INDEX(Data_metier!$G:$G,MATCH($A17,Data_metier!$B:$B,0))="Oui, en amont OU aval"),
0.5,
IF(AND(INDEX(Data_metier!$G:$G,MATCH(G$1,Data_metier!$B:$B,0))="Non",
INDEX(Data_metier!$G:$G,MATCH($A17,Data_metier!$B:$B,0))="Oui, en amont ET aval"),
1,
IF(AND(INDEX(Data_metier!$G:$G,MATCH(G$1,Data_metier!$B:$B,0))="Oui, en amont OU aval",
INDEX(Data_metier!$G:$G,MATCH($A17,Data_metier!$B:$B,0))="Oui, en amont ET aval"),
0.5,
0))))</f>
        <v>-1</v>
      </c>
      <c r="H17">
        <f>IF(DE_ress_transv!H17=-1,-1,
DE_ress_transv!H17+IF(AND(INDEX(Data_metier!$G:$G,MATCH(H$1,Data_metier!$B:$B,0))="Non",
INDEX(Data_metier!$G:$G,MATCH($A17,Data_metier!$B:$B,0))="Oui, en amont OU aval"),
0.5,
IF(AND(INDEX(Data_metier!$G:$G,MATCH(H$1,Data_metier!$B:$B,0))="Non",
INDEX(Data_metier!$G:$G,MATCH($A17,Data_metier!$B:$B,0))="Oui, en amont ET aval"),
1,
IF(AND(INDEX(Data_metier!$G:$G,MATCH(H$1,Data_metier!$B:$B,0))="Oui, en amont OU aval",
INDEX(Data_metier!$G:$G,MATCH($A17,Data_metier!$B:$B,0))="Oui, en amont ET aval"),
0.5,
0))))</f>
        <v>-1</v>
      </c>
      <c r="I17">
        <f>IF(DE_ress_transv!I17=-1,-1,
DE_ress_transv!I17+IF(AND(INDEX(Data_metier!$G:$G,MATCH(I$1,Data_metier!$B:$B,0))="Non",
INDEX(Data_metier!$G:$G,MATCH($A17,Data_metier!$B:$B,0))="Oui, en amont OU aval"),
0.5,
IF(AND(INDEX(Data_metier!$G:$G,MATCH(I$1,Data_metier!$B:$B,0))="Non",
INDEX(Data_metier!$G:$G,MATCH($A17,Data_metier!$B:$B,0))="Oui, en amont ET aval"),
1,
IF(AND(INDEX(Data_metier!$G:$G,MATCH(I$1,Data_metier!$B:$B,0))="Oui, en amont OU aval",
INDEX(Data_metier!$G:$G,MATCH($A17,Data_metier!$B:$B,0))="Oui, en amont ET aval"),
0.5,
0))))</f>
        <v>3.4999999999999996</v>
      </c>
      <c r="J17">
        <f>IF(DE_ress_transv!J17=-1,-1,
DE_ress_transv!J17+IF(AND(INDEX(Data_metier!$G:$G,MATCH(J$1,Data_metier!$B:$B,0))="Non",
INDEX(Data_metier!$G:$G,MATCH($A17,Data_metier!$B:$B,0))="Oui, en amont OU aval"),
0.5,
IF(AND(INDEX(Data_metier!$G:$G,MATCH(J$1,Data_metier!$B:$B,0))="Non",
INDEX(Data_metier!$G:$G,MATCH($A17,Data_metier!$B:$B,0))="Oui, en amont ET aval"),
1,
IF(AND(INDEX(Data_metier!$G:$G,MATCH(J$1,Data_metier!$B:$B,0))="Oui, en amont OU aval",
INDEX(Data_metier!$G:$G,MATCH($A17,Data_metier!$B:$B,0))="Oui, en amont ET aval"),
0.5,
0))))</f>
        <v>0.83333333333333326</v>
      </c>
      <c r="K17">
        <f>IF(DE_ress_transv!K17=-1,-1,
DE_ress_transv!K17+IF(AND(INDEX(Data_metier!$G:$G,MATCH(K$1,Data_metier!$B:$B,0))="Non",
INDEX(Data_metier!$G:$G,MATCH($A17,Data_metier!$B:$B,0))="Oui, en amont OU aval"),
0.5,
IF(AND(INDEX(Data_metier!$G:$G,MATCH(K$1,Data_metier!$B:$B,0))="Non",
INDEX(Data_metier!$G:$G,MATCH($A17,Data_metier!$B:$B,0))="Oui, en amont ET aval"),
1,
IF(AND(INDEX(Data_metier!$G:$G,MATCH(K$1,Data_metier!$B:$B,0))="Oui, en amont OU aval",
INDEX(Data_metier!$G:$G,MATCH($A17,Data_metier!$B:$B,0))="Oui, en amont ET aval"),
0.5,
0))))</f>
        <v>-1</v>
      </c>
      <c r="L17">
        <f>IF(DE_ress_transv!L17=-1,-1,
DE_ress_transv!L17+IF(AND(INDEX(Data_metier!$G:$G,MATCH(L$1,Data_metier!$B:$B,0))="Non",
INDEX(Data_metier!$G:$G,MATCH($A17,Data_metier!$B:$B,0))="Oui, en amont OU aval"),
0.5,
IF(AND(INDEX(Data_metier!$G:$G,MATCH(L$1,Data_metier!$B:$B,0))="Non",
INDEX(Data_metier!$G:$G,MATCH($A17,Data_metier!$B:$B,0))="Oui, en amont ET aval"),
1,
IF(AND(INDEX(Data_metier!$G:$G,MATCH(L$1,Data_metier!$B:$B,0))="Oui, en amont OU aval",
INDEX(Data_metier!$G:$G,MATCH($A17,Data_metier!$B:$B,0))="Oui, en amont ET aval"),
0.5,
0))))</f>
        <v>3.4999999999999996</v>
      </c>
      <c r="M17">
        <f>IF(DE_ress_transv!M17=-1,-1,
DE_ress_transv!M17+IF(AND(INDEX(Data_metier!$G:$G,MATCH(M$1,Data_metier!$B:$B,0))="Non",
INDEX(Data_metier!$G:$G,MATCH($A17,Data_metier!$B:$B,0))="Oui, en amont OU aval"),
0.5,
IF(AND(INDEX(Data_metier!$G:$G,MATCH(M$1,Data_metier!$B:$B,0))="Non",
INDEX(Data_metier!$G:$G,MATCH($A17,Data_metier!$B:$B,0))="Oui, en amont ET aval"),
1,
IF(AND(INDEX(Data_metier!$G:$G,MATCH(M$1,Data_metier!$B:$B,0))="Oui, en amont OU aval",
INDEX(Data_metier!$G:$G,MATCH($A17,Data_metier!$B:$B,0))="Oui, en amont ET aval"),
0.5,
0))))</f>
        <v>3.4999999999999996</v>
      </c>
      <c r="N17">
        <f>IF(DE_ress_transv!N17=-1,-1,
DE_ress_transv!N17+IF(AND(INDEX(Data_metier!$G:$G,MATCH(N$1,Data_metier!$B:$B,0))="Non",
INDEX(Data_metier!$G:$G,MATCH($A17,Data_metier!$B:$B,0))="Oui, en amont OU aval"),
0.5,
IF(AND(INDEX(Data_metier!$G:$G,MATCH(N$1,Data_metier!$B:$B,0))="Non",
INDEX(Data_metier!$G:$G,MATCH($A17,Data_metier!$B:$B,0))="Oui, en amont ET aval"),
1,
IF(AND(INDEX(Data_metier!$G:$G,MATCH(N$1,Data_metier!$B:$B,0))="Oui, en amont OU aval",
INDEX(Data_metier!$G:$G,MATCH($A17,Data_metier!$B:$B,0))="Oui, en amont ET aval"),
0.5,
0))))</f>
        <v>1.1666666666666667</v>
      </c>
      <c r="O17">
        <f>IF(DE_ress_transv!O17=-1,-1,
DE_ress_transv!O17+IF(AND(INDEX(Data_metier!$G:$G,MATCH(O$1,Data_metier!$B:$B,0))="Non",
INDEX(Data_metier!$G:$G,MATCH($A17,Data_metier!$B:$B,0))="Oui, en amont OU aval"),
0.5,
IF(AND(INDEX(Data_metier!$G:$G,MATCH(O$1,Data_metier!$B:$B,0))="Non",
INDEX(Data_metier!$G:$G,MATCH($A17,Data_metier!$B:$B,0))="Oui, en amont ET aval"),
1,
IF(AND(INDEX(Data_metier!$G:$G,MATCH(O$1,Data_metier!$B:$B,0))="Oui, en amont OU aval",
INDEX(Data_metier!$G:$G,MATCH($A17,Data_metier!$B:$B,0))="Oui, en amont ET aval"),
0.5,
0))))</f>
        <v>3.4999999999999996</v>
      </c>
      <c r="P17">
        <f>IF(DE_ress_transv!P17=-1,-1,
DE_ress_transv!P17+IF(AND(INDEX(Data_metier!$G:$G,MATCH(P$1,Data_metier!$B:$B,0))="Non",
INDEX(Data_metier!$G:$G,MATCH($A17,Data_metier!$B:$B,0))="Oui, en amont OU aval"),
0.5,
IF(AND(INDEX(Data_metier!$G:$G,MATCH(P$1,Data_metier!$B:$B,0))="Non",
INDEX(Data_metier!$G:$G,MATCH($A17,Data_metier!$B:$B,0))="Oui, en amont ET aval"),
1,
IF(AND(INDEX(Data_metier!$G:$G,MATCH(P$1,Data_metier!$B:$B,0))="Oui, en amont OU aval",
INDEX(Data_metier!$G:$G,MATCH($A17,Data_metier!$B:$B,0))="Oui, en amont ET aval"),
0.5,
0))))</f>
        <v>3.4999999999999996</v>
      </c>
      <c r="Q17">
        <f>IF(DE_ress_transv!Q17=-1,-1,
DE_ress_transv!Q17+IF(AND(INDEX(Data_metier!$G:$G,MATCH(Q$1,Data_metier!$B:$B,0))="Non",
INDEX(Data_metier!$G:$G,MATCH($A17,Data_metier!$B:$B,0))="Oui, en amont OU aval"),
0.5,
IF(AND(INDEX(Data_metier!$G:$G,MATCH(Q$1,Data_metier!$B:$B,0))="Non",
INDEX(Data_metier!$G:$G,MATCH($A17,Data_metier!$B:$B,0))="Oui, en amont ET aval"),
1,
IF(AND(INDEX(Data_metier!$G:$G,MATCH(Q$1,Data_metier!$B:$B,0))="Oui, en amont OU aval",
INDEX(Data_metier!$G:$G,MATCH($A17,Data_metier!$B:$B,0))="Oui, en amont ET aval"),
0.5,
0))))</f>
        <v>0</v>
      </c>
      <c r="R17">
        <f>IF(DE_ress_transv!R17=-1,-1,
DE_ress_transv!R17+IF(AND(INDEX(Data_metier!$G:$G,MATCH(R$1,Data_metier!$B:$B,0))="Non",
INDEX(Data_metier!$G:$G,MATCH($A17,Data_metier!$B:$B,0))="Oui, en amont OU aval"),
0.5,
IF(AND(INDEX(Data_metier!$G:$G,MATCH(R$1,Data_metier!$B:$B,0))="Non",
INDEX(Data_metier!$G:$G,MATCH($A17,Data_metier!$B:$B,0))="Oui, en amont ET aval"),
1,
IF(AND(INDEX(Data_metier!$G:$G,MATCH(R$1,Data_metier!$B:$B,0))="Oui, en amont OU aval",
INDEX(Data_metier!$G:$G,MATCH($A17,Data_metier!$B:$B,0))="Oui, en amont ET aval"),
0.5,
0))))</f>
        <v>-1</v>
      </c>
      <c r="S17">
        <f>IF(DE_ress_transv!S17=-1,-1,
DE_ress_transv!S17+IF(AND(INDEX(Data_metier!$G:$G,MATCH(S$1,Data_metier!$B:$B,0))="Non",
INDEX(Data_metier!$G:$G,MATCH($A17,Data_metier!$B:$B,0))="Oui, en amont OU aval"),
0.5,
IF(AND(INDEX(Data_metier!$G:$G,MATCH(S$1,Data_metier!$B:$B,0))="Non",
INDEX(Data_metier!$G:$G,MATCH($A17,Data_metier!$B:$B,0))="Oui, en amont ET aval"),
1,
IF(AND(INDEX(Data_metier!$G:$G,MATCH(S$1,Data_metier!$B:$B,0))="Oui, en amont OU aval",
INDEX(Data_metier!$G:$G,MATCH($A17,Data_metier!$B:$B,0))="Oui, en amont ET aval"),
0.5,
0))))</f>
        <v>3.4999999999999996</v>
      </c>
      <c r="T17">
        <f>IF(DE_ress_transv!T17=-1,-1,
DE_ress_transv!T17+IF(AND(INDEX(Data_metier!$G:$G,MATCH(T$1,Data_metier!$B:$B,0))="Non",
INDEX(Data_metier!$G:$G,MATCH($A17,Data_metier!$B:$B,0))="Oui, en amont OU aval"),
0.5,
IF(AND(INDEX(Data_metier!$G:$G,MATCH(T$1,Data_metier!$B:$B,0))="Non",
INDEX(Data_metier!$G:$G,MATCH($A17,Data_metier!$B:$B,0))="Oui, en amont ET aval"),
1,
IF(AND(INDEX(Data_metier!$G:$G,MATCH(T$1,Data_metier!$B:$B,0))="Oui, en amont OU aval",
INDEX(Data_metier!$G:$G,MATCH($A17,Data_metier!$B:$B,0))="Oui, en amont ET aval"),
0.5,
0))))</f>
        <v>3.4999999999999996</v>
      </c>
      <c r="U17">
        <f>IF(DE_ress_transv!U17=-1,-1,
DE_ress_transv!U17+IF(AND(INDEX(Data_metier!$G:$G,MATCH(U$1,Data_metier!$B:$B,0))="Non",
INDEX(Data_metier!$G:$G,MATCH($A17,Data_metier!$B:$B,0))="Oui, en amont OU aval"),
0.5,
IF(AND(INDEX(Data_metier!$G:$G,MATCH(U$1,Data_metier!$B:$B,0))="Non",
INDEX(Data_metier!$G:$G,MATCH($A17,Data_metier!$B:$B,0))="Oui, en amont ET aval"),
1,
IF(AND(INDEX(Data_metier!$G:$G,MATCH(U$1,Data_metier!$B:$B,0))="Oui, en amont OU aval",
INDEX(Data_metier!$G:$G,MATCH($A17,Data_metier!$B:$B,0))="Oui, en amont ET aval"),
0.5,
0))))</f>
        <v>3.4999999999999996</v>
      </c>
      <c r="V17">
        <f>IF(DE_ress_transv!V17=-1,-1,
DE_ress_transv!V17+IF(AND(INDEX(Data_metier!$G:$G,MATCH(V$1,Data_metier!$B:$B,0))="Non",
INDEX(Data_metier!$G:$G,MATCH($A17,Data_metier!$B:$B,0))="Oui, en amont OU aval"),
0.5,
IF(AND(INDEX(Data_metier!$G:$G,MATCH(V$1,Data_metier!$B:$B,0))="Non",
INDEX(Data_metier!$G:$G,MATCH($A17,Data_metier!$B:$B,0))="Oui, en amont ET aval"),
1,
IF(AND(INDEX(Data_metier!$G:$G,MATCH(V$1,Data_metier!$B:$B,0))="Oui, en amont OU aval",
INDEX(Data_metier!$G:$G,MATCH($A17,Data_metier!$B:$B,0))="Oui, en amont ET aval"),
0.5,
0))))</f>
        <v>2.9999999999999996</v>
      </c>
      <c r="W17">
        <f>IF(DE_ress_transv!W17=-1,-1,
DE_ress_transv!W17+IF(AND(INDEX(Data_metier!$G:$G,MATCH(W$1,Data_metier!$B:$B,0))="Non",
INDEX(Data_metier!$G:$G,MATCH($A17,Data_metier!$B:$B,0))="Oui, en amont OU aval"),
0.5,
IF(AND(INDEX(Data_metier!$G:$G,MATCH(W$1,Data_metier!$B:$B,0))="Non",
INDEX(Data_metier!$G:$G,MATCH($A17,Data_metier!$B:$B,0))="Oui, en amont ET aval"),
1,
IF(AND(INDEX(Data_metier!$G:$G,MATCH(W$1,Data_metier!$B:$B,0))="Oui, en amont OU aval",
INDEX(Data_metier!$G:$G,MATCH($A17,Data_metier!$B:$B,0))="Oui, en amont ET aval"),
0.5,
0))))</f>
        <v>2.4999999999999996</v>
      </c>
      <c r="X17">
        <f>IF(DE_ress_transv!X17=-1,-1,
DE_ress_transv!X17+IF(AND(INDEX(Data_metier!$G:$G,MATCH(X$1,Data_metier!$B:$B,0))="Non",
INDEX(Data_metier!$G:$G,MATCH($A17,Data_metier!$B:$B,0))="Oui, en amont OU aval"),
0.5,
IF(AND(INDEX(Data_metier!$G:$G,MATCH(X$1,Data_metier!$B:$B,0))="Non",
INDEX(Data_metier!$G:$G,MATCH($A17,Data_metier!$B:$B,0))="Oui, en amont ET aval"),
1,
IF(AND(INDEX(Data_metier!$G:$G,MATCH(X$1,Data_metier!$B:$B,0))="Oui, en amont OU aval",
INDEX(Data_metier!$G:$G,MATCH($A17,Data_metier!$B:$B,0))="Oui, en amont ET aval"),
0.5,
0))))</f>
        <v>-1</v>
      </c>
      <c r="Y17">
        <f>IF(DE_ress_transv!Y17=-1,-1,
DE_ress_transv!Y17+IF(AND(INDEX(Data_metier!$G:$G,MATCH(Y$1,Data_metier!$B:$B,0))="Non",
INDEX(Data_metier!$G:$G,MATCH($A17,Data_metier!$B:$B,0))="Oui, en amont OU aval"),
0.5,
IF(AND(INDEX(Data_metier!$G:$G,MATCH(Y$1,Data_metier!$B:$B,0))="Non",
INDEX(Data_metier!$G:$G,MATCH($A17,Data_metier!$B:$B,0))="Oui, en amont ET aval"),
1,
IF(AND(INDEX(Data_metier!$G:$G,MATCH(Y$1,Data_metier!$B:$B,0))="Oui, en amont OU aval",
INDEX(Data_metier!$G:$G,MATCH($A17,Data_metier!$B:$B,0))="Oui, en amont ET aval"),
0.5,
0))))</f>
        <v>3.4999999999999996</v>
      </c>
      <c r="Z17">
        <f>IF(DE_ress_transv!Z17=-1,-1,
DE_ress_transv!Z17+IF(AND(INDEX(Data_metier!$G:$G,MATCH(Z$1,Data_metier!$B:$B,0))="Non",
INDEX(Data_metier!$G:$G,MATCH($A17,Data_metier!$B:$B,0))="Oui, en amont OU aval"),
0.5,
IF(AND(INDEX(Data_metier!$G:$G,MATCH(Z$1,Data_metier!$B:$B,0))="Non",
INDEX(Data_metier!$G:$G,MATCH($A17,Data_metier!$B:$B,0))="Oui, en amont ET aval"),
1,
IF(AND(INDEX(Data_metier!$G:$G,MATCH(Z$1,Data_metier!$B:$B,0))="Oui, en amont OU aval",
INDEX(Data_metier!$G:$G,MATCH($A17,Data_metier!$B:$B,0))="Oui, en amont ET aval"),
0.5,
0))))</f>
        <v>3.4999999999999996</v>
      </c>
      <c r="AA17">
        <f>IF(DE_ress_transv!AA17=-1,-1,
DE_ress_transv!AA17+IF(AND(INDEX(Data_metier!$G:$G,MATCH(AA$1,Data_metier!$B:$B,0))="Non",
INDEX(Data_metier!$G:$G,MATCH($A17,Data_metier!$B:$B,0))="Oui, en amont OU aval"),
0.5,
IF(AND(INDEX(Data_metier!$G:$G,MATCH(AA$1,Data_metier!$B:$B,0))="Non",
INDEX(Data_metier!$G:$G,MATCH($A17,Data_metier!$B:$B,0))="Oui, en amont ET aval"),
1,
IF(AND(INDEX(Data_metier!$G:$G,MATCH(AA$1,Data_metier!$B:$B,0))="Oui, en amont OU aval",
INDEX(Data_metier!$G:$G,MATCH($A17,Data_metier!$B:$B,0))="Oui, en amont ET aval"),
0.5,
0))))</f>
        <v>3.4999999999999996</v>
      </c>
      <c r="AB17">
        <f>IF(DE_ress_transv!AB17=-1,-1,
DE_ress_transv!AB17+IF(AND(INDEX(Data_metier!$G:$G,MATCH(AB$1,Data_metier!$B:$B,0))="Non",
INDEX(Data_metier!$G:$G,MATCH($A17,Data_metier!$B:$B,0))="Oui, en amont OU aval"),
0.5,
IF(AND(INDEX(Data_metier!$G:$G,MATCH(AB$1,Data_metier!$B:$B,0))="Non",
INDEX(Data_metier!$G:$G,MATCH($A17,Data_metier!$B:$B,0))="Oui, en amont ET aval"),
1,
IF(AND(INDEX(Data_metier!$G:$G,MATCH(AB$1,Data_metier!$B:$B,0))="Oui, en amont OU aval",
INDEX(Data_metier!$G:$G,MATCH($A17,Data_metier!$B:$B,0))="Oui, en amont ET aval"),
0.5,
0))))</f>
        <v>2.9999999999999996</v>
      </c>
      <c r="AC17">
        <f>IF(DE_ress_transv!AC17=-1,-1,
DE_ress_transv!AC17+IF(AND(INDEX(Data_metier!$G:$G,MATCH(AC$1,Data_metier!$B:$B,0))="Non",
INDEX(Data_metier!$G:$G,MATCH($A17,Data_metier!$B:$B,0))="Oui, en amont OU aval"),
0.5,
IF(AND(INDEX(Data_metier!$G:$G,MATCH(AC$1,Data_metier!$B:$B,0))="Non",
INDEX(Data_metier!$G:$G,MATCH($A17,Data_metier!$B:$B,0))="Oui, en amont ET aval"),
1,
IF(AND(INDEX(Data_metier!$G:$G,MATCH(AC$1,Data_metier!$B:$B,0))="Oui, en amont OU aval",
INDEX(Data_metier!$G:$G,MATCH($A17,Data_metier!$B:$B,0))="Oui, en amont ET aval"),
0.5,
0))))</f>
        <v>2.9999999999999996</v>
      </c>
      <c r="AD17">
        <f>IF(DE_ress_transv!AD17=-1,-1,
DE_ress_transv!AD17+IF(AND(INDEX(Data_metier!$G:$G,MATCH(AD$1,Data_metier!$B:$B,0))="Non",
INDEX(Data_metier!$G:$G,MATCH($A17,Data_metier!$B:$B,0))="Oui, en amont OU aval"),
0.5,
IF(AND(INDEX(Data_metier!$G:$G,MATCH(AD$1,Data_metier!$B:$B,0))="Non",
INDEX(Data_metier!$G:$G,MATCH($A17,Data_metier!$B:$B,0))="Oui, en amont ET aval"),
1,
IF(AND(INDEX(Data_metier!$G:$G,MATCH(AD$1,Data_metier!$B:$B,0))="Oui, en amont OU aval",
INDEX(Data_metier!$G:$G,MATCH($A17,Data_metier!$B:$B,0))="Oui, en amont ET aval"),
0.5,
0))))</f>
        <v>2</v>
      </c>
    </row>
    <row r="18" spans="1:30">
      <c r="A18" s="55" t="str">
        <v>Acheteur(se) / négociateur(trice) de matières premières</v>
      </c>
      <c r="B18">
        <f>IF(DE_ress_transv!B18=-1,-1,
DE_ress_transv!B18+IF(AND(INDEX(Data_metier!$G:$G,MATCH(B$1,Data_metier!$B:$B,0))="Non",
INDEX(Data_metier!$G:$G,MATCH($A18,Data_metier!$B:$B,0))="Oui, en amont OU aval"),
0.5,
IF(AND(INDEX(Data_metier!$G:$G,MATCH(B$1,Data_metier!$B:$B,0))="Non",
INDEX(Data_metier!$G:$G,MATCH($A18,Data_metier!$B:$B,0))="Oui, en amont ET aval"),
1,
IF(AND(INDEX(Data_metier!$G:$G,MATCH(B$1,Data_metier!$B:$B,0))="Oui, en amont OU aval",
INDEX(Data_metier!$G:$G,MATCH($A18,Data_metier!$B:$B,0))="Oui, en amont ET aval"),
0.5,
0))))</f>
        <v>3.4999999999999996</v>
      </c>
      <c r="C18">
        <f>IF(DE_ress_transv!C18=-1,-1,
DE_ress_transv!C18+IF(AND(INDEX(Data_metier!$G:$G,MATCH(C$1,Data_metier!$B:$B,0))="Non",
INDEX(Data_metier!$G:$G,MATCH($A18,Data_metier!$B:$B,0))="Oui, en amont OU aval"),
0.5,
IF(AND(INDEX(Data_metier!$G:$G,MATCH(C$1,Data_metier!$B:$B,0))="Non",
INDEX(Data_metier!$G:$G,MATCH($A18,Data_metier!$B:$B,0))="Oui, en amont ET aval"),
1,
IF(AND(INDEX(Data_metier!$G:$G,MATCH(C$1,Data_metier!$B:$B,0))="Oui, en amont OU aval",
INDEX(Data_metier!$G:$G,MATCH($A18,Data_metier!$B:$B,0))="Oui, en amont ET aval"),
0.5,
0))))</f>
        <v>3.9999999999999996</v>
      </c>
      <c r="D18">
        <f>IF(DE_ress_transv!D18=-1,-1,
DE_ress_transv!D18+IF(AND(INDEX(Data_metier!$G:$G,MATCH(D$1,Data_metier!$B:$B,0))="Non",
INDEX(Data_metier!$G:$G,MATCH($A18,Data_metier!$B:$B,0))="Oui, en amont OU aval"),
0.5,
IF(AND(INDEX(Data_metier!$G:$G,MATCH(D$1,Data_metier!$B:$B,0))="Non",
INDEX(Data_metier!$G:$G,MATCH($A18,Data_metier!$B:$B,0))="Oui, en amont ET aval"),
1,
IF(AND(INDEX(Data_metier!$G:$G,MATCH(D$1,Data_metier!$B:$B,0))="Oui, en amont OU aval",
INDEX(Data_metier!$G:$G,MATCH($A18,Data_metier!$B:$B,0))="Oui, en amont ET aval"),
0.5,
0))))</f>
        <v>3.9999999999999996</v>
      </c>
      <c r="E18">
        <f>IF(DE_ress_transv!E18=-1,-1,
DE_ress_transv!E18+IF(AND(INDEX(Data_metier!$G:$G,MATCH(E$1,Data_metier!$B:$B,0))="Non",
INDEX(Data_metier!$G:$G,MATCH($A18,Data_metier!$B:$B,0))="Oui, en amont OU aval"),
0.5,
IF(AND(INDEX(Data_metier!$G:$G,MATCH(E$1,Data_metier!$B:$B,0))="Non",
INDEX(Data_metier!$G:$G,MATCH($A18,Data_metier!$B:$B,0))="Oui, en amont ET aval"),
1,
IF(AND(INDEX(Data_metier!$G:$G,MATCH(E$1,Data_metier!$B:$B,0))="Oui, en amont OU aval",
INDEX(Data_metier!$G:$G,MATCH($A18,Data_metier!$B:$B,0))="Oui, en amont ET aval"),
0.5,
0))))</f>
        <v>1</v>
      </c>
      <c r="F18">
        <f>IF(DE_ress_transv!F18=-1,-1,
DE_ress_transv!F18+IF(AND(INDEX(Data_metier!$G:$G,MATCH(F$1,Data_metier!$B:$B,0))="Non",
INDEX(Data_metier!$G:$G,MATCH($A18,Data_metier!$B:$B,0))="Oui, en amont OU aval"),
0.5,
IF(AND(INDEX(Data_metier!$G:$G,MATCH(F$1,Data_metier!$B:$B,0))="Non",
INDEX(Data_metier!$G:$G,MATCH($A18,Data_metier!$B:$B,0))="Oui, en amont ET aval"),
1,
IF(AND(INDEX(Data_metier!$G:$G,MATCH(F$1,Data_metier!$B:$B,0))="Oui, en amont OU aval",
INDEX(Data_metier!$G:$G,MATCH($A18,Data_metier!$B:$B,0))="Oui, en amont ET aval"),
0.5,
0))))</f>
        <v>1.6666666666666667</v>
      </c>
      <c r="G18">
        <f>IF(DE_ress_transv!G18=-1,-1,
DE_ress_transv!G18+IF(AND(INDEX(Data_metier!$G:$G,MATCH(G$1,Data_metier!$B:$B,0))="Non",
INDEX(Data_metier!$G:$G,MATCH($A18,Data_metier!$B:$B,0))="Oui, en amont OU aval"),
0.5,
IF(AND(INDEX(Data_metier!$G:$G,MATCH(G$1,Data_metier!$B:$B,0))="Non",
INDEX(Data_metier!$G:$G,MATCH($A18,Data_metier!$B:$B,0))="Oui, en amont ET aval"),
1,
IF(AND(INDEX(Data_metier!$G:$G,MATCH(G$1,Data_metier!$B:$B,0))="Oui, en amont OU aval",
INDEX(Data_metier!$G:$G,MATCH($A18,Data_metier!$B:$B,0))="Oui, en amont ET aval"),
0.5,
0))))</f>
        <v>1.5</v>
      </c>
      <c r="H18">
        <f>IF(DE_ress_transv!H18=-1,-1,
DE_ress_transv!H18+IF(AND(INDEX(Data_metier!$G:$G,MATCH(H$1,Data_metier!$B:$B,0))="Non",
INDEX(Data_metier!$G:$G,MATCH($A18,Data_metier!$B:$B,0))="Oui, en amont OU aval"),
0.5,
IF(AND(INDEX(Data_metier!$G:$G,MATCH(H$1,Data_metier!$B:$B,0))="Non",
INDEX(Data_metier!$G:$G,MATCH($A18,Data_metier!$B:$B,0))="Oui, en amont ET aval"),
1,
IF(AND(INDEX(Data_metier!$G:$G,MATCH(H$1,Data_metier!$B:$B,0))="Oui, en amont OU aval",
INDEX(Data_metier!$G:$G,MATCH($A18,Data_metier!$B:$B,0))="Oui, en amont ET aval"),
0.5,
0))))</f>
        <v>1</v>
      </c>
      <c r="I18">
        <f>IF(DE_ress_transv!I18=-1,-1,
DE_ress_transv!I18+IF(AND(INDEX(Data_metier!$G:$G,MATCH(I$1,Data_metier!$B:$B,0))="Non",
INDEX(Data_metier!$G:$G,MATCH($A18,Data_metier!$B:$B,0))="Oui, en amont OU aval"),
0.5,
IF(AND(INDEX(Data_metier!$G:$G,MATCH(I$1,Data_metier!$B:$B,0))="Non",
INDEX(Data_metier!$G:$G,MATCH($A18,Data_metier!$B:$B,0))="Oui, en amont ET aval"),
1,
IF(AND(INDEX(Data_metier!$G:$G,MATCH(I$1,Data_metier!$B:$B,0))="Oui, en amont OU aval",
INDEX(Data_metier!$G:$G,MATCH($A18,Data_metier!$B:$B,0))="Oui, en amont ET aval"),
0.5,
0))))</f>
        <v>3.9999999999999996</v>
      </c>
      <c r="J18">
        <f>IF(DE_ress_transv!J18=-1,-1,
DE_ress_transv!J18+IF(AND(INDEX(Data_metier!$G:$G,MATCH(J$1,Data_metier!$B:$B,0))="Non",
INDEX(Data_metier!$G:$G,MATCH($A18,Data_metier!$B:$B,0))="Oui, en amont OU aval"),
0.5,
IF(AND(INDEX(Data_metier!$G:$G,MATCH(J$1,Data_metier!$B:$B,0))="Non",
INDEX(Data_metier!$G:$G,MATCH($A18,Data_metier!$B:$B,0))="Oui, en amont ET aval"),
1,
IF(AND(INDEX(Data_metier!$G:$G,MATCH(J$1,Data_metier!$B:$B,0))="Oui, en amont OU aval",
INDEX(Data_metier!$G:$G,MATCH($A18,Data_metier!$B:$B,0))="Oui, en amont ET aval"),
0.5,
0))))</f>
        <v>2.3333333333333335</v>
      </c>
      <c r="K18">
        <f>IF(DE_ress_transv!K18=-1,-1,
DE_ress_transv!K18+IF(AND(INDEX(Data_metier!$G:$G,MATCH(K$1,Data_metier!$B:$B,0))="Non",
INDEX(Data_metier!$G:$G,MATCH($A18,Data_metier!$B:$B,0))="Oui, en amont OU aval"),
0.5,
IF(AND(INDEX(Data_metier!$G:$G,MATCH(K$1,Data_metier!$B:$B,0))="Non",
INDEX(Data_metier!$G:$G,MATCH($A18,Data_metier!$B:$B,0))="Oui, en amont ET aval"),
1,
IF(AND(INDEX(Data_metier!$G:$G,MATCH(K$1,Data_metier!$B:$B,0))="Oui, en amont OU aval",
INDEX(Data_metier!$G:$G,MATCH($A18,Data_metier!$B:$B,0))="Oui, en amont ET aval"),
0.5,
0))))</f>
        <v>-1</v>
      </c>
      <c r="L18">
        <f>IF(DE_ress_transv!L18=-1,-1,
DE_ress_transv!L18+IF(AND(INDEX(Data_metier!$G:$G,MATCH(L$1,Data_metier!$B:$B,0))="Non",
INDEX(Data_metier!$G:$G,MATCH($A18,Data_metier!$B:$B,0))="Oui, en amont OU aval"),
0.5,
IF(AND(INDEX(Data_metier!$G:$G,MATCH(L$1,Data_metier!$B:$B,0))="Non",
INDEX(Data_metier!$G:$G,MATCH($A18,Data_metier!$B:$B,0))="Oui, en amont ET aval"),
1,
IF(AND(INDEX(Data_metier!$G:$G,MATCH(L$1,Data_metier!$B:$B,0))="Oui, en amont OU aval",
INDEX(Data_metier!$G:$G,MATCH($A18,Data_metier!$B:$B,0))="Oui, en amont ET aval"),
0.5,
0))))</f>
        <v>3.9999999999999996</v>
      </c>
      <c r="M18">
        <f>IF(DE_ress_transv!M18=-1,-1,
DE_ress_transv!M18+IF(AND(INDEX(Data_metier!$G:$G,MATCH(M$1,Data_metier!$B:$B,0))="Non",
INDEX(Data_metier!$G:$G,MATCH($A18,Data_metier!$B:$B,0))="Oui, en amont OU aval"),
0.5,
IF(AND(INDEX(Data_metier!$G:$G,MATCH(M$1,Data_metier!$B:$B,0))="Non",
INDEX(Data_metier!$G:$G,MATCH($A18,Data_metier!$B:$B,0))="Oui, en amont ET aval"),
1,
IF(AND(INDEX(Data_metier!$G:$G,MATCH(M$1,Data_metier!$B:$B,0))="Oui, en amont OU aval",
INDEX(Data_metier!$G:$G,MATCH($A18,Data_metier!$B:$B,0))="Oui, en amont ET aval"),
0.5,
0))))</f>
        <v>3.9999999999999996</v>
      </c>
      <c r="N18">
        <f>IF(DE_ress_transv!N18=-1,-1,
DE_ress_transv!N18+IF(AND(INDEX(Data_metier!$G:$G,MATCH(N$1,Data_metier!$B:$B,0))="Non",
INDEX(Data_metier!$G:$G,MATCH($A18,Data_metier!$B:$B,0))="Oui, en amont OU aval"),
0.5,
IF(AND(INDEX(Data_metier!$G:$G,MATCH(N$1,Data_metier!$B:$B,0))="Non",
INDEX(Data_metier!$G:$G,MATCH($A18,Data_metier!$B:$B,0))="Oui, en amont ET aval"),
1,
IF(AND(INDEX(Data_metier!$G:$G,MATCH(N$1,Data_metier!$B:$B,0))="Oui, en amont OU aval",
INDEX(Data_metier!$G:$G,MATCH($A18,Data_metier!$B:$B,0))="Oui, en amont ET aval"),
0.5,
0))))</f>
        <v>2.1666666666666665</v>
      </c>
      <c r="O18">
        <f>IF(DE_ress_transv!O18=-1,-1,
DE_ress_transv!O18+IF(AND(INDEX(Data_metier!$G:$G,MATCH(O$1,Data_metier!$B:$B,0))="Non",
INDEX(Data_metier!$G:$G,MATCH($A18,Data_metier!$B:$B,0))="Oui, en amont OU aval"),
0.5,
IF(AND(INDEX(Data_metier!$G:$G,MATCH(O$1,Data_metier!$B:$B,0))="Non",
INDEX(Data_metier!$G:$G,MATCH($A18,Data_metier!$B:$B,0))="Oui, en amont ET aval"),
1,
IF(AND(INDEX(Data_metier!$G:$G,MATCH(O$1,Data_metier!$B:$B,0))="Oui, en amont OU aval",
INDEX(Data_metier!$G:$G,MATCH($A18,Data_metier!$B:$B,0))="Oui, en amont ET aval"),
0.5,
0))))</f>
        <v>3.9999999999999996</v>
      </c>
      <c r="P18">
        <f>IF(DE_ress_transv!P18=-1,-1,
DE_ress_transv!P18+IF(AND(INDEX(Data_metier!$G:$G,MATCH(P$1,Data_metier!$B:$B,0))="Non",
INDEX(Data_metier!$G:$G,MATCH($A18,Data_metier!$B:$B,0))="Oui, en amont OU aval"),
0.5,
IF(AND(INDEX(Data_metier!$G:$G,MATCH(P$1,Data_metier!$B:$B,0))="Non",
INDEX(Data_metier!$G:$G,MATCH($A18,Data_metier!$B:$B,0))="Oui, en amont ET aval"),
1,
IF(AND(INDEX(Data_metier!$G:$G,MATCH(P$1,Data_metier!$B:$B,0))="Oui, en amont OU aval",
INDEX(Data_metier!$G:$G,MATCH($A18,Data_metier!$B:$B,0))="Oui, en amont ET aval"),
0.5,
0))))</f>
        <v>3.9999999999999996</v>
      </c>
      <c r="Q18">
        <f>IF(DE_ress_transv!Q18=-1,-1,
DE_ress_transv!Q18+IF(AND(INDEX(Data_metier!$G:$G,MATCH(Q$1,Data_metier!$B:$B,0))="Non",
INDEX(Data_metier!$G:$G,MATCH($A18,Data_metier!$B:$B,0))="Oui, en amont OU aval"),
0.5,
IF(AND(INDEX(Data_metier!$G:$G,MATCH(Q$1,Data_metier!$B:$B,0))="Non",
INDEX(Data_metier!$G:$G,MATCH($A18,Data_metier!$B:$B,0))="Oui, en amont ET aval"),
1,
IF(AND(INDEX(Data_metier!$G:$G,MATCH(Q$1,Data_metier!$B:$B,0))="Oui, en amont OU aval",
INDEX(Data_metier!$G:$G,MATCH($A18,Data_metier!$B:$B,0))="Oui, en amont ET aval"),
0.5,
0))))</f>
        <v>1.5</v>
      </c>
      <c r="R18">
        <f>IF(DE_ress_transv!R18=-1,-1,
DE_ress_transv!R18+IF(AND(INDEX(Data_metier!$G:$G,MATCH(R$1,Data_metier!$B:$B,0))="Non",
INDEX(Data_metier!$G:$G,MATCH($A18,Data_metier!$B:$B,0))="Oui, en amont OU aval"),
0.5,
IF(AND(INDEX(Data_metier!$G:$G,MATCH(R$1,Data_metier!$B:$B,0))="Non",
INDEX(Data_metier!$G:$G,MATCH($A18,Data_metier!$B:$B,0))="Oui, en amont ET aval"),
1,
IF(AND(INDEX(Data_metier!$G:$G,MATCH(R$1,Data_metier!$B:$B,0))="Oui, en amont OU aval",
INDEX(Data_metier!$G:$G,MATCH($A18,Data_metier!$B:$B,0))="Oui, en amont ET aval"),
0.5,
0))))</f>
        <v>0</v>
      </c>
      <c r="S18">
        <f>IF(DE_ress_transv!S18=-1,-1,
DE_ress_transv!S18+IF(AND(INDEX(Data_metier!$G:$G,MATCH(S$1,Data_metier!$B:$B,0))="Non",
INDEX(Data_metier!$G:$G,MATCH($A18,Data_metier!$B:$B,0))="Oui, en amont OU aval"),
0.5,
IF(AND(INDEX(Data_metier!$G:$G,MATCH(S$1,Data_metier!$B:$B,0))="Non",
INDEX(Data_metier!$G:$G,MATCH($A18,Data_metier!$B:$B,0))="Oui, en amont ET aval"),
1,
IF(AND(INDEX(Data_metier!$G:$G,MATCH(S$1,Data_metier!$B:$B,0))="Oui, en amont OU aval",
INDEX(Data_metier!$G:$G,MATCH($A18,Data_metier!$B:$B,0))="Oui, en amont ET aval"),
0.5,
0))))</f>
        <v>3.9999999999999996</v>
      </c>
      <c r="T18">
        <f>IF(DE_ress_transv!T18=-1,-1,
DE_ress_transv!T18+IF(AND(INDEX(Data_metier!$G:$G,MATCH(T$1,Data_metier!$B:$B,0))="Non",
INDEX(Data_metier!$G:$G,MATCH($A18,Data_metier!$B:$B,0))="Oui, en amont OU aval"),
0.5,
IF(AND(INDEX(Data_metier!$G:$G,MATCH(T$1,Data_metier!$B:$B,0))="Non",
INDEX(Data_metier!$G:$G,MATCH($A18,Data_metier!$B:$B,0))="Oui, en amont ET aval"),
1,
IF(AND(INDEX(Data_metier!$G:$G,MATCH(T$1,Data_metier!$B:$B,0))="Oui, en amont OU aval",
INDEX(Data_metier!$G:$G,MATCH($A18,Data_metier!$B:$B,0))="Oui, en amont ET aval"),
0.5,
0))))</f>
        <v>3.9999999999999996</v>
      </c>
      <c r="U18">
        <f>IF(DE_ress_transv!U18=-1,-1,
DE_ress_transv!U18+IF(AND(INDEX(Data_metier!$G:$G,MATCH(U$1,Data_metier!$B:$B,0))="Non",
INDEX(Data_metier!$G:$G,MATCH($A18,Data_metier!$B:$B,0))="Oui, en amont OU aval"),
0.5,
IF(AND(INDEX(Data_metier!$G:$G,MATCH(U$1,Data_metier!$B:$B,0))="Non",
INDEX(Data_metier!$G:$G,MATCH($A18,Data_metier!$B:$B,0))="Oui, en amont ET aval"),
1,
IF(AND(INDEX(Data_metier!$G:$G,MATCH(U$1,Data_metier!$B:$B,0))="Oui, en amont OU aval",
INDEX(Data_metier!$G:$G,MATCH($A18,Data_metier!$B:$B,0))="Oui, en amont ET aval"),
0.5,
0))))</f>
        <v>3.9999999999999996</v>
      </c>
      <c r="V18">
        <f>IF(DE_ress_transv!V18=-1,-1,
DE_ress_transv!V18+IF(AND(INDEX(Data_metier!$G:$G,MATCH(V$1,Data_metier!$B:$B,0))="Non",
INDEX(Data_metier!$G:$G,MATCH($A18,Data_metier!$B:$B,0))="Oui, en amont OU aval"),
0.5,
IF(AND(INDEX(Data_metier!$G:$G,MATCH(V$1,Data_metier!$B:$B,0))="Non",
INDEX(Data_metier!$G:$G,MATCH($A18,Data_metier!$B:$B,0))="Oui, en amont ET aval"),
1,
IF(AND(INDEX(Data_metier!$G:$G,MATCH(V$1,Data_metier!$B:$B,0))="Oui, en amont OU aval",
INDEX(Data_metier!$G:$G,MATCH($A18,Data_metier!$B:$B,0))="Oui, en amont ET aval"),
0.5,
0))))</f>
        <v>3.4999999999999996</v>
      </c>
      <c r="W18">
        <f>IF(DE_ress_transv!W18=-1,-1,
DE_ress_transv!W18+IF(AND(INDEX(Data_metier!$G:$G,MATCH(W$1,Data_metier!$B:$B,0))="Non",
INDEX(Data_metier!$G:$G,MATCH($A18,Data_metier!$B:$B,0))="Oui, en amont OU aval"),
0.5,
IF(AND(INDEX(Data_metier!$G:$G,MATCH(W$1,Data_metier!$B:$B,0))="Non",
INDEX(Data_metier!$G:$G,MATCH($A18,Data_metier!$B:$B,0))="Oui, en amont ET aval"),
1,
IF(AND(INDEX(Data_metier!$G:$G,MATCH(W$1,Data_metier!$B:$B,0))="Oui, en amont OU aval",
INDEX(Data_metier!$G:$G,MATCH($A18,Data_metier!$B:$B,0))="Oui, en amont ET aval"),
0.5,
0))))</f>
        <v>2.9999999999999996</v>
      </c>
      <c r="X18">
        <f>IF(DE_ress_transv!X18=-1,-1,
DE_ress_transv!X18+IF(AND(INDEX(Data_metier!$G:$G,MATCH(X$1,Data_metier!$B:$B,0))="Non",
INDEX(Data_metier!$G:$G,MATCH($A18,Data_metier!$B:$B,0))="Oui, en amont OU aval"),
0.5,
IF(AND(INDEX(Data_metier!$G:$G,MATCH(X$1,Data_metier!$B:$B,0))="Non",
INDEX(Data_metier!$G:$G,MATCH($A18,Data_metier!$B:$B,0))="Oui, en amont ET aval"),
1,
IF(AND(INDEX(Data_metier!$G:$G,MATCH(X$1,Data_metier!$B:$B,0))="Oui, en amont OU aval",
INDEX(Data_metier!$G:$G,MATCH($A18,Data_metier!$B:$B,0))="Oui, en amont ET aval"),
0.5,
0))))</f>
        <v>1</v>
      </c>
      <c r="Y18">
        <f>IF(DE_ress_transv!Y18=-1,-1,
DE_ress_transv!Y18+IF(AND(INDEX(Data_metier!$G:$G,MATCH(Y$1,Data_metier!$B:$B,0))="Non",
INDEX(Data_metier!$G:$G,MATCH($A18,Data_metier!$B:$B,0))="Oui, en amont OU aval"),
0.5,
IF(AND(INDEX(Data_metier!$G:$G,MATCH(Y$1,Data_metier!$B:$B,0))="Non",
INDEX(Data_metier!$G:$G,MATCH($A18,Data_metier!$B:$B,0))="Oui, en amont ET aval"),
1,
IF(AND(INDEX(Data_metier!$G:$G,MATCH(Y$1,Data_metier!$B:$B,0))="Oui, en amont OU aval",
INDEX(Data_metier!$G:$G,MATCH($A18,Data_metier!$B:$B,0))="Oui, en amont ET aval"),
0.5,
0))))</f>
        <v>3.9999999999999996</v>
      </c>
      <c r="Z18">
        <f>IF(DE_ress_transv!Z18=-1,-1,
DE_ress_transv!Z18+IF(AND(INDEX(Data_metier!$G:$G,MATCH(Z$1,Data_metier!$B:$B,0))="Non",
INDEX(Data_metier!$G:$G,MATCH($A18,Data_metier!$B:$B,0))="Oui, en amont OU aval"),
0.5,
IF(AND(INDEX(Data_metier!$G:$G,MATCH(Z$1,Data_metier!$B:$B,0))="Non",
INDEX(Data_metier!$G:$G,MATCH($A18,Data_metier!$B:$B,0))="Oui, en amont ET aval"),
1,
IF(AND(INDEX(Data_metier!$G:$G,MATCH(Z$1,Data_metier!$B:$B,0))="Oui, en amont OU aval",
INDEX(Data_metier!$G:$G,MATCH($A18,Data_metier!$B:$B,0))="Oui, en amont ET aval"),
0.5,
0))))</f>
        <v>3.9999999999999996</v>
      </c>
      <c r="AA18">
        <f>IF(DE_ress_transv!AA18=-1,-1,
DE_ress_transv!AA18+IF(AND(INDEX(Data_metier!$G:$G,MATCH(AA$1,Data_metier!$B:$B,0))="Non",
INDEX(Data_metier!$G:$G,MATCH($A18,Data_metier!$B:$B,0))="Oui, en amont OU aval"),
0.5,
IF(AND(INDEX(Data_metier!$G:$G,MATCH(AA$1,Data_metier!$B:$B,0))="Non",
INDEX(Data_metier!$G:$G,MATCH($A18,Data_metier!$B:$B,0))="Oui, en amont ET aval"),
1,
IF(AND(INDEX(Data_metier!$G:$G,MATCH(AA$1,Data_metier!$B:$B,0))="Oui, en amont OU aval",
INDEX(Data_metier!$G:$G,MATCH($A18,Data_metier!$B:$B,0))="Oui, en amont ET aval"),
0.5,
0))))</f>
        <v>3.9999999999999996</v>
      </c>
      <c r="AB18">
        <f>IF(DE_ress_transv!AB18=-1,-1,
DE_ress_transv!AB18+IF(AND(INDEX(Data_metier!$G:$G,MATCH(AB$1,Data_metier!$B:$B,0))="Non",
INDEX(Data_metier!$G:$G,MATCH($A18,Data_metier!$B:$B,0))="Oui, en amont OU aval"),
0.5,
IF(AND(INDEX(Data_metier!$G:$G,MATCH(AB$1,Data_metier!$B:$B,0))="Non",
INDEX(Data_metier!$G:$G,MATCH($A18,Data_metier!$B:$B,0))="Oui, en amont ET aval"),
1,
IF(AND(INDEX(Data_metier!$G:$G,MATCH(AB$1,Data_metier!$B:$B,0))="Oui, en amont OU aval",
INDEX(Data_metier!$G:$G,MATCH($A18,Data_metier!$B:$B,0))="Oui, en amont ET aval"),
0.5,
0))))</f>
        <v>3.4999999999999996</v>
      </c>
      <c r="AC18">
        <f>IF(DE_ress_transv!AC18=-1,-1,
DE_ress_transv!AC18+IF(AND(INDEX(Data_metier!$G:$G,MATCH(AC$1,Data_metier!$B:$B,0))="Non",
INDEX(Data_metier!$G:$G,MATCH($A18,Data_metier!$B:$B,0))="Oui, en amont OU aval"),
0.5,
IF(AND(INDEX(Data_metier!$G:$G,MATCH(AC$1,Data_metier!$B:$B,0))="Non",
INDEX(Data_metier!$G:$G,MATCH($A18,Data_metier!$B:$B,0))="Oui, en amont ET aval"),
1,
IF(AND(INDEX(Data_metier!$G:$G,MATCH(AC$1,Data_metier!$B:$B,0))="Oui, en amont OU aval",
INDEX(Data_metier!$G:$G,MATCH($A18,Data_metier!$B:$B,0))="Oui, en amont ET aval"),
0.5,
0))))</f>
        <v>3.4999999999999996</v>
      </c>
      <c r="AD18">
        <f>IF(DE_ress_transv!AD18=-1,-1,
DE_ress_transv!AD18+IF(AND(INDEX(Data_metier!$G:$G,MATCH(AD$1,Data_metier!$B:$B,0))="Non",
INDEX(Data_metier!$G:$G,MATCH($A18,Data_metier!$B:$B,0))="Oui, en amont OU aval"),
0.5,
IF(AND(INDEX(Data_metier!$G:$G,MATCH(AD$1,Data_metier!$B:$B,0))="Non",
INDEX(Data_metier!$G:$G,MATCH($A18,Data_metier!$B:$B,0))="Oui, en amont ET aval"),
1,
IF(AND(INDEX(Data_metier!$G:$G,MATCH(AD$1,Data_metier!$B:$B,0))="Oui, en amont OU aval",
INDEX(Data_metier!$G:$G,MATCH($A18,Data_metier!$B:$B,0))="Oui, en amont ET aval"),
0.5,
0))))</f>
        <v>3.4999999999999996</v>
      </c>
    </row>
    <row r="19" spans="1:30">
      <c r="A19" s="55" t="str">
        <v>Opérateur(trice) de production alimentaire</v>
      </c>
      <c r="B19">
        <f>IF(DE_ress_transv!B19=-1,-1,
DE_ress_transv!B19+IF(AND(INDEX(Data_metier!$G:$G,MATCH(B$1,Data_metier!$B:$B,0))="Non",
INDEX(Data_metier!$G:$G,MATCH($A19,Data_metier!$B:$B,0))="Oui, en amont OU aval"),
0.5,
IF(AND(INDEX(Data_metier!$G:$G,MATCH(B$1,Data_metier!$B:$B,0))="Non",
INDEX(Data_metier!$G:$G,MATCH($A19,Data_metier!$B:$B,0))="Oui, en amont ET aval"),
1,
IF(AND(INDEX(Data_metier!$G:$G,MATCH(B$1,Data_metier!$B:$B,0))="Oui, en amont OU aval",
INDEX(Data_metier!$G:$G,MATCH($A19,Data_metier!$B:$B,0))="Oui, en amont ET aval"),
0.5,
0))))</f>
        <v>-1</v>
      </c>
      <c r="C19">
        <f>IF(DE_ress_transv!C19=-1,-1,
DE_ress_transv!C19+IF(AND(INDEX(Data_metier!$G:$G,MATCH(C$1,Data_metier!$B:$B,0))="Non",
INDEX(Data_metier!$G:$G,MATCH($A19,Data_metier!$B:$B,0))="Oui, en amont OU aval"),
0.5,
IF(AND(INDEX(Data_metier!$G:$G,MATCH(C$1,Data_metier!$B:$B,0))="Non",
INDEX(Data_metier!$G:$G,MATCH($A19,Data_metier!$B:$B,0))="Oui, en amont ET aval"),
1,
IF(AND(INDEX(Data_metier!$G:$G,MATCH(C$1,Data_metier!$B:$B,0))="Oui, en amont OU aval",
INDEX(Data_metier!$G:$G,MATCH($A19,Data_metier!$B:$B,0))="Oui, en amont ET aval"),
0.5,
0))))</f>
        <v>-1</v>
      </c>
      <c r="D19">
        <f>IF(DE_ress_transv!D19=-1,-1,
DE_ress_transv!D19+IF(AND(INDEX(Data_metier!$G:$G,MATCH(D$1,Data_metier!$B:$B,0))="Non",
INDEX(Data_metier!$G:$G,MATCH($A19,Data_metier!$B:$B,0))="Oui, en amont OU aval"),
0.5,
IF(AND(INDEX(Data_metier!$G:$G,MATCH(D$1,Data_metier!$B:$B,0))="Non",
INDEX(Data_metier!$G:$G,MATCH($A19,Data_metier!$B:$B,0))="Oui, en amont ET aval"),
1,
IF(AND(INDEX(Data_metier!$G:$G,MATCH(D$1,Data_metier!$B:$B,0))="Oui, en amont OU aval",
INDEX(Data_metier!$G:$G,MATCH($A19,Data_metier!$B:$B,0))="Oui, en amont ET aval"),
0.5,
0))))</f>
        <v>0</v>
      </c>
      <c r="E19">
        <f>IF(DE_ress_transv!E19=-1,-1,
DE_ress_transv!E19+IF(AND(INDEX(Data_metier!$G:$G,MATCH(E$1,Data_metier!$B:$B,0))="Non",
INDEX(Data_metier!$G:$G,MATCH($A19,Data_metier!$B:$B,0))="Oui, en amont OU aval"),
0.5,
IF(AND(INDEX(Data_metier!$G:$G,MATCH(E$1,Data_metier!$B:$B,0))="Non",
INDEX(Data_metier!$G:$G,MATCH($A19,Data_metier!$B:$B,0))="Oui, en amont ET aval"),
1,
IF(AND(INDEX(Data_metier!$G:$G,MATCH(E$1,Data_metier!$B:$B,0))="Oui, en amont OU aval",
INDEX(Data_metier!$G:$G,MATCH($A19,Data_metier!$B:$B,0))="Oui, en amont ET aval"),
0.5,
0))))</f>
        <v>-1</v>
      </c>
      <c r="F19">
        <f>IF(DE_ress_transv!F19=-1,-1,
DE_ress_transv!F19+IF(AND(INDEX(Data_metier!$G:$G,MATCH(F$1,Data_metier!$B:$B,0))="Non",
INDEX(Data_metier!$G:$G,MATCH($A19,Data_metier!$B:$B,0))="Oui, en amont OU aval"),
0.5,
IF(AND(INDEX(Data_metier!$G:$G,MATCH(F$1,Data_metier!$B:$B,0))="Non",
INDEX(Data_metier!$G:$G,MATCH($A19,Data_metier!$B:$B,0))="Oui, en amont ET aval"),
1,
IF(AND(INDEX(Data_metier!$G:$G,MATCH(F$1,Data_metier!$B:$B,0))="Oui, en amont OU aval",
INDEX(Data_metier!$G:$G,MATCH($A19,Data_metier!$B:$B,0))="Oui, en amont ET aval"),
0.5,
0))))</f>
        <v>-1</v>
      </c>
      <c r="G19">
        <f>IF(DE_ress_transv!G19=-1,-1,
DE_ress_transv!G19+IF(AND(INDEX(Data_metier!$G:$G,MATCH(G$1,Data_metier!$B:$B,0))="Non",
INDEX(Data_metier!$G:$G,MATCH($A19,Data_metier!$B:$B,0))="Oui, en amont OU aval"),
0.5,
IF(AND(INDEX(Data_metier!$G:$G,MATCH(G$1,Data_metier!$B:$B,0))="Non",
INDEX(Data_metier!$G:$G,MATCH($A19,Data_metier!$B:$B,0))="Oui, en amont ET aval"),
1,
IF(AND(INDEX(Data_metier!$G:$G,MATCH(G$1,Data_metier!$B:$B,0))="Oui, en amont OU aval",
INDEX(Data_metier!$G:$G,MATCH($A19,Data_metier!$B:$B,0))="Oui, en amont ET aval"),
0.5,
0))))</f>
        <v>-1</v>
      </c>
      <c r="H19">
        <f>IF(DE_ress_transv!H19=-1,-1,
DE_ress_transv!H19+IF(AND(INDEX(Data_metier!$G:$G,MATCH(H$1,Data_metier!$B:$B,0))="Non",
INDEX(Data_metier!$G:$G,MATCH($A19,Data_metier!$B:$B,0))="Oui, en amont OU aval"),
0.5,
IF(AND(INDEX(Data_metier!$G:$G,MATCH(H$1,Data_metier!$B:$B,0))="Non",
INDEX(Data_metier!$G:$G,MATCH($A19,Data_metier!$B:$B,0))="Oui, en amont ET aval"),
1,
IF(AND(INDEX(Data_metier!$G:$G,MATCH(H$1,Data_metier!$B:$B,0))="Oui, en amont OU aval",
INDEX(Data_metier!$G:$G,MATCH($A19,Data_metier!$B:$B,0))="Oui, en amont ET aval"),
0.5,
0))))</f>
        <v>-1</v>
      </c>
      <c r="I19">
        <f>IF(DE_ress_transv!I19=-1,-1,
DE_ress_transv!I19+IF(AND(INDEX(Data_metier!$G:$G,MATCH(I$1,Data_metier!$B:$B,0))="Non",
INDEX(Data_metier!$G:$G,MATCH($A19,Data_metier!$B:$B,0))="Oui, en amont OU aval"),
0.5,
IF(AND(INDEX(Data_metier!$G:$G,MATCH(I$1,Data_metier!$B:$B,0))="Non",
INDEX(Data_metier!$G:$G,MATCH($A19,Data_metier!$B:$B,0))="Oui, en amont ET aval"),
1,
IF(AND(INDEX(Data_metier!$G:$G,MATCH(I$1,Data_metier!$B:$B,0))="Oui, en amont OU aval",
INDEX(Data_metier!$G:$G,MATCH($A19,Data_metier!$B:$B,0))="Oui, en amont ET aval"),
0.5,
0))))</f>
        <v>0</v>
      </c>
      <c r="J19">
        <f>IF(DE_ress_transv!J19=-1,-1,
DE_ress_transv!J19+IF(AND(INDEX(Data_metier!$G:$G,MATCH(J$1,Data_metier!$B:$B,0))="Non",
INDEX(Data_metier!$G:$G,MATCH($A19,Data_metier!$B:$B,0))="Oui, en amont OU aval"),
0.5,
IF(AND(INDEX(Data_metier!$G:$G,MATCH(J$1,Data_metier!$B:$B,0))="Non",
INDEX(Data_metier!$G:$G,MATCH($A19,Data_metier!$B:$B,0))="Oui, en amont ET aval"),
1,
IF(AND(INDEX(Data_metier!$G:$G,MATCH(J$1,Data_metier!$B:$B,0))="Oui, en amont OU aval",
INDEX(Data_metier!$G:$G,MATCH($A19,Data_metier!$B:$B,0))="Oui, en amont ET aval"),
0.5,
0))))</f>
        <v>-1</v>
      </c>
      <c r="K19">
        <f>IF(DE_ress_transv!K19=-1,-1,
DE_ress_transv!K19+IF(AND(INDEX(Data_metier!$G:$G,MATCH(K$1,Data_metier!$B:$B,0))="Non",
INDEX(Data_metier!$G:$G,MATCH($A19,Data_metier!$B:$B,0))="Oui, en amont OU aval"),
0.5,
IF(AND(INDEX(Data_metier!$G:$G,MATCH(K$1,Data_metier!$B:$B,0))="Non",
INDEX(Data_metier!$G:$G,MATCH($A19,Data_metier!$B:$B,0))="Oui, en amont ET aval"),
1,
IF(AND(INDEX(Data_metier!$G:$G,MATCH(K$1,Data_metier!$B:$B,0))="Oui, en amont OU aval",
INDEX(Data_metier!$G:$G,MATCH($A19,Data_metier!$B:$B,0))="Oui, en amont ET aval"),
0.5,
0))))</f>
        <v>-1</v>
      </c>
      <c r="L19">
        <f>IF(DE_ress_transv!L19=-1,-1,
DE_ress_transv!L19+IF(AND(INDEX(Data_metier!$G:$G,MATCH(L$1,Data_metier!$B:$B,0))="Non",
INDEX(Data_metier!$G:$G,MATCH($A19,Data_metier!$B:$B,0))="Oui, en amont OU aval"),
0.5,
IF(AND(INDEX(Data_metier!$G:$G,MATCH(L$1,Data_metier!$B:$B,0))="Non",
INDEX(Data_metier!$G:$G,MATCH($A19,Data_metier!$B:$B,0))="Oui, en amont ET aval"),
1,
IF(AND(INDEX(Data_metier!$G:$G,MATCH(L$1,Data_metier!$B:$B,0))="Oui, en amont OU aval",
INDEX(Data_metier!$G:$G,MATCH($A19,Data_metier!$B:$B,0))="Oui, en amont ET aval"),
0.5,
0))))</f>
        <v>0</v>
      </c>
      <c r="M19">
        <f>IF(DE_ress_transv!M19=-1,-1,
DE_ress_transv!M19+IF(AND(INDEX(Data_metier!$G:$G,MATCH(M$1,Data_metier!$B:$B,0))="Non",
INDEX(Data_metier!$G:$G,MATCH($A19,Data_metier!$B:$B,0))="Oui, en amont OU aval"),
0.5,
IF(AND(INDEX(Data_metier!$G:$G,MATCH(M$1,Data_metier!$B:$B,0))="Non",
INDEX(Data_metier!$G:$G,MATCH($A19,Data_metier!$B:$B,0))="Oui, en amont ET aval"),
1,
IF(AND(INDEX(Data_metier!$G:$G,MATCH(M$1,Data_metier!$B:$B,0))="Oui, en amont OU aval",
INDEX(Data_metier!$G:$G,MATCH($A19,Data_metier!$B:$B,0))="Oui, en amont ET aval"),
0.5,
0))))</f>
        <v>-1</v>
      </c>
      <c r="N19">
        <f>IF(DE_ress_transv!N19=-1,-1,
DE_ress_transv!N19+IF(AND(INDEX(Data_metier!$G:$G,MATCH(N$1,Data_metier!$B:$B,0))="Non",
INDEX(Data_metier!$G:$G,MATCH($A19,Data_metier!$B:$B,0))="Oui, en amont OU aval"),
0.5,
IF(AND(INDEX(Data_metier!$G:$G,MATCH(N$1,Data_metier!$B:$B,0))="Non",
INDEX(Data_metier!$G:$G,MATCH($A19,Data_metier!$B:$B,0))="Oui, en amont ET aval"),
1,
IF(AND(INDEX(Data_metier!$G:$G,MATCH(N$1,Data_metier!$B:$B,0))="Oui, en amont OU aval",
INDEX(Data_metier!$G:$G,MATCH($A19,Data_metier!$B:$B,0))="Oui, en amont ET aval"),
0.5,
0))))</f>
        <v>-1</v>
      </c>
      <c r="O19">
        <f>IF(DE_ress_transv!O19=-1,-1,
DE_ress_transv!O19+IF(AND(INDEX(Data_metier!$G:$G,MATCH(O$1,Data_metier!$B:$B,0))="Non",
INDEX(Data_metier!$G:$G,MATCH($A19,Data_metier!$B:$B,0))="Oui, en amont OU aval"),
0.5,
IF(AND(INDEX(Data_metier!$G:$G,MATCH(O$1,Data_metier!$B:$B,0))="Non",
INDEX(Data_metier!$G:$G,MATCH($A19,Data_metier!$B:$B,0))="Oui, en amont ET aval"),
1,
IF(AND(INDEX(Data_metier!$G:$G,MATCH(O$1,Data_metier!$B:$B,0))="Oui, en amont OU aval",
INDEX(Data_metier!$G:$G,MATCH($A19,Data_metier!$B:$B,0))="Oui, en amont ET aval"),
0.5,
0))))</f>
        <v>0</v>
      </c>
      <c r="P19">
        <f>IF(DE_ress_transv!P19=-1,-1,
DE_ress_transv!P19+IF(AND(INDEX(Data_metier!$G:$G,MATCH(P$1,Data_metier!$B:$B,0))="Non",
INDEX(Data_metier!$G:$G,MATCH($A19,Data_metier!$B:$B,0))="Oui, en amont OU aval"),
0.5,
IF(AND(INDEX(Data_metier!$G:$G,MATCH(P$1,Data_metier!$B:$B,0))="Non",
INDEX(Data_metier!$G:$G,MATCH($A19,Data_metier!$B:$B,0))="Oui, en amont ET aval"),
1,
IF(AND(INDEX(Data_metier!$G:$G,MATCH(P$1,Data_metier!$B:$B,0))="Oui, en amont OU aval",
INDEX(Data_metier!$G:$G,MATCH($A19,Data_metier!$B:$B,0))="Oui, en amont ET aval"),
0.5,
0))))</f>
        <v>0</v>
      </c>
      <c r="Q19">
        <f>IF(DE_ress_transv!Q19=-1,-1,
DE_ress_transv!Q19+IF(AND(INDEX(Data_metier!$G:$G,MATCH(Q$1,Data_metier!$B:$B,0))="Non",
INDEX(Data_metier!$G:$G,MATCH($A19,Data_metier!$B:$B,0))="Oui, en amont OU aval"),
0.5,
IF(AND(INDEX(Data_metier!$G:$G,MATCH(Q$1,Data_metier!$B:$B,0))="Non",
INDEX(Data_metier!$G:$G,MATCH($A19,Data_metier!$B:$B,0))="Oui, en amont ET aval"),
1,
IF(AND(INDEX(Data_metier!$G:$G,MATCH(Q$1,Data_metier!$B:$B,0))="Oui, en amont OU aval",
INDEX(Data_metier!$G:$G,MATCH($A19,Data_metier!$B:$B,0))="Oui, en amont ET aval"),
0.5,
0))))</f>
        <v>-1</v>
      </c>
      <c r="R19">
        <f>IF(DE_ress_transv!R19=-1,-1,
DE_ress_transv!R19+IF(AND(INDEX(Data_metier!$G:$G,MATCH(R$1,Data_metier!$B:$B,0))="Non",
INDEX(Data_metier!$G:$G,MATCH($A19,Data_metier!$B:$B,0))="Oui, en amont OU aval"),
0.5,
IF(AND(INDEX(Data_metier!$G:$G,MATCH(R$1,Data_metier!$B:$B,0))="Non",
INDEX(Data_metier!$G:$G,MATCH($A19,Data_metier!$B:$B,0))="Oui, en amont ET aval"),
1,
IF(AND(INDEX(Data_metier!$G:$G,MATCH(R$1,Data_metier!$B:$B,0))="Oui, en amont OU aval",
INDEX(Data_metier!$G:$G,MATCH($A19,Data_metier!$B:$B,0))="Oui, en amont ET aval"),
0.5,
0))))</f>
        <v>-1</v>
      </c>
      <c r="S19">
        <f>IF(DE_ress_transv!S19=-1,-1,
DE_ress_transv!S19+IF(AND(INDEX(Data_metier!$G:$G,MATCH(S$1,Data_metier!$B:$B,0))="Non",
INDEX(Data_metier!$G:$G,MATCH($A19,Data_metier!$B:$B,0))="Oui, en amont OU aval"),
0.5,
IF(AND(INDEX(Data_metier!$G:$G,MATCH(S$1,Data_metier!$B:$B,0))="Non",
INDEX(Data_metier!$G:$G,MATCH($A19,Data_metier!$B:$B,0))="Oui, en amont ET aval"),
1,
IF(AND(INDEX(Data_metier!$G:$G,MATCH(S$1,Data_metier!$B:$B,0))="Oui, en amont OU aval",
INDEX(Data_metier!$G:$G,MATCH($A19,Data_metier!$B:$B,0))="Oui, en amont ET aval"),
0.5,
0))))</f>
        <v>0</v>
      </c>
      <c r="T19">
        <f>IF(DE_ress_transv!T19=-1,-1,
DE_ress_transv!T19+IF(AND(INDEX(Data_metier!$G:$G,MATCH(T$1,Data_metier!$B:$B,0))="Non",
INDEX(Data_metier!$G:$G,MATCH($A19,Data_metier!$B:$B,0))="Oui, en amont OU aval"),
0.5,
IF(AND(INDEX(Data_metier!$G:$G,MATCH(T$1,Data_metier!$B:$B,0))="Non",
INDEX(Data_metier!$G:$G,MATCH($A19,Data_metier!$B:$B,0))="Oui, en amont ET aval"),
1,
IF(AND(INDEX(Data_metier!$G:$G,MATCH(T$1,Data_metier!$B:$B,0))="Oui, en amont OU aval",
INDEX(Data_metier!$G:$G,MATCH($A19,Data_metier!$B:$B,0))="Oui, en amont ET aval"),
0.5,
0))))</f>
        <v>0</v>
      </c>
      <c r="U19">
        <f>IF(DE_ress_transv!U19=-1,-1,
DE_ress_transv!U19+IF(AND(INDEX(Data_metier!$G:$G,MATCH(U$1,Data_metier!$B:$B,0))="Non",
INDEX(Data_metier!$G:$G,MATCH($A19,Data_metier!$B:$B,0))="Oui, en amont OU aval"),
0.5,
IF(AND(INDEX(Data_metier!$G:$G,MATCH(U$1,Data_metier!$B:$B,0))="Non",
INDEX(Data_metier!$G:$G,MATCH($A19,Data_metier!$B:$B,0))="Oui, en amont ET aval"),
1,
IF(AND(INDEX(Data_metier!$G:$G,MATCH(U$1,Data_metier!$B:$B,0))="Oui, en amont OU aval",
INDEX(Data_metier!$G:$G,MATCH($A19,Data_metier!$B:$B,0))="Oui, en amont ET aval"),
0.5,
0))))</f>
        <v>0</v>
      </c>
      <c r="V19">
        <f>IF(DE_ress_transv!V19=-1,-1,
DE_ress_transv!V19+IF(AND(INDEX(Data_metier!$G:$G,MATCH(V$1,Data_metier!$B:$B,0))="Non",
INDEX(Data_metier!$G:$G,MATCH($A19,Data_metier!$B:$B,0))="Oui, en amont OU aval"),
0.5,
IF(AND(INDEX(Data_metier!$G:$G,MATCH(V$1,Data_metier!$B:$B,0))="Non",
INDEX(Data_metier!$G:$G,MATCH($A19,Data_metier!$B:$B,0))="Oui, en amont ET aval"),
1,
IF(AND(INDEX(Data_metier!$G:$G,MATCH(V$1,Data_metier!$B:$B,0))="Oui, en amont OU aval",
INDEX(Data_metier!$G:$G,MATCH($A19,Data_metier!$B:$B,0))="Oui, en amont ET aval"),
0.5,
0))))</f>
        <v>-1</v>
      </c>
      <c r="W19">
        <f>IF(DE_ress_transv!W19=-1,-1,
DE_ress_transv!W19+IF(AND(INDEX(Data_metier!$G:$G,MATCH(W$1,Data_metier!$B:$B,0))="Non",
INDEX(Data_metier!$G:$G,MATCH($A19,Data_metier!$B:$B,0))="Oui, en amont OU aval"),
0.5,
IF(AND(INDEX(Data_metier!$G:$G,MATCH(W$1,Data_metier!$B:$B,0))="Non",
INDEX(Data_metier!$G:$G,MATCH($A19,Data_metier!$B:$B,0))="Oui, en amont ET aval"),
1,
IF(AND(INDEX(Data_metier!$G:$G,MATCH(W$1,Data_metier!$B:$B,0))="Oui, en amont OU aval",
INDEX(Data_metier!$G:$G,MATCH($A19,Data_metier!$B:$B,0))="Oui, en amont ET aval"),
0.5,
0))))</f>
        <v>-1</v>
      </c>
      <c r="X19">
        <f>IF(DE_ress_transv!X19=-1,-1,
DE_ress_transv!X19+IF(AND(INDEX(Data_metier!$G:$G,MATCH(X$1,Data_metier!$B:$B,0))="Non",
INDEX(Data_metier!$G:$G,MATCH($A19,Data_metier!$B:$B,0))="Oui, en amont OU aval"),
0.5,
IF(AND(INDEX(Data_metier!$G:$G,MATCH(X$1,Data_metier!$B:$B,0))="Non",
INDEX(Data_metier!$G:$G,MATCH($A19,Data_metier!$B:$B,0))="Oui, en amont ET aval"),
1,
IF(AND(INDEX(Data_metier!$G:$G,MATCH(X$1,Data_metier!$B:$B,0))="Oui, en amont OU aval",
INDEX(Data_metier!$G:$G,MATCH($A19,Data_metier!$B:$B,0))="Oui, en amont ET aval"),
0.5,
0))))</f>
        <v>-1</v>
      </c>
      <c r="Y19">
        <f>IF(DE_ress_transv!Y19=-1,-1,
DE_ress_transv!Y19+IF(AND(INDEX(Data_metier!$G:$G,MATCH(Y$1,Data_metier!$B:$B,0))="Non",
INDEX(Data_metier!$G:$G,MATCH($A19,Data_metier!$B:$B,0))="Oui, en amont OU aval"),
0.5,
IF(AND(INDEX(Data_metier!$G:$G,MATCH(Y$1,Data_metier!$B:$B,0))="Non",
INDEX(Data_metier!$G:$G,MATCH($A19,Data_metier!$B:$B,0))="Oui, en amont ET aval"),
1,
IF(AND(INDEX(Data_metier!$G:$G,MATCH(Y$1,Data_metier!$B:$B,0))="Oui, en amont OU aval",
INDEX(Data_metier!$G:$G,MATCH($A19,Data_metier!$B:$B,0))="Oui, en amont ET aval"),
0.5,
0))))</f>
        <v>0</v>
      </c>
      <c r="Z19">
        <f>IF(DE_ress_transv!Z19=-1,-1,
DE_ress_transv!Z19+IF(AND(INDEX(Data_metier!$G:$G,MATCH(Z$1,Data_metier!$B:$B,0))="Non",
INDEX(Data_metier!$G:$G,MATCH($A19,Data_metier!$B:$B,0))="Oui, en amont OU aval"),
0.5,
IF(AND(INDEX(Data_metier!$G:$G,MATCH(Z$1,Data_metier!$B:$B,0))="Non",
INDEX(Data_metier!$G:$G,MATCH($A19,Data_metier!$B:$B,0))="Oui, en amont ET aval"),
1,
IF(AND(INDEX(Data_metier!$G:$G,MATCH(Z$1,Data_metier!$B:$B,0))="Oui, en amont OU aval",
INDEX(Data_metier!$G:$G,MATCH($A19,Data_metier!$B:$B,0))="Oui, en amont ET aval"),
0.5,
0))))</f>
        <v>0</v>
      </c>
      <c r="AA19">
        <f>IF(DE_ress_transv!AA19=-1,-1,
DE_ress_transv!AA19+IF(AND(INDEX(Data_metier!$G:$G,MATCH(AA$1,Data_metier!$B:$B,0))="Non",
INDEX(Data_metier!$G:$G,MATCH($A19,Data_metier!$B:$B,0))="Oui, en amont OU aval"),
0.5,
IF(AND(INDEX(Data_metier!$G:$G,MATCH(AA$1,Data_metier!$B:$B,0))="Non",
INDEX(Data_metier!$G:$G,MATCH($A19,Data_metier!$B:$B,0))="Oui, en amont ET aval"),
1,
IF(AND(INDEX(Data_metier!$G:$G,MATCH(AA$1,Data_metier!$B:$B,0))="Oui, en amont OU aval",
INDEX(Data_metier!$G:$G,MATCH($A19,Data_metier!$B:$B,0))="Oui, en amont ET aval"),
0.5,
0))))</f>
        <v>0</v>
      </c>
      <c r="AB19">
        <f>IF(DE_ress_transv!AB19=-1,-1,
DE_ress_transv!AB19+IF(AND(INDEX(Data_metier!$G:$G,MATCH(AB$1,Data_metier!$B:$B,0))="Non",
INDEX(Data_metier!$G:$G,MATCH($A19,Data_metier!$B:$B,0))="Oui, en amont OU aval"),
0.5,
IF(AND(INDEX(Data_metier!$G:$G,MATCH(AB$1,Data_metier!$B:$B,0))="Non",
INDEX(Data_metier!$G:$G,MATCH($A19,Data_metier!$B:$B,0))="Oui, en amont ET aval"),
1,
IF(AND(INDEX(Data_metier!$G:$G,MATCH(AB$1,Data_metier!$B:$B,0))="Oui, en amont OU aval",
INDEX(Data_metier!$G:$G,MATCH($A19,Data_metier!$B:$B,0))="Oui, en amont ET aval"),
0.5,
0))))</f>
        <v>-1</v>
      </c>
      <c r="AC19">
        <f>IF(DE_ress_transv!AC19=-1,-1,
DE_ress_transv!AC19+IF(AND(INDEX(Data_metier!$G:$G,MATCH(AC$1,Data_metier!$B:$B,0))="Non",
INDEX(Data_metier!$G:$G,MATCH($A19,Data_metier!$B:$B,0))="Oui, en amont OU aval"),
0.5,
IF(AND(INDEX(Data_metier!$G:$G,MATCH(AC$1,Data_metier!$B:$B,0))="Non",
INDEX(Data_metier!$G:$G,MATCH($A19,Data_metier!$B:$B,0))="Oui, en amont ET aval"),
1,
IF(AND(INDEX(Data_metier!$G:$G,MATCH(AC$1,Data_metier!$B:$B,0))="Oui, en amont OU aval",
INDEX(Data_metier!$G:$G,MATCH($A19,Data_metier!$B:$B,0))="Oui, en amont ET aval"),
0.5,
0))))</f>
        <v>-1</v>
      </c>
      <c r="AD19">
        <f>IF(DE_ress_transv!AD19=-1,-1,
DE_ress_transv!AD19+IF(AND(INDEX(Data_metier!$G:$G,MATCH(AD$1,Data_metier!$B:$B,0))="Non",
INDEX(Data_metier!$G:$G,MATCH($A19,Data_metier!$B:$B,0))="Oui, en amont OU aval"),
0.5,
IF(AND(INDEX(Data_metier!$G:$G,MATCH(AD$1,Data_metier!$B:$B,0))="Non",
INDEX(Data_metier!$G:$G,MATCH($A19,Data_metier!$B:$B,0))="Oui, en amont ET aval"),
1,
IF(AND(INDEX(Data_metier!$G:$G,MATCH(AD$1,Data_metier!$B:$B,0))="Oui, en amont OU aval",
INDEX(Data_metier!$G:$G,MATCH($A19,Data_metier!$B:$B,0))="Oui, en amont ET aval"),
0.5,
0))))</f>
        <v>-1</v>
      </c>
    </row>
    <row r="20" spans="1:30">
      <c r="A20" s="55" t="str">
        <v>Conducteur(trice) de machine(s) de production alimentaire (fabrication / conditionnement)</v>
      </c>
      <c r="B20">
        <f>IF(DE_ress_transv!B20=-1,-1,
DE_ress_transv!B20+IF(AND(INDEX(Data_metier!$G:$G,MATCH(B$1,Data_metier!$B:$B,0))="Non",
INDEX(Data_metier!$G:$G,MATCH($A20,Data_metier!$B:$B,0))="Oui, en amont OU aval"),
0.5,
IF(AND(INDEX(Data_metier!$G:$G,MATCH(B$1,Data_metier!$B:$B,0))="Non",
INDEX(Data_metier!$G:$G,MATCH($A20,Data_metier!$B:$B,0))="Oui, en amont ET aval"),
1,
IF(AND(INDEX(Data_metier!$G:$G,MATCH(B$1,Data_metier!$B:$B,0))="Oui, en amont OU aval",
INDEX(Data_metier!$G:$G,MATCH($A20,Data_metier!$B:$B,0))="Oui, en amont ET aval"),
0.5,
0))))</f>
        <v>-1</v>
      </c>
      <c r="C20">
        <f>IF(DE_ress_transv!C20=-1,-1,
DE_ress_transv!C20+IF(AND(INDEX(Data_metier!$G:$G,MATCH(C$1,Data_metier!$B:$B,0))="Non",
INDEX(Data_metier!$G:$G,MATCH($A20,Data_metier!$B:$B,0))="Oui, en amont OU aval"),
0.5,
IF(AND(INDEX(Data_metier!$G:$G,MATCH(C$1,Data_metier!$B:$B,0))="Non",
INDEX(Data_metier!$G:$G,MATCH($A20,Data_metier!$B:$B,0))="Oui, en amont ET aval"),
1,
IF(AND(INDEX(Data_metier!$G:$G,MATCH(C$1,Data_metier!$B:$B,0))="Oui, en amont OU aval",
INDEX(Data_metier!$G:$G,MATCH($A20,Data_metier!$B:$B,0))="Oui, en amont ET aval"),
0.5,
0))))</f>
        <v>-1</v>
      </c>
      <c r="D20">
        <f>IF(DE_ress_transv!D20=-1,-1,
DE_ress_transv!D20+IF(AND(INDEX(Data_metier!$G:$G,MATCH(D$1,Data_metier!$B:$B,0))="Non",
INDEX(Data_metier!$G:$G,MATCH($A20,Data_metier!$B:$B,0))="Oui, en amont OU aval"),
0.5,
IF(AND(INDEX(Data_metier!$G:$G,MATCH(D$1,Data_metier!$B:$B,0))="Non",
INDEX(Data_metier!$G:$G,MATCH($A20,Data_metier!$B:$B,0))="Oui, en amont ET aval"),
1,
IF(AND(INDEX(Data_metier!$G:$G,MATCH(D$1,Data_metier!$B:$B,0))="Oui, en amont OU aval",
INDEX(Data_metier!$G:$G,MATCH($A20,Data_metier!$B:$B,0))="Oui, en amont ET aval"),
0.5,
0))))</f>
        <v>0.16666666666666666</v>
      </c>
      <c r="E20">
        <f>IF(DE_ress_transv!E20=-1,-1,
DE_ress_transv!E20+IF(AND(INDEX(Data_metier!$G:$G,MATCH(E$1,Data_metier!$B:$B,0))="Non",
INDEX(Data_metier!$G:$G,MATCH($A20,Data_metier!$B:$B,0))="Oui, en amont OU aval"),
0.5,
IF(AND(INDEX(Data_metier!$G:$G,MATCH(E$1,Data_metier!$B:$B,0))="Non",
INDEX(Data_metier!$G:$G,MATCH($A20,Data_metier!$B:$B,0))="Oui, en amont ET aval"),
1,
IF(AND(INDEX(Data_metier!$G:$G,MATCH(E$1,Data_metier!$B:$B,0))="Oui, en amont OU aval",
INDEX(Data_metier!$G:$G,MATCH($A20,Data_metier!$B:$B,0))="Oui, en amont ET aval"),
0.5,
0))))</f>
        <v>-1</v>
      </c>
      <c r="F20">
        <f>IF(DE_ress_transv!F20=-1,-1,
DE_ress_transv!F20+IF(AND(INDEX(Data_metier!$G:$G,MATCH(F$1,Data_metier!$B:$B,0))="Non",
INDEX(Data_metier!$G:$G,MATCH($A20,Data_metier!$B:$B,0))="Oui, en amont OU aval"),
0.5,
IF(AND(INDEX(Data_metier!$G:$G,MATCH(F$1,Data_metier!$B:$B,0))="Non",
INDEX(Data_metier!$G:$G,MATCH($A20,Data_metier!$B:$B,0))="Oui, en amont ET aval"),
1,
IF(AND(INDEX(Data_metier!$G:$G,MATCH(F$1,Data_metier!$B:$B,0))="Oui, en amont OU aval",
INDEX(Data_metier!$G:$G,MATCH($A20,Data_metier!$B:$B,0))="Oui, en amont ET aval"),
0.5,
0))))</f>
        <v>-1</v>
      </c>
      <c r="G20">
        <f>IF(DE_ress_transv!G20=-1,-1,
DE_ress_transv!G20+IF(AND(INDEX(Data_metier!$G:$G,MATCH(G$1,Data_metier!$B:$B,0))="Non",
INDEX(Data_metier!$G:$G,MATCH($A20,Data_metier!$B:$B,0))="Oui, en amont OU aval"),
0.5,
IF(AND(INDEX(Data_metier!$G:$G,MATCH(G$1,Data_metier!$B:$B,0))="Non",
INDEX(Data_metier!$G:$G,MATCH($A20,Data_metier!$B:$B,0))="Oui, en amont ET aval"),
1,
IF(AND(INDEX(Data_metier!$G:$G,MATCH(G$1,Data_metier!$B:$B,0))="Oui, en amont OU aval",
INDEX(Data_metier!$G:$G,MATCH($A20,Data_metier!$B:$B,0))="Oui, en amont ET aval"),
0.5,
0))))</f>
        <v>-1</v>
      </c>
      <c r="H20">
        <f>IF(DE_ress_transv!H20=-1,-1,
DE_ress_transv!H20+IF(AND(INDEX(Data_metier!$G:$G,MATCH(H$1,Data_metier!$B:$B,0))="Non",
INDEX(Data_metier!$G:$G,MATCH($A20,Data_metier!$B:$B,0))="Oui, en amont OU aval"),
0.5,
IF(AND(INDEX(Data_metier!$G:$G,MATCH(H$1,Data_metier!$B:$B,0))="Non",
INDEX(Data_metier!$G:$G,MATCH($A20,Data_metier!$B:$B,0))="Oui, en amont ET aval"),
1,
IF(AND(INDEX(Data_metier!$G:$G,MATCH(H$1,Data_metier!$B:$B,0))="Oui, en amont OU aval",
INDEX(Data_metier!$G:$G,MATCH($A20,Data_metier!$B:$B,0))="Oui, en amont ET aval"),
0.5,
0))))</f>
        <v>-1</v>
      </c>
      <c r="I20">
        <f>IF(DE_ress_transv!I20=-1,-1,
DE_ress_transv!I20+IF(AND(INDEX(Data_metier!$G:$G,MATCH(I$1,Data_metier!$B:$B,0))="Non",
INDEX(Data_metier!$G:$G,MATCH($A20,Data_metier!$B:$B,0))="Oui, en amont OU aval"),
0.5,
IF(AND(INDEX(Data_metier!$G:$G,MATCH(I$1,Data_metier!$B:$B,0))="Non",
INDEX(Data_metier!$G:$G,MATCH($A20,Data_metier!$B:$B,0))="Oui, en amont ET aval"),
1,
IF(AND(INDEX(Data_metier!$G:$G,MATCH(I$1,Data_metier!$B:$B,0))="Oui, en amont OU aval",
INDEX(Data_metier!$G:$G,MATCH($A20,Data_metier!$B:$B,0))="Oui, en amont ET aval"),
0.5,
0))))</f>
        <v>0.16666666666666666</v>
      </c>
      <c r="J20">
        <f>IF(DE_ress_transv!J20=-1,-1,
DE_ress_transv!J20+IF(AND(INDEX(Data_metier!$G:$G,MATCH(J$1,Data_metier!$B:$B,0))="Non",
INDEX(Data_metier!$G:$G,MATCH($A20,Data_metier!$B:$B,0))="Oui, en amont OU aval"),
0.5,
IF(AND(INDEX(Data_metier!$G:$G,MATCH(J$1,Data_metier!$B:$B,0))="Non",
INDEX(Data_metier!$G:$G,MATCH($A20,Data_metier!$B:$B,0))="Oui, en amont ET aval"),
1,
IF(AND(INDEX(Data_metier!$G:$G,MATCH(J$1,Data_metier!$B:$B,0))="Oui, en amont OU aval",
INDEX(Data_metier!$G:$G,MATCH($A20,Data_metier!$B:$B,0))="Oui, en amont ET aval"),
0.5,
0))))</f>
        <v>-1</v>
      </c>
      <c r="K20">
        <f>IF(DE_ress_transv!K20=-1,-1,
DE_ress_transv!K20+IF(AND(INDEX(Data_metier!$G:$G,MATCH(K$1,Data_metier!$B:$B,0))="Non",
INDEX(Data_metier!$G:$G,MATCH($A20,Data_metier!$B:$B,0))="Oui, en amont OU aval"),
0.5,
IF(AND(INDEX(Data_metier!$G:$G,MATCH(K$1,Data_metier!$B:$B,0))="Non",
INDEX(Data_metier!$G:$G,MATCH($A20,Data_metier!$B:$B,0))="Oui, en amont ET aval"),
1,
IF(AND(INDEX(Data_metier!$G:$G,MATCH(K$1,Data_metier!$B:$B,0))="Oui, en amont OU aval",
INDEX(Data_metier!$G:$G,MATCH($A20,Data_metier!$B:$B,0))="Oui, en amont ET aval"),
0.5,
0))))</f>
        <v>-1</v>
      </c>
      <c r="L20">
        <f>IF(DE_ress_transv!L20=-1,-1,
DE_ress_transv!L20+IF(AND(INDEX(Data_metier!$G:$G,MATCH(L$1,Data_metier!$B:$B,0))="Non",
INDEX(Data_metier!$G:$G,MATCH($A20,Data_metier!$B:$B,0))="Oui, en amont OU aval"),
0.5,
IF(AND(INDEX(Data_metier!$G:$G,MATCH(L$1,Data_metier!$B:$B,0))="Non",
INDEX(Data_metier!$G:$G,MATCH($A20,Data_metier!$B:$B,0))="Oui, en amont ET aval"),
1,
IF(AND(INDEX(Data_metier!$G:$G,MATCH(L$1,Data_metier!$B:$B,0))="Oui, en amont OU aval",
INDEX(Data_metier!$G:$G,MATCH($A20,Data_metier!$B:$B,0))="Oui, en amont ET aval"),
0.5,
0))))</f>
        <v>0</v>
      </c>
      <c r="M20">
        <f>IF(DE_ress_transv!M20=-1,-1,
DE_ress_transv!M20+IF(AND(INDEX(Data_metier!$G:$G,MATCH(M$1,Data_metier!$B:$B,0))="Non",
INDEX(Data_metier!$G:$G,MATCH($A20,Data_metier!$B:$B,0))="Oui, en amont OU aval"),
0.5,
IF(AND(INDEX(Data_metier!$G:$G,MATCH(M$1,Data_metier!$B:$B,0))="Non",
INDEX(Data_metier!$G:$G,MATCH($A20,Data_metier!$B:$B,0))="Oui, en amont ET aval"),
1,
IF(AND(INDEX(Data_metier!$G:$G,MATCH(M$1,Data_metier!$B:$B,0))="Oui, en amont OU aval",
INDEX(Data_metier!$G:$G,MATCH($A20,Data_metier!$B:$B,0))="Oui, en amont ET aval"),
0.5,
0))))</f>
        <v>-1</v>
      </c>
      <c r="N20">
        <f>IF(DE_ress_transv!N20=-1,-1,
DE_ress_transv!N20+IF(AND(INDEX(Data_metier!$G:$G,MATCH(N$1,Data_metier!$B:$B,0))="Non",
INDEX(Data_metier!$G:$G,MATCH($A20,Data_metier!$B:$B,0))="Oui, en amont OU aval"),
0.5,
IF(AND(INDEX(Data_metier!$G:$G,MATCH(N$1,Data_metier!$B:$B,0))="Non",
INDEX(Data_metier!$G:$G,MATCH($A20,Data_metier!$B:$B,0))="Oui, en amont ET aval"),
1,
IF(AND(INDEX(Data_metier!$G:$G,MATCH(N$1,Data_metier!$B:$B,0))="Oui, en amont OU aval",
INDEX(Data_metier!$G:$G,MATCH($A20,Data_metier!$B:$B,0))="Oui, en amont ET aval"),
0.5,
0))))</f>
        <v>-1</v>
      </c>
      <c r="O20">
        <f>IF(DE_ress_transv!O20=-1,-1,
DE_ress_transv!O20+IF(AND(INDEX(Data_metier!$G:$G,MATCH(O$1,Data_metier!$B:$B,0))="Non",
INDEX(Data_metier!$G:$G,MATCH($A20,Data_metier!$B:$B,0))="Oui, en amont OU aval"),
0.5,
IF(AND(INDEX(Data_metier!$G:$G,MATCH(O$1,Data_metier!$B:$B,0))="Non",
INDEX(Data_metier!$G:$G,MATCH($A20,Data_metier!$B:$B,0))="Oui, en amont ET aval"),
1,
IF(AND(INDEX(Data_metier!$G:$G,MATCH(O$1,Data_metier!$B:$B,0))="Oui, en amont OU aval",
INDEX(Data_metier!$G:$G,MATCH($A20,Data_metier!$B:$B,0))="Oui, en amont ET aval"),
0.5,
0))))</f>
        <v>0</v>
      </c>
      <c r="P20">
        <f>IF(DE_ress_transv!P20=-1,-1,
DE_ress_transv!P20+IF(AND(INDEX(Data_metier!$G:$G,MATCH(P$1,Data_metier!$B:$B,0))="Non",
INDEX(Data_metier!$G:$G,MATCH($A20,Data_metier!$B:$B,0))="Oui, en amont OU aval"),
0.5,
IF(AND(INDEX(Data_metier!$G:$G,MATCH(P$1,Data_metier!$B:$B,0))="Non",
INDEX(Data_metier!$G:$G,MATCH($A20,Data_metier!$B:$B,0))="Oui, en amont ET aval"),
1,
IF(AND(INDEX(Data_metier!$G:$G,MATCH(P$1,Data_metier!$B:$B,0))="Oui, en amont OU aval",
INDEX(Data_metier!$G:$G,MATCH($A20,Data_metier!$B:$B,0))="Oui, en amont ET aval"),
0.5,
0))))</f>
        <v>0.16666666666666666</v>
      </c>
      <c r="Q20">
        <f>IF(DE_ress_transv!Q20=-1,-1,
DE_ress_transv!Q20+IF(AND(INDEX(Data_metier!$G:$G,MATCH(Q$1,Data_metier!$B:$B,0))="Non",
INDEX(Data_metier!$G:$G,MATCH($A20,Data_metier!$B:$B,0))="Oui, en amont OU aval"),
0.5,
IF(AND(INDEX(Data_metier!$G:$G,MATCH(Q$1,Data_metier!$B:$B,0))="Non",
INDEX(Data_metier!$G:$G,MATCH($A20,Data_metier!$B:$B,0))="Oui, en amont ET aval"),
1,
IF(AND(INDEX(Data_metier!$G:$G,MATCH(Q$1,Data_metier!$B:$B,0))="Oui, en amont OU aval",
INDEX(Data_metier!$G:$G,MATCH($A20,Data_metier!$B:$B,0))="Oui, en amont ET aval"),
0.5,
0))))</f>
        <v>-1</v>
      </c>
      <c r="R20">
        <f>IF(DE_ress_transv!R20=-1,-1,
DE_ress_transv!R20+IF(AND(INDEX(Data_metier!$G:$G,MATCH(R$1,Data_metier!$B:$B,0))="Non",
INDEX(Data_metier!$G:$G,MATCH($A20,Data_metier!$B:$B,0))="Oui, en amont OU aval"),
0.5,
IF(AND(INDEX(Data_metier!$G:$G,MATCH(R$1,Data_metier!$B:$B,0))="Non",
INDEX(Data_metier!$G:$G,MATCH($A20,Data_metier!$B:$B,0))="Oui, en amont ET aval"),
1,
IF(AND(INDEX(Data_metier!$G:$G,MATCH(R$1,Data_metier!$B:$B,0))="Oui, en amont OU aval",
INDEX(Data_metier!$G:$G,MATCH($A20,Data_metier!$B:$B,0))="Oui, en amont ET aval"),
0.5,
0))))</f>
        <v>-1</v>
      </c>
      <c r="S20">
        <f>IF(DE_ress_transv!S20=-1,-1,
DE_ress_transv!S20+IF(AND(INDEX(Data_metier!$G:$G,MATCH(S$1,Data_metier!$B:$B,0))="Non",
INDEX(Data_metier!$G:$G,MATCH($A20,Data_metier!$B:$B,0))="Oui, en amont OU aval"),
0.5,
IF(AND(INDEX(Data_metier!$G:$G,MATCH(S$1,Data_metier!$B:$B,0))="Non",
INDEX(Data_metier!$G:$G,MATCH($A20,Data_metier!$B:$B,0))="Oui, en amont ET aval"),
1,
IF(AND(INDEX(Data_metier!$G:$G,MATCH(S$1,Data_metier!$B:$B,0))="Oui, en amont OU aval",
INDEX(Data_metier!$G:$G,MATCH($A20,Data_metier!$B:$B,0))="Oui, en amont ET aval"),
0.5,
0))))</f>
        <v>0.16666666666666666</v>
      </c>
      <c r="T20">
        <f>IF(DE_ress_transv!T20=-1,-1,
DE_ress_transv!T20+IF(AND(INDEX(Data_metier!$G:$G,MATCH(T$1,Data_metier!$B:$B,0))="Non",
INDEX(Data_metier!$G:$G,MATCH($A20,Data_metier!$B:$B,0))="Oui, en amont OU aval"),
0.5,
IF(AND(INDEX(Data_metier!$G:$G,MATCH(T$1,Data_metier!$B:$B,0))="Non",
INDEX(Data_metier!$G:$G,MATCH($A20,Data_metier!$B:$B,0))="Oui, en amont ET aval"),
1,
IF(AND(INDEX(Data_metier!$G:$G,MATCH(T$1,Data_metier!$B:$B,0))="Oui, en amont OU aval",
INDEX(Data_metier!$G:$G,MATCH($A20,Data_metier!$B:$B,0))="Oui, en amont ET aval"),
0.5,
0))))</f>
        <v>0</v>
      </c>
      <c r="U20">
        <f>IF(DE_ress_transv!U20=-1,-1,
DE_ress_transv!U20+IF(AND(INDEX(Data_metier!$G:$G,MATCH(U$1,Data_metier!$B:$B,0))="Non",
INDEX(Data_metier!$G:$G,MATCH($A20,Data_metier!$B:$B,0))="Oui, en amont OU aval"),
0.5,
IF(AND(INDEX(Data_metier!$G:$G,MATCH(U$1,Data_metier!$B:$B,0))="Non",
INDEX(Data_metier!$G:$G,MATCH($A20,Data_metier!$B:$B,0))="Oui, en amont ET aval"),
1,
IF(AND(INDEX(Data_metier!$G:$G,MATCH(U$1,Data_metier!$B:$B,0))="Oui, en amont OU aval",
INDEX(Data_metier!$G:$G,MATCH($A20,Data_metier!$B:$B,0))="Oui, en amont ET aval"),
0.5,
0))))</f>
        <v>0.16666666666666666</v>
      </c>
      <c r="V20">
        <f>IF(DE_ress_transv!V20=-1,-1,
DE_ress_transv!V20+IF(AND(INDEX(Data_metier!$G:$G,MATCH(V$1,Data_metier!$B:$B,0))="Non",
INDEX(Data_metier!$G:$G,MATCH($A20,Data_metier!$B:$B,0))="Oui, en amont OU aval"),
0.5,
IF(AND(INDEX(Data_metier!$G:$G,MATCH(V$1,Data_metier!$B:$B,0))="Non",
INDEX(Data_metier!$G:$G,MATCH($A20,Data_metier!$B:$B,0))="Oui, en amont ET aval"),
1,
IF(AND(INDEX(Data_metier!$G:$G,MATCH(V$1,Data_metier!$B:$B,0))="Oui, en amont OU aval",
INDEX(Data_metier!$G:$G,MATCH($A20,Data_metier!$B:$B,0))="Oui, en amont ET aval"),
0.5,
0))))</f>
        <v>-1</v>
      </c>
      <c r="W20">
        <f>IF(DE_ress_transv!W20=-1,-1,
DE_ress_transv!W20+IF(AND(INDEX(Data_metier!$G:$G,MATCH(W$1,Data_metier!$B:$B,0))="Non",
INDEX(Data_metier!$G:$G,MATCH($A20,Data_metier!$B:$B,0))="Oui, en amont OU aval"),
0.5,
IF(AND(INDEX(Data_metier!$G:$G,MATCH(W$1,Data_metier!$B:$B,0))="Non",
INDEX(Data_metier!$G:$G,MATCH($A20,Data_metier!$B:$B,0))="Oui, en amont ET aval"),
1,
IF(AND(INDEX(Data_metier!$G:$G,MATCH(W$1,Data_metier!$B:$B,0))="Oui, en amont OU aval",
INDEX(Data_metier!$G:$G,MATCH($A20,Data_metier!$B:$B,0))="Oui, en amont ET aval"),
0.5,
0))))</f>
        <v>-1</v>
      </c>
      <c r="X20">
        <f>IF(DE_ress_transv!X20=-1,-1,
DE_ress_transv!X20+IF(AND(INDEX(Data_metier!$G:$G,MATCH(X$1,Data_metier!$B:$B,0))="Non",
INDEX(Data_metier!$G:$G,MATCH($A20,Data_metier!$B:$B,0))="Oui, en amont OU aval"),
0.5,
IF(AND(INDEX(Data_metier!$G:$G,MATCH(X$1,Data_metier!$B:$B,0))="Non",
INDEX(Data_metier!$G:$G,MATCH($A20,Data_metier!$B:$B,0))="Oui, en amont ET aval"),
1,
IF(AND(INDEX(Data_metier!$G:$G,MATCH(X$1,Data_metier!$B:$B,0))="Oui, en amont OU aval",
INDEX(Data_metier!$G:$G,MATCH($A20,Data_metier!$B:$B,0))="Oui, en amont ET aval"),
0.5,
0))))</f>
        <v>-1</v>
      </c>
      <c r="Y20">
        <f>IF(DE_ress_transv!Y20=-1,-1,
DE_ress_transv!Y20+IF(AND(INDEX(Data_metier!$G:$G,MATCH(Y$1,Data_metier!$B:$B,0))="Non",
INDEX(Data_metier!$G:$G,MATCH($A20,Data_metier!$B:$B,0))="Oui, en amont OU aval"),
0.5,
IF(AND(INDEX(Data_metier!$G:$G,MATCH(Y$1,Data_metier!$B:$B,0))="Non",
INDEX(Data_metier!$G:$G,MATCH($A20,Data_metier!$B:$B,0))="Oui, en amont ET aval"),
1,
IF(AND(INDEX(Data_metier!$G:$G,MATCH(Y$1,Data_metier!$B:$B,0))="Oui, en amont OU aval",
INDEX(Data_metier!$G:$G,MATCH($A20,Data_metier!$B:$B,0))="Oui, en amont ET aval"),
0.5,
0))))</f>
        <v>0.16666666666666666</v>
      </c>
      <c r="Z20">
        <f>IF(DE_ress_transv!Z20=-1,-1,
DE_ress_transv!Z20+IF(AND(INDEX(Data_metier!$G:$G,MATCH(Z$1,Data_metier!$B:$B,0))="Non",
INDEX(Data_metier!$G:$G,MATCH($A20,Data_metier!$B:$B,0))="Oui, en amont OU aval"),
0.5,
IF(AND(INDEX(Data_metier!$G:$G,MATCH(Z$1,Data_metier!$B:$B,0))="Non",
INDEX(Data_metier!$G:$G,MATCH($A20,Data_metier!$B:$B,0))="Oui, en amont ET aval"),
1,
IF(AND(INDEX(Data_metier!$G:$G,MATCH(Z$1,Data_metier!$B:$B,0))="Oui, en amont OU aval",
INDEX(Data_metier!$G:$G,MATCH($A20,Data_metier!$B:$B,0))="Oui, en amont ET aval"),
0.5,
0))))</f>
        <v>0.16666666666666666</v>
      </c>
      <c r="AA20">
        <f>IF(DE_ress_transv!AA20=-1,-1,
DE_ress_transv!AA20+IF(AND(INDEX(Data_metier!$G:$G,MATCH(AA$1,Data_metier!$B:$B,0))="Non",
INDEX(Data_metier!$G:$G,MATCH($A20,Data_metier!$B:$B,0))="Oui, en amont OU aval"),
0.5,
IF(AND(INDEX(Data_metier!$G:$G,MATCH(AA$1,Data_metier!$B:$B,0))="Non",
INDEX(Data_metier!$G:$G,MATCH($A20,Data_metier!$B:$B,0))="Oui, en amont ET aval"),
1,
IF(AND(INDEX(Data_metier!$G:$G,MATCH(AA$1,Data_metier!$B:$B,0))="Oui, en amont OU aval",
INDEX(Data_metier!$G:$G,MATCH($A20,Data_metier!$B:$B,0))="Oui, en amont ET aval"),
0.5,
0))))</f>
        <v>0.16666666666666666</v>
      </c>
      <c r="AB20">
        <f>IF(DE_ress_transv!AB20=-1,-1,
DE_ress_transv!AB20+IF(AND(INDEX(Data_metier!$G:$G,MATCH(AB$1,Data_metier!$B:$B,0))="Non",
INDEX(Data_metier!$G:$G,MATCH($A20,Data_metier!$B:$B,0))="Oui, en amont OU aval"),
0.5,
IF(AND(INDEX(Data_metier!$G:$G,MATCH(AB$1,Data_metier!$B:$B,0))="Non",
INDEX(Data_metier!$G:$G,MATCH($A20,Data_metier!$B:$B,0))="Oui, en amont ET aval"),
1,
IF(AND(INDEX(Data_metier!$G:$G,MATCH(AB$1,Data_metier!$B:$B,0))="Oui, en amont OU aval",
INDEX(Data_metier!$G:$G,MATCH($A20,Data_metier!$B:$B,0))="Oui, en amont ET aval"),
0.5,
0))))</f>
        <v>-1</v>
      </c>
      <c r="AC20">
        <f>IF(DE_ress_transv!AC20=-1,-1,
DE_ress_transv!AC20+IF(AND(INDEX(Data_metier!$G:$G,MATCH(AC$1,Data_metier!$B:$B,0))="Non",
INDEX(Data_metier!$G:$G,MATCH($A20,Data_metier!$B:$B,0))="Oui, en amont OU aval"),
0.5,
IF(AND(INDEX(Data_metier!$G:$G,MATCH(AC$1,Data_metier!$B:$B,0))="Non",
INDEX(Data_metier!$G:$G,MATCH($A20,Data_metier!$B:$B,0))="Oui, en amont ET aval"),
1,
IF(AND(INDEX(Data_metier!$G:$G,MATCH(AC$1,Data_metier!$B:$B,0))="Oui, en amont OU aval",
INDEX(Data_metier!$G:$G,MATCH($A20,Data_metier!$B:$B,0))="Oui, en amont ET aval"),
0.5,
0))))</f>
        <v>-1</v>
      </c>
      <c r="AD20">
        <f>IF(DE_ress_transv!AD20=-1,-1,
DE_ress_transv!AD20+IF(AND(INDEX(Data_metier!$G:$G,MATCH(AD$1,Data_metier!$B:$B,0))="Non",
INDEX(Data_metier!$G:$G,MATCH($A20,Data_metier!$B:$B,0))="Oui, en amont OU aval"),
0.5,
IF(AND(INDEX(Data_metier!$G:$G,MATCH(AD$1,Data_metier!$B:$B,0))="Non",
INDEX(Data_metier!$G:$G,MATCH($A20,Data_metier!$B:$B,0))="Oui, en amont ET aval"),
1,
IF(AND(INDEX(Data_metier!$G:$G,MATCH(AD$1,Data_metier!$B:$B,0))="Oui, en amont OU aval",
INDEX(Data_metier!$G:$G,MATCH($A20,Data_metier!$B:$B,0))="Oui, en amont ET aval"),
0.5,
0))))</f>
        <v>-1</v>
      </c>
    </row>
    <row r="21" spans="1:30">
      <c r="A21" s="55" t="str">
        <v>Boulanger(ère)/pâtissier(ère) industriel(le)</v>
      </c>
      <c r="B21">
        <f>IF(DE_ress_transv!B21=-1,-1,
DE_ress_transv!B21+IF(AND(INDEX(Data_metier!$G:$G,MATCH(B$1,Data_metier!$B:$B,0))="Non",
INDEX(Data_metier!$G:$G,MATCH($A21,Data_metier!$B:$B,0))="Oui, en amont OU aval"),
0.5,
IF(AND(INDEX(Data_metier!$G:$G,MATCH(B$1,Data_metier!$B:$B,0))="Non",
INDEX(Data_metier!$G:$G,MATCH($A21,Data_metier!$B:$B,0))="Oui, en amont ET aval"),
1,
IF(AND(INDEX(Data_metier!$G:$G,MATCH(B$1,Data_metier!$B:$B,0))="Oui, en amont OU aval",
INDEX(Data_metier!$G:$G,MATCH($A21,Data_metier!$B:$B,0))="Oui, en amont ET aval"),
0.5,
0))))</f>
        <v>-1</v>
      </c>
      <c r="C21">
        <f>IF(DE_ress_transv!C21=-1,-1,
DE_ress_transv!C21+IF(AND(INDEX(Data_metier!$G:$G,MATCH(C$1,Data_metier!$B:$B,0))="Non",
INDEX(Data_metier!$G:$G,MATCH($A21,Data_metier!$B:$B,0))="Oui, en amont OU aval"),
0.5,
IF(AND(INDEX(Data_metier!$G:$G,MATCH(C$1,Data_metier!$B:$B,0))="Non",
INDEX(Data_metier!$G:$G,MATCH($A21,Data_metier!$B:$B,0))="Oui, en amont ET aval"),
1,
IF(AND(INDEX(Data_metier!$G:$G,MATCH(C$1,Data_metier!$B:$B,0))="Oui, en amont OU aval",
INDEX(Data_metier!$G:$G,MATCH($A21,Data_metier!$B:$B,0))="Oui, en amont ET aval"),
0.5,
0))))</f>
        <v>-1</v>
      </c>
      <c r="D21">
        <f>IF(DE_ress_transv!D21=-1,-1,
DE_ress_transv!D21+IF(AND(INDEX(Data_metier!$G:$G,MATCH(D$1,Data_metier!$B:$B,0))="Non",
INDEX(Data_metier!$G:$G,MATCH($A21,Data_metier!$B:$B,0))="Oui, en amont OU aval"),
0.5,
IF(AND(INDEX(Data_metier!$G:$G,MATCH(D$1,Data_metier!$B:$B,0))="Non",
INDEX(Data_metier!$G:$G,MATCH($A21,Data_metier!$B:$B,0))="Oui, en amont ET aval"),
1,
IF(AND(INDEX(Data_metier!$G:$G,MATCH(D$1,Data_metier!$B:$B,0))="Oui, en amont OU aval",
INDEX(Data_metier!$G:$G,MATCH($A21,Data_metier!$B:$B,0))="Oui, en amont ET aval"),
0.5,
0))))</f>
        <v>0</v>
      </c>
      <c r="E21">
        <f>IF(DE_ress_transv!E21=-1,-1,
DE_ress_transv!E21+IF(AND(INDEX(Data_metier!$G:$G,MATCH(E$1,Data_metier!$B:$B,0))="Non",
INDEX(Data_metier!$G:$G,MATCH($A21,Data_metier!$B:$B,0))="Oui, en amont OU aval"),
0.5,
IF(AND(INDEX(Data_metier!$G:$G,MATCH(E$1,Data_metier!$B:$B,0))="Non",
INDEX(Data_metier!$G:$G,MATCH($A21,Data_metier!$B:$B,0))="Oui, en amont ET aval"),
1,
IF(AND(INDEX(Data_metier!$G:$G,MATCH(E$1,Data_metier!$B:$B,0))="Oui, en amont OU aval",
INDEX(Data_metier!$G:$G,MATCH($A21,Data_metier!$B:$B,0))="Oui, en amont ET aval"),
0.5,
0))))</f>
        <v>-1</v>
      </c>
      <c r="F21">
        <f>IF(DE_ress_transv!F21=-1,-1,
DE_ress_transv!F21+IF(AND(INDEX(Data_metier!$G:$G,MATCH(F$1,Data_metier!$B:$B,0))="Non",
INDEX(Data_metier!$G:$G,MATCH($A21,Data_metier!$B:$B,0))="Oui, en amont OU aval"),
0.5,
IF(AND(INDEX(Data_metier!$G:$G,MATCH(F$1,Data_metier!$B:$B,0))="Non",
INDEX(Data_metier!$G:$G,MATCH($A21,Data_metier!$B:$B,0))="Oui, en amont ET aval"),
1,
IF(AND(INDEX(Data_metier!$G:$G,MATCH(F$1,Data_metier!$B:$B,0))="Oui, en amont OU aval",
INDEX(Data_metier!$G:$G,MATCH($A21,Data_metier!$B:$B,0))="Oui, en amont ET aval"),
0.5,
0))))</f>
        <v>-1</v>
      </c>
      <c r="G21">
        <f>IF(DE_ress_transv!G21=-1,-1,
DE_ress_transv!G21+IF(AND(INDEX(Data_metier!$G:$G,MATCH(G$1,Data_metier!$B:$B,0))="Non",
INDEX(Data_metier!$G:$G,MATCH($A21,Data_metier!$B:$B,0))="Oui, en amont OU aval"),
0.5,
IF(AND(INDEX(Data_metier!$G:$G,MATCH(G$1,Data_metier!$B:$B,0))="Non",
INDEX(Data_metier!$G:$G,MATCH($A21,Data_metier!$B:$B,0))="Oui, en amont ET aval"),
1,
IF(AND(INDEX(Data_metier!$G:$G,MATCH(G$1,Data_metier!$B:$B,0))="Oui, en amont OU aval",
INDEX(Data_metier!$G:$G,MATCH($A21,Data_metier!$B:$B,0))="Oui, en amont ET aval"),
0.5,
0))))</f>
        <v>-1</v>
      </c>
      <c r="H21">
        <f>IF(DE_ress_transv!H21=-1,-1,
DE_ress_transv!H21+IF(AND(INDEX(Data_metier!$G:$G,MATCH(H$1,Data_metier!$B:$B,0))="Non",
INDEX(Data_metier!$G:$G,MATCH($A21,Data_metier!$B:$B,0))="Oui, en amont OU aval"),
0.5,
IF(AND(INDEX(Data_metier!$G:$G,MATCH(H$1,Data_metier!$B:$B,0))="Non",
INDEX(Data_metier!$G:$G,MATCH($A21,Data_metier!$B:$B,0))="Oui, en amont ET aval"),
1,
IF(AND(INDEX(Data_metier!$G:$G,MATCH(H$1,Data_metier!$B:$B,0))="Oui, en amont OU aval",
INDEX(Data_metier!$G:$G,MATCH($A21,Data_metier!$B:$B,0))="Oui, en amont ET aval"),
0.5,
0))))</f>
        <v>-1</v>
      </c>
      <c r="I21">
        <f>IF(DE_ress_transv!I21=-1,-1,
DE_ress_transv!I21+IF(AND(INDEX(Data_metier!$G:$G,MATCH(I$1,Data_metier!$B:$B,0))="Non",
INDEX(Data_metier!$G:$G,MATCH($A21,Data_metier!$B:$B,0))="Oui, en amont OU aval"),
0.5,
IF(AND(INDEX(Data_metier!$G:$G,MATCH(I$1,Data_metier!$B:$B,0))="Non",
INDEX(Data_metier!$G:$G,MATCH($A21,Data_metier!$B:$B,0))="Oui, en amont ET aval"),
1,
IF(AND(INDEX(Data_metier!$G:$G,MATCH(I$1,Data_metier!$B:$B,0))="Oui, en amont OU aval",
INDEX(Data_metier!$G:$G,MATCH($A21,Data_metier!$B:$B,0))="Oui, en amont ET aval"),
0.5,
0))))</f>
        <v>0</v>
      </c>
      <c r="J21">
        <f>IF(DE_ress_transv!J21=-1,-1,
DE_ress_transv!J21+IF(AND(INDEX(Data_metier!$G:$G,MATCH(J$1,Data_metier!$B:$B,0))="Non",
INDEX(Data_metier!$G:$G,MATCH($A21,Data_metier!$B:$B,0))="Oui, en amont OU aval"),
0.5,
IF(AND(INDEX(Data_metier!$G:$G,MATCH(J$1,Data_metier!$B:$B,0))="Non",
INDEX(Data_metier!$G:$G,MATCH($A21,Data_metier!$B:$B,0))="Oui, en amont ET aval"),
1,
IF(AND(INDEX(Data_metier!$G:$G,MATCH(J$1,Data_metier!$B:$B,0))="Oui, en amont OU aval",
INDEX(Data_metier!$G:$G,MATCH($A21,Data_metier!$B:$B,0))="Oui, en amont ET aval"),
0.5,
0))))</f>
        <v>-1</v>
      </c>
      <c r="K21">
        <f>IF(DE_ress_transv!K21=-1,-1,
DE_ress_transv!K21+IF(AND(INDEX(Data_metier!$G:$G,MATCH(K$1,Data_metier!$B:$B,0))="Non",
INDEX(Data_metier!$G:$G,MATCH($A21,Data_metier!$B:$B,0))="Oui, en amont OU aval"),
0.5,
IF(AND(INDEX(Data_metier!$G:$G,MATCH(K$1,Data_metier!$B:$B,0))="Non",
INDEX(Data_metier!$G:$G,MATCH($A21,Data_metier!$B:$B,0))="Oui, en amont ET aval"),
1,
IF(AND(INDEX(Data_metier!$G:$G,MATCH(K$1,Data_metier!$B:$B,0))="Oui, en amont OU aval",
INDEX(Data_metier!$G:$G,MATCH($A21,Data_metier!$B:$B,0))="Oui, en amont ET aval"),
0.5,
0))))</f>
        <v>-1</v>
      </c>
      <c r="L21">
        <f>IF(DE_ress_transv!L21=-1,-1,
DE_ress_transv!L21+IF(AND(INDEX(Data_metier!$G:$G,MATCH(L$1,Data_metier!$B:$B,0))="Non",
INDEX(Data_metier!$G:$G,MATCH($A21,Data_metier!$B:$B,0))="Oui, en amont OU aval"),
0.5,
IF(AND(INDEX(Data_metier!$G:$G,MATCH(L$1,Data_metier!$B:$B,0))="Non",
INDEX(Data_metier!$G:$G,MATCH($A21,Data_metier!$B:$B,0))="Oui, en amont ET aval"),
1,
IF(AND(INDEX(Data_metier!$G:$G,MATCH(L$1,Data_metier!$B:$B,0))="Oui, en amont OU aval",
INDEX(Data_metier!$G:$G,MATCH($A21,Data_metier!$B:$B,0))="Oui, en amont ET aval"),
0.5,
0))))</f>
        <v>0</v>
      </c>
      <c r="M21">
        <f>IF(DE_ress_transv!M21=-1,-1,
DE_ress_transv!M21+IF(AND(INDEX(Data_metier!$G:$G,MATCH(M$1,Data_metier!$B:$B,0))="Non",
INDEX(Data_metier!$G:$G,MATCH($A21,Data_metier!$B:$B,0))="Oui, en amont OU aval"),
0.5,
IF(AND(INDEX(Data_metier!$G:$G,MATCH(M$1,Data_metier!$B:$B,0))="Non",
INDEX(Data_metier!$G:$G,MATCH($A21,Data_metier!$B:$B,0))="Oui, en amont ET aval"),
1,
IF(AND(INDEX(Data_metier!$G:$G,MATCH(M$1,Data_metier!$B:$B,0))="Oui, en amont OU aval",
INDEX(Data_metier!$G:$G,MATCH($A21,Data_metier!$B:$B,0))="Oui, en amont ET aval"),
0.5,
0))))</f>
        <v>-1</v>
      </c>
      <c r="N21">
        <f>IF(DE_ress_transv!N21=-1,-1,
DE_ress_transv!N21+IF(AND(INDEX(Data_metier!$G:$G,MATCH(N$1,Data_metier!$B:$B,0))="Non",
INDEX(Data_metier!$G:$G,MATCH($A21,Data_metier!$B:$B,0))="Oui, en amont OU aval"),
0.5,
IF(AND(INDEX(Data_metier!$G:$G,MATCH(N$1,Data_metier!$B:$B,0))="Non",
INDEX(Data_metier!$G:$G,MATCH($A21,Data_metier!$B:$B,0))="Oui, en amont ET aval"),
1,
IF(AND(INDEX(Data_metier!$G:$G,MATCH(N$1,Data_metier!$B:$B,0))="Oui, en amont OU aval",
INDEX(Data_metier!$G:$G,MATCH($A21,Data_metier!$B:$B,0))="Oui, en amont ET aval"),
0.5,
0))))</f>
        <v>-1</v>
      </c>
      <c r="O21">
        <f>IF(DE_ress_transv!O21=-1,-1,
DE_ress_transv!O21+IF(AND(INDEX(Data_metier!$G:$G,MATCH(O$1,Data_metier!$B:$B,0))="Non",
INDEX(Data_metier!$G:$G,MATCH($A21,Data_metier!$B:$B,0))="Oui, en amont OU aval"),
0.5,
IF(AND(INDEX(Data_metier!$G:$G,MATCH(O$1,Data_metier!$B:$B,0))="Non",
INDEX(Data_metier!$G:$G,MATCH($A21,Data_metier!$B:$B,0))="Oui, en amont ET aval"),
1,
IF(AND(INDEX(Data_metier!$G:$G,MATCH(O$1,Data_metier!$B:$B,0))="Oui, en amont OU aval",
INDEX(Data_metier!$G:$G,MATCH($A21,Data_metier!$B:$B,0))="Oui, en amont ET aval"),
0.5,
0))))</f>
        <v>0</v>
      </c>
      <c r="P21">
        <f>IF(DE_ress_transv!P21=-1,-1,
DE_ress_transv!P21+IF(AND(INDEX(Data_metier!$G:$G,MATCH(P$1,Data_metier!$B:$B,0))="Non",
INDEX(Data_metier!$G:$G,MATCH($A21,Data_metier!$B:$B,0))="Oui, en amont OU aval"),
0.5,
IF(AND(INDEX(Data_metier!$G:$G,MATCH(P$1,Data_metier!$B:$B,0))="Non",
INDEX(Data_metier!$G:$G,MATCH($A21,Data_metier!$B:$B,0))="Oui, en amont ET aval"),
1,
IF(AND(INDEX(Data_metier!$G:$G,MATCH(P$1,Data_metier!$B:$B,0))="Oui, en amont OU aval",
INDEX(Data_metier!$G:$G,MATCH($A21,Data_metier!$B:$B,0))="Oui, en amont ET aval"),
0.5,
0))))</f>
        <v>0</v>
      </c>
      <c r="Q21">
        <f>IF(DE_ress_transv!Q21=-1,-1,
DE_ress_transv!Q21+IF(AND(INDEX(Data_metier!$G:$G,MATCH(Q$1,Data_metier!$B:$B,0))="Non",
INDEX(Data_metier!$G:$G,MATCH($A21,Data_metier!$B:$B,0))="Oui, en amont OU aval"),
0.5,
IF(AND(INDEX(Data_metier!$G:$G,MATCH(Q$1,Data_metier!$B:$B,0))="Non",
INDEX(Data_metier!$G:$G,MATCH($A21,Data_metier!$B:$B,0))="Oui, en amont ET aval"),
1,
IF(AND(INDEX(Data_metier!$G:$G,MATCH(Q$1,Data_metier!$B:$B,0))="Oui, en amont OU aval",
INDEX(Data_metier!$G:$G,MATCH($A21,Data_metier!$B:$B,0))="Oui, en amont ET aval"),
0.5,
0))))</f>
        <v>-1</v>
      </c>
      <c r="R21">
        <f>IF(DE_ress_transv!R21=-1,-1,
DE_ress_transv!R21+IF(AND(INDEX(Data_metier!$G:$G,MATCH(R$1,Data_metier!$B:$B,0))="Non",
INDEX(Data_metier!$G:$G,MATCH($A21,Data_metier!$B:$B,0))="Oui, en amont OU aval"),
0.5,
IF(AND(INDEX(Data_metier!$G:$G,MATCH(R$1,Data_metier!$B:$B,0))="Non",
INDEX(Data_metier!$G:$G,MATCH($A21,Data_metier!$B:$B,0))="Oui, en amont ET aval"),
1,
IF(AND(INDEX(Data_metier!$G:$G,MATCH(R$1,Data_metier!$B:$B,0))="Oui, en amont OU aval",
INDEX(Data_metier!$G:$G,MATCH($A21,Data_metier!$B:$B,0))="Oui, en amont ET aval"),
0.5,
0))))</f>
        <v>-1</v>
      </c>
      <c r="S21">
        <f>IF(DE_ress_transv!S21=-1,-1,
DE_ress_transv!S21+IF(AND(INDEX(Data_metier!$G:$G,MATCH(S$1,Data_metier!$B:$B,0))="Non",
INDEX(Data_metier!$G:$G,MATCH($A21,Data_metier!$B:$B,0))="Oui, en amont OU aval"),
0.5,
IF(AND(INDEX(Data_metier!$G:$G,MATCH(S$1,Data_metier!$B:$B,0))="Non",
INDEX(Data_metier!$G:$G,MATCH($A21,Data_metier!$B:$B,0))="Oui, en amont ET aval"),
1,
IF(AND(INDEX(Data_metier!$G:$G,MATCH(S$1,Data_metier!$B:$B,0))="Oui, en amont OU aval",
INDEX(Data_metier!$G:$G,MATCH($A21,Data_metier!$B:$B,0))="Oui, en amont ET aval"),
0.5,
0))))</f>
        <v>0</v>
      </c>
      <c r="T21">
        <f>IF(DE_ress_transv!T21=-1,-1,
DE_ress_transv!T21+IF(AND(INDEX(Data_metier!$G:$G,MATCH(T$1,Data_metier!$B:$B,0))="Non",
INDEX(Data_metier!$G:$G,MATCH($A21,Data_metier!$B:$B,0))="Oui, en amont OU aval"),
0.5,
IF(AND(INDEX(Data_metier!$G:$G,MATCH(T$1,Data_metier!$B:$B,0))="Non",
INDEX(Data_metier!$G:$G,MATCH($A21,Data_metier!$B:$B,0))="Oui, en amont ET aval"),
1,
IF(AND(INDEX(Data_metier!$G:$G,MATCH(T$1,Data_metier!$B:$B,0))="Oui, en amont OU aval",
INDEX(Data_metier!$G:$G,MATCH($A21,Data_metier!$B:$B,0))="Oui, en amont ET aval"),
0.5,
0))))</f>
        <v>0</v>
      </c>
      <c r="U21">
        <f>IF(DE_ress_transv!U21=-1,-1,
DE_ress_transv!U21+IF(AND(INDEX(Data_metier!$G:$G,MATCH(U$1,Data_metier!$B:$B,0))="Non",
INDEX(Data_metier!$G:$G,MATCH($A21,Data_metier!$B:$B,0))="Oui, en amont OU aval"),
0.5,
IF(AND(INDEX(Data_metier!$G:$G,MATCH(U$1,Data_metier!$B:$B,0))="Non",
INDEX(Data_metier!$G:$G,MATCH($A21,Data_metier!$B:$B,0))="Oui, en amont ET aval"),
1,
IF(AND(INDEX(Data_metier!$G:$G,MATCH(U$1,Data_metier!$B:$B,0))="Oui, en amont OU aval",
INDEX(Data_metier!$G:$G,MATCH($A21,Data_metier!$B:$B,0))="Oui, en amont ET aval"),
0.5,
0))))</f>
        <v>0</v>
      </c>
      <c r="V21">
        <f>IF(DE_ress_transv!V21=-1,-1,
DE_ress_transv!V21+IF(AND(INDEX(Data_metier!$G:$G,MATCH(V$1,Data_metier!$B:$B,0))="Non",
INDEX(Data_metier!$G:$G,MATCH($A21,Data_metier!$B:$B,0))="Oui, en amont OU aval"),
0.5,
IF(AND(INDEX(Data_metier!$G:$G,MATCH(V$1,Data_metier!$B:$B,0))="Non",
INDEX(Data_metier!$G:$G,MATCH($A21,Data_metier!$B:$B,0))="Oui, en amont ET aval"),
1,
IF(AND(INDEX(Data_metier!$G:$G,MATCH(V$1,Data_metier!$B:$B,0))="Oui, en amont OU aval",
INDEX(Data_metier!$G:$G,MATCH($A21,Data_metier!$B:$B,0))="Oui, en amont ET aval"),
0.5,
0))))</f>
        <v>-1</v>
      </c>
      <c r="W21">
        <f>IF(DE_ress_transv!W21=-1,-1,
DE_ress_transv!W21+IF(AND(INDEX(Data_metier!$G:$G,MATCH(W$1,Data_metier!$B:$B,0))="Non",
INDEX(Data_metier!$G:$G,MATCH($A21,Data_metier!$B:$B,0))="Oui, en amont OU aval"),
0.5,
IF(AND(INDEX(Data_metier!$G:$G,MATCH(W$1,Data_metier!$B:$B,0))="Non",
INDEX(Data_metier!$G:$G,MATCH($A21,Data_metier!$B:$B,0))="Oui, en amont ET aval"),
1,
IF(AND(INDEX(Data_metier!$G:$G,MATCH(W$1,Data_metier!$B:$B,0))="Oui, en amont OU aval",
INDEX(Data_metier!$G:$G,MATCH($A21,Data_metier!$B:$B,0))="Oui, en amont ET aval"),
0.5,
0))))</f>
        <v>-1</v>
      </c>
      <c r="X21">
        <f>IF(DE_ress_transv!X21=-1,-1,
DE_ress_transv!X21+IF(AND(INDEX(Data_metier!$G:$G,MATCH(X$1,Data_metier!$B:$B,0))="Non",
INDEX(Data_metier!$G:$G,MATCH($A21,Data_metier!$B:$B,0))="Oui, en amont OU aval"),
0.5,
IF(AND(INDEX(Data_metier!$G:$G,MATCH(X$1,Data_metier!$B:$B,0))="Non",
INDEX(Data_metier!$G:$G,MATCH($A21,Data_metier!$B:$B,0))="Oui, en amont ET aval"),
1,
IF(AND(INDEX(Data_metier!$G:$G,MATCH(X$1,Data_metier!$B:$B,0))="Oui, en amont OU aval",
INDEX(Data_metier!$G:$G,MATCH($A21,Data_metier!$B:$B,0))="Oui, en amont ET aval"),
0.5,
0))))</f>
        <v>-1</v>
      </c>
      <c r="Y21">
        <f>IF(DE_ress_transv!Y21=-1,-1,
DE_ress_transv!Y21+IF(AND(INDEX(Data_metier!$G:$G,MATCH(Y$1,Data_metier!$B:$B,0))="Non",
INDEX(Data_metier!$G:$G,MATCH($A21,Data_metier!$B:$B,0))="Oui, en amont OU aval"),
0.5,
IF(AND(INDEX(Data_metier!$G:$G,MATCH(Y$1,Data_metier!$B:$B,0))="Non",
INDEX(Data_metier!$G:$G,MATCH($A21,Data_metier!$B:$B,0))="Oui, en amont ET aval"),
1,
IF(AND(INDEX(Data_metier!$G:$G,MATCH(Y$1,Data_metier!$B:$B,0))="Oui, en amont OU aval",
INDEX(Data_metier!$G:$G,MATCH($A21,Data_metier!$B:$B,0))="Oui, en amont ET aval"),
0.5,
0))))</f>
        <v>0</v>
      </c>
      <c r="Z21">
        <f>IF(DE_ress_transv!Z21=-1,-1,
DE_ress_transv!Z21+IF(AND(INDEX(Data_metier!$G:$G,MATCH(Z$1,Data_metier!$B:$B,0))="Non",
INDEX(Data_metier!$G:$G,MATCH($A21,Data_metier!$B:$B,0))="Oui, en amont OU aval"),
0.5,
IF(AND(INDEX(Data_metier!$G:$G,MATCH(Z$1,Data_metier!$B:$B,0))="Non",
INDEX(Data_metier!$G:$G,MATCH($A21,Data_metier!$B:$B,0))="Oui, en amont ET aval"),
1,
IF(AND(INDEX(Data_metier!$G:$G,MATCH(Z$1,Data_metier!$B:$B,0))="Oui, en amont OU aval",
INDEX(Data_metier!$G:$G,MATCH($A21,Data_metier!$B:$B,0))="Oui, en amont ET aval"),
0.5,
0))))</f>
        <v>0</v>
      </c>
      <c r="AA21">
        <f>IF(DE_ress_transv!AA21=-1,-1,
DE_ress_transv!AA21+IF(AND(INDEX(Data_metier!$G:$G,MATCH(AA$1,Data_metier!$B:$B,0))="Non",
INDEX(Data_metier!$G:$G,MATCH($A21,Data_metier!$B:$B,0))="Oui, en amont OU aval"),
0.5,
IF(AND(INDEX(Data_metier!$G:$G,MATCH(AA$1,Data_metier!$B:$B,0))="Non",
INDEX(Data_metier!$G:$G,MATCH($A21,Data_metier!$B:$B,0))="Oui, en amont ET aval"),
1,
IF(AND(INDEX(Data_metier!$G:$G,MATCH(AA$1,Data_metier!$B:$B,0))="Oui, en amont OU aval",
INDEX(Data_metier!$G:$G,MATCH($A21,Data_metier!$B:$B,0))="Oui, en amont ET aval"),
0.5,
0))))</f>
        <v>0</v>
      </c>
      <c r="AB21">
        <f>IF(DE_ress_transv!AB21=-1,-1,
DE_ress_transv!AB21+IF(AND(INDEX(Data_metier!$G:$G,MATCH(AB$1,Data_metier!$B:$B,0))="Non",
INDEX(Data_metier!$G:$G,MATCH($A21,Data_metier!$B:$B,0))="Oui, en amont OU aval"),
0.5,
IF(AND(INDEX(Data_metier!$G:$G,MATCH(AB$1,Data_metier!$B:$B,0))="Non",
INDEX(Data_metier!$G:$G,MATCH($A21,Data_metier!$B:$B,0))="Oui, en amont ET aval"),
1,
IF(AND(INDEX(Data_metier!$G:$G,MATCH(AB$1,Data_metier!$B:$B,0))="Oui, en amont OU aval",
INDEX(Data_metier!$G:$G,MATCH($A21,Data_metier!$B:$B,0))="Oui, en amont ET aval"),
0.5,
0))))</f>
        <v>-1</v>
      </c>
      <c r="AC21">
        <f>IF(DE_ress_transv!AC21=-1,-1,
DE_ress_transv!AC21+IF(AND(INDEX(Data_metier!$G:$G,MATCH(AC$1,Data_metier!$B:$B,0))="Non",
INDEX(Data_metier!$G:$G,MATCH($A21,Data_metier!$B:$B,0))="Oui, en amont OU aval"),
0.5,
IF(AND(INDEX(Data_metier!$G:$G,MATCH(AC$1,Data_metier!$B:$B,0))="Non",
INDEX(Data_metier!$G:$G,MATCH($A21,Data_metier!$B:$B,0))="Oui, en amont ET aval"),
1,
IF(AND(INDEX(Data_metier!$G:$G,MATCH(AC$1,Data_metier!$B:$B,0))="Oui, en amont OU aval",
INDEX(Data_metier!$G:$G,MATCH($A21,Data_metier!$B:$B,0))="Oui, en amont ET aval"),
0.5,
0))))</f>
        <v>-1</v>
      </c>
      <c r="AD21">
        <f>IF(DE_ress_transv!AD21=-1,-1,
DE_ress_transv!AD21+IF(AND(INDEX(Data_metier!$G:$G,MATCH(AD$1,Data_metier!$B:$B,0))="Non",
INDEX(Data_metier!$G:$G,MATCH($A21,Data_metier!$B:$B,0))="Oui, en amont OU aval"),
0.5,
IF(AND(INDEX(Data_metier!$G:$G,MATCH(AD$1,Data_metier!$B:$B,0))="Non",
INDEX(Data_metier!$G:$G,MATCH($A21,Data_metier!$B:$B,0))="Oui, en amont ET aval"),
1,
IF(AND(INDEX(Data_metier!$G:$G,MATCH(AD$1,Data_metier!$B:$B,0))="Oui, en amont OU aval",
INDEX(Data_metier!$G:$G,MATCH($A21,Data_metier!$B:$B,0))="Oui, en amont ET aval"),
0.5,
0))))</f>
        <v>-1</v>
      </c>
    </row>
    <row r="22" spans="1:30">
      <c r="A22" s="55" t="str">
        <v>Conducteur(trice) de ligne(s)de production alimentaire (fabrication/conditionnement)</v>
      </c>
      <c r="B22">
        <f>IF(DE_ress_transv!B22=-1,-1,
DE_ress_transv!B22+IF(AND(INDEX(Data_metier!$G:$G,MATCH(B$1,Data_metier!$B:$B,0))="Non",
INDEX(Data_metier!$G:$G,MATCH($A22,Data_metier!$B:$B,0))="Oui, en amont OU aval"),
0.5,
IF(AND(INDEX(Data_metier!$G:$G,MATCH(B$1,Data_metier!$B:$B,0))="Non",
INDEX(Data_metier!$G:$G,MATCH($A22,Data_metier!$B:$B,0))="Oui, en amont ET aval"),
1,
IF(AND(INDEX(Data_metier!$G:$G,MATCH(B$1,Data_metier!$B:$B,0))="Oui, en amont OU aval",
INDEX(Data_metier!$G:$G,MATCH($A22,Data_metier!$B:$B,0))="Oui, en amont ET aval"),
0.5,
0))))</f>
        <v>0.5</v>
      </c>
      <c r="C22">
        <f>IF(DE_ress_transv!C22=-1,-1,
DE_ress_transv!C22+IF(AND(INDEX(Data_metier!$G:$G,MATCH(C$1,Data_metier!$B:$B,0))="Non",
INDEX(Data_metier!$G:$G,MATCH($A22,Data_metier!$B:$B,0))="Oui, en amont OU aval"),
0.5,
IF(AND(INDEX(Data_metier!$G:$G,MATCH(C$1,Data_metier!$B:$B,0))="Non",
INDEX(Data_metier!$G:$G,MATCH($A22,Data_metier!$B:$B,0))="Oui, en amont ET aval"),
1,
IF(AND(INDEX(Data_metier!$G:$G,MATCH(C$1,Data_metier!$B:$B,0))="Oui, en amont OU aval",
INDEX(Data_metier!$G:$G,MATCH($A22,Data_metier!$B:$B,0))="Oui, en amont ET aval"),
0.5,
0))))</f>
        <v>0.66666666666666663</v>
      </c>
      <c r="D22">
        <f>IF(DE_ress_transv!D22=-1,-1,
DE_ress_transv!D22+IF(AND(INDEX(Data_metier!$G:$G,MATCH(D$1,Data_metier!$B:$B,0))="Non",
INDEX(Data_metier!$G:$G,MATCH($A22,Data_metier!$B:$B,0))="Oui, en amont OU aval"),
0.5,
IF(AND(INDEX(Data_metier!$G:$G,MATCH(D$1,Data_metier!$B:$B,0))="Non",
INDEX(Data_metier!$G:$G,MATCH($A22,Data_metier!$B:$B,0))="Oui, en amont ET aval"),
1,
IF(AND(INDEX(Data_metier!$G:$G,MATCH(D$1,Data_metier!$B:$B,0))="Oui, en amont OU aval",
INDEX(Data_metier!$G:$G,MATCH($A22,Data_metier!$B:$B,0))="Oui, en amont ET aval"),
0.5,
0))))</f>
        <v>2</v>
      </c>
      <c r="E22">
        <f>IF(DE_ress_transv!E22=-1,-1,
DE_ress_transv!E22+IF(AND(INDEX(Data_metier!$G:$G,MATCH(E$1,Data_metier!$B:$B,0))="Non",
INDEX(Data_metier!$G:$G,MATCH($A22,Data_metier!$B:$B,0))="Oui, en amont OU aval"),
0.5,
IF(AND(INDEX(Data_metier!$G:$G,MATCH(E$1,Data_metier!$B:$B,0))="Non",
INDEX(Data_metier!$G:$G,MATCH($A22,Data_metier!$B:$B,0))="Oui, en amont ET aval"),
1,
IF(AND(INDEX(Data_metier!$G:$G,MATCH(E$1,Data_metier!$B:$B,0))="Oui, en amont OU aval",
INDEX(Data_metier!$G:$G,MATCH($A22,Data_metier!$B:$B,0))="Oui, en amont ET aval"),
0.5,
0))))</f>
        <v>-1</v>
      </c>
      <c r="F22">
        <f>IF(DE_ress_transv!F22=-1,-1,
DE_ress_transv!F22+IF(AND(INDEX(Data_metier!$G:$G,MATCH(F$1,Data_metier!$B:$B,0))="Non",
INDEX(Data_metier!$G:$G,MATCH($A22,Data_metier!$B:$B,0))="Oui, en amont OU aval"),
0.5,
IF(AND(INDEX(Data_metier!$G:$G,MATCH(F$1,Data_metier!$B:$B,0))="Non",
INDEX(Data_metier!$G:$G,MATCH($A22,Data_metier!$B:$B,0))="Oui, en amont ET aval"),
1,
IF(AND(INDEX(Data_metier!$G:$G,MATCH(F$1,Data_metier!$B:$B,0))="Oui, en amont OU aval",
INDEX(Data_metier!$G:$G,MATCH($A22,Data_metier!$B:$B,0))="Oui, en amont ET aval"),
0.5,
0))))</f>
        <v>-1</v>
      </c>
      <c r="G22">
        <f>IF(DE_ress_transv!G22=-1,-1,
DE_ress_transv!G22+IF(AND(INDEX(Data_metier!$G:$G,MATCH(G$1,Data_metier!$B:$B,0))="Non",
INDEX(Data_metier!$G:$G,MATCH($A22,Data_metier!$B:$B,0))="Oui, en amont OU aval"),
0.5,
IF(AND(INDEX(Data_metier!$G:$G,MATCH(G$1,Data_metier!$B:$B,0))="Non",
INDEX(Data_metier!$G:$G,MATCH($A22,Data_metier!$B:$B,0))="Oui, en amont ET aval"),
1,
IF(AND(INDEX(Data_metier!$G:$G,MATCH(G$1,Data_metier!$B:$B,0))="Oui, en amont OU aval",
INDEX(Data_metier!$G:$G,MATCH($A22,Data_metier!$B:$B,0))="Oui, en amont ET aval"),
0.5,
0))))</f>
        <v>-1</v>
      </c>
      <c r="H22">
        <f>IF(DE_ress_transv!H22=-1,-1,
DE_ress_transv!H22+IF(AND(INDEX(Data_metier!$G:$G,MATCH(H$1,Data_metier!$B:$B,0))="Non",
INDEX(Data_metier!$G:$G,MATCH($A22,Data_metier!$B:$B,0))="Oui, en amont OU aval"),
0.5,
IF(AND(INDEX(Data_metier!$G:$G,MATCH(H$1,Data_metier!$B:$B,0))="Non",
INDEX(Data_metier!$G:$G,MATCH($A22,Data_metier!$B:$B,0))="Oui, en amont ET aval"),
1,
IF(AND(INDEX(Data_metier!$G:$G,MATCH(H$1,Data_metier!$B:$B,0))="Oui, en amont OU aval",
INDEX(Data_metier!$G:$G,MATCH($A22,Data_metier!$B:$B,0))="Oui, en amont ET aval"),
0.5,
0))))</f>
        <v>-1</v>
      </c>
      <c r="I22">
        <f>IF(DE_ress_transv!I22=-1,-1,
DE_ress_transv!I22+IF(AND(INDEX(Data_metier!$G:$G,MATCH(I$1,Data_metier!$B:$B,0))="Non",
INDEX(Data_metier!$G:$G,MATCH($A22,Data_metier!$B:$B,0))="Oui, en amont OU aval"),
0.5,
IF(AND(INDEX(Data_metier!$G:$G,MATCH(I$1,Data_metier!$B:$B,0))="Non",
INDEX(Data_metier!$G:$G,MATCH($A22,Data_metier!$B:$B,0))="Oui, en amont ET aval"),
1,
IF(AND(INDEX(Data_metier!$G:$G,MATCH(I$1,Data_metier!$B:$B,0))="Oui, en amont OU aval",
INDEX(Data_metier!$G:$G,MATCH($A22,Data_metier!$B:$B,0))="Oui, en amont ET aval"),
0.5,
0))))</f>
        <v>2</v>
      </c>
      <c r="J22">
        <f>IF(DE_ress_transv!J22=-1,-1,
DE_ress_transv!J22+IF(AND(INDEX(Data_metier!$G:$G,MATCH(J$1,Data_metier!$B:$B,0))="Non",
INDEX(Data_metier!$G:$G,MATCH($A22,Data_metier!$B:$B,0))="Oui, en amont OU aval"),
0.5,
IF(AND(INDEX(Data_metier!$G:$G,MATCH(J$1,Data_metier!$B:$B,0))="Non",
INDEX(Data_metier!$G:$G,MATCH($A22,Data_metier!$B:$B,0))="Oui, en amont ET aval"),
1,
IF(AND(INDEX(Data_metier!$G:$G,MATCH(J$1,Data_metier!$B:$B,0))="Oui, en amont OU aval",
INDEX(Data_metier!$G:$G,MATCH($A22,Data_metier!$B:$B,0))="Oui, en amont ET aval"),
0.5,
0))))</f>
        <v>-1</v>
      </c>
      <c r="K22">
        <f>IF(DE_ress_transv!K22=-1,-1,
DE_ress_transv!K22+IF(AND(INDEX(Data_metier!$G:$G,MATCH(K$1,Data_metier!$B:$B,0))="Non",
INDEX(Data_metier!$G:$G,MATCH($A22,Data_metier!$B:$B,0))="Oui, en amont OU aval"),
0.5,
IF(AND(INDEX(Data_metier!$G:$G,MATCH(K$1,Data_metier!$B:$B,0))="Non",
INDEX(Data_metier!$G:$G,MATCH($A22,Data_metier!$B:$B,0))="Oui, en amont ET aval"),
1,
IF(AND(INDEX(Data_metier!$G:$G,MATCH(K$1,Data_metier!$B:$B,0))="Oui, en amont OU aval",
INDEX(Data_metier!$G:$G,MATCH($A22,Data_metier!$B:$B,0))="Oui, en amont ET aval"),
0.5,
0))))</f>
        <v>-1</v>
      </c>
      <c r="L22">
        <f>IF(DE_ress_transv!L22=-1,-1,
DE_ress_transv!L22+IF(AND(INDEX(Data_metier!$G:$G,MATCH(L$1,Data_metier!$B:$B,0))="Non",
INDEX(Data_metier!$G:$G,MATCH($A22,Data_metier!$B:$B,0))="Oui, en amont OU aval"),
0.5,
IF(AND(INDEX(Data_metier!$G:$G,MATCH(L$1,Data_metier!$B:$B,0))="Non",
INDEX(Data_metier!$G:$G,MATCH($A22,Data_metier!$B:$B,0))="Oui, en amont ET aval"),
1,
IF(AND(INDEX(Data_metier!$G:$G,MATCH(L$1,Data_metier!$B:$B,0))="Oui, en amont OU aval",
INDEX(Data_metier!$G:$G,MATCH($A22,Data_metier!$B:$B,0))="Oui, en amont ET aval"),
0.5,
0))))</f>
        <v>1.5</v>
      </c>
      <c r="M22">
        <f>IF(DE_ress_transv!M22=-1,-1,
DE_ress_transv!M22+IF(AND(INDEX(Data_metier!$G:$G,MATCH(M$1,Data_metier!$B:$B,0))="Non",
INDEX(Data_metier!$G:$G,MATCH($A22,Data_metier!$B:$B,0))="Oui, en amont OU aval"),
0.5,
IF(AND(INDEX(Data_metier!$G:$G,MATCH(M$1,Data_metier!$B:$B,0))="Non",
INDEX(Data_metier!$G:$G,MATCH($A22,Data_metier!$B:$B,0))="Oui, en amont ET aval"),
1,
IF(AND(INDEX(Data_metier!$G:$G,MATCH(M$1,Data_metier!$B:$B,0))="Oui, en amont OU aval",
INDEX(Data_metier!$G:$G,MATCH($A22,Data_metier!$B:$B,0))="Oui, en amont ET aval"),
0.5,
0))))</f>
        <v>0.83333333333333326</v>
      </c>
      <c r="N22">
        <f>IF(DE_ress_transv!N22=-1,-1,
DE_ress_transv!N22+IF(AND(INDEX(Data_metier!$G:$G,MATCH(N$1,Data_metier!$B:$B,0))="Non",
INDEX(Data_metier!$G:$G,MATCH($A22,Data_metier!$B:$B,0))="Oui, en amont OU aval"),
0.5,
IF(AND(INDEX(Data_metier!$G:$G,MATCH(N$1,Data_metier!$B:$B,0))="Non",
INDEX(Data_metier!$G:$G,MATCH($A22,Data_metier!$B:$B,0))="Oui, en amont ET aval"),
1,
IF(AND(INDEX(Data_metier!$G:$G,MATCH(N$1,Data_metier!$B:$B,0))="Oui, en amont OU aval",
INDEX(Data_metier!$G:$G,MATCH($A22,Data_metier!$B:$B,0))="Oui, en amont ET aval"),
0.5,
0))))</f>
        <v>-1</v>
      </c>
      <c r="O22">
        <f>IF(DE_ress_transv!O22=-1,-1,
DE_ress_transv!O22+IF(AND(INDEX(Data_metier!$G:$G,MATCH(O$1,Data_metier!$B:$B,0))="Non",
INDEX(Data_metier!$G:$G,MATCH($A22,Data_metier!$B:$B,0))="Oui, en amont OU aval"),
0.5,
IF(AND(INDEX(Data_metier!$G:$G,MATCH(O$1,Data_metier!$B:$B,0))="Non",
INDEX(Data_metier!$G:$G,MATCH($A22,Data_metier!$B:$B,0))="Oui, en amont ET aval"),
1,
IF(AND(INDEX(Data_metier!$G:$G,MATCH(O$1,Data_metier!$B:$B,0))="Oui, en amont OU aval",
INDEX(Data_metier!$G:$G,MATCH($A22,Data_metier!$B:$B,0))="Oui, en amont ET aval"),
0.5,
0))))</f>
        <v>1.5</v>
      </c>
      <c r="P22">
        <f>IF(DE_ress_transv!P22=-1,-1,
DE_ress_transv!P22+IF(AND(INDEX(Data_metier!$G:$G,MATCH(P$1,Data_metier!$B:$B,0))="Non",
INDEX(Data_metier!$G:$G,MATCH($A22,Data_metier!$B:$B,0))="Oui, en amont OU aval"),
0.5,
IF(AND(INDEX(Data_metier!$G:$G,MATCH(P$1,Data_metier!$B:$B,0))="Non",
INDEX(Data_metier!$G:$G,MATCH($A22,Data_metier!$B:$B,0))="Oui, en amont ET aval"),
1,
IF(AND(INDEX(Data_metier!$G:$G,MATCH(P$1,Data_metier!$B:$B,0))="Oui, en amont OU aval",
INDEX(Data_metier!$G:$G,MATCH($A22,Data_metier!$B:$B,0))="Oui, en amont ET aval"),
0.5,
0))))</f>
        <v>2</v>
      </c>
      <c r="Q22">
        <f>IF(DE_ress_transv!Q22=-1,-1,
DE_ress_transv!Q22+IF(AND(INDEX(Data_metier!$G:$G,MATCH(Q$1,Data_metier!$B:$B,0))="Non",
INDEX(Data_metier!$G:$G,MATCH($A22,Data_metier!$B:$B,0))="Oui, en amont OU aval"),
0.5,
IF(AND(INDEX(Data_metier!$G:$G,MATCH(Q$1,Data_metier!$B:$B,0))="Non",
INDEX(Data_metier!$G:$G,MATCH($A22,Data_metier!$B:$B,0))="Oui, en amont ET aval"),
1,
IF(AND(INDEX(Data_metier!$G:$G,MATCH(Q$1,Data_metier!$B:$B,0))="Oui, en amont OU aval",
INDEX(Data_metier!$G:$G,MATCH($A22,Data_metier!$B:$B,0))="Oui, en amont ET aval"),
0.5,
0))))</f>
        <v>-1</v>
      </c>
      <c r="R22">
        <f>IF(DE_ress_transv!R22=-1,-1,
DE_ress_transv!R22+IF(AND(INDEX(Data_metier!$G:$G,MATCH(R$1,Data_metier!$B:$B,0))="Non",
INDEX(Data_metier!$G:$G,MATCH($A22,Data_metier!$B:$B,0))="Oui, en amont OU aval"),
0.5,
IF(AND(INDEX(Data_metier!$G:$G,MATCH(R$1,Data_metier!$B:$B,0))="Non",
INDEX(Data_metier!$G:$G,MATCH($A22,Data_metier!$B:$B,0))="Oui, en amont ET aval"),
1,
IF(AND(INDEX(Data_metier!$G:$G,MATCH(R$1,Data_metier!$B:$B,0))="Oui, en amont OU aval",
INDEX(Data_metier!$G:$G,MATCH($A22,Data_metier!$B:$B,0))="Oui, en amont ET aval"),
0.5,
0))))</f>
        <v>-1</v>
      </c>
      <c r="S22">
        <f>IF(DE_ress_transv!S22=-1,-1,
DE_ress_transv!S22+IF(AND(INDEX(Data_metier!$G:$G,MATCH(S$1,Data_metier!$B:$B,0))="Non",
INDEX(Data_metier!$G:$G,MATCH($A22,Data_metier!$B:$B,0))="Oui, en amont OU aval"),
0.5,
IF(AND(INDEX(Data_metier!$G:$G,MATCH(S$1,Data_metier!$B:$B,0))="Non",
INDEX(Data_metier!$G:$G,MATCH($A22,Data_metier!$B:$B,0))="Oui, en amont ET aval"),
1,
IF(AND(INDEX(Data_metier!$G:$G,MATCH(S$1,Data_metier!$B:$B,0))="Oui, en amont OU aval",
INDEX(Data_metier!$G:$G,MATCH($A22,Data_metier!$B:$B,0))="Oui, en amont ET aval"),
0.5,
0))))</f>
        <v>2</v>
      </c>
      <c r="T22">
        <f>IF(DE_ress_transv!T22=-1,-1,
DE_ress_transv!T22+IF(AND(INDEX(Data_metier!$G:$G,MATCH(T$1,Data_metier!$B:$B,0))="Non",
INDEX(Data_metier!$G:$G,MATCH($A22,Data_metier!$B:$B,0))="Oui, en amont OU aval"),
0.5,
IF(AND(INDEX(Data_metier!$G:$G,MATCH(T$1,Data_metier!$B:$B,0))="Non",
INDEX(Data_metier!$G:$G,MATCH($A22,Data_metier!$B:$B,0))="Oui, en amont ET aval"),
1,
IF(AND(INDEX(Data_metier!$G:$G,MATCH(T$1,Data_metier!$B:$B,0))="Oui, en amont OU aval",
INDEX(Data_metier!$G:$G,MATCH($A22,Data_metier!$B:$B,0))="Oui, en amont ET aval"),
0.5,
0))))</f>
        <v>1.8333333333333335</v>
      </c>
      <c r="U22">
        <f>IF(DE_ress_transv!U22=-1,-1,
DE_ress_transv!U22+IF(AND(INDEX(Data_metier!$G:$G,MATCH(U$1,Data_metier!$B:$B,0))="Non",
INDEX(Data_metier!$G:$G,MATCH($A22,Data_metier!$B:$B,0))="Oui, en amont OU aval"),
0.5,
IF(AND(INDEX(Data_metier!$G:$G,MATCH(U$1,Data_metier!$B:$B,0))="Non",
INDEX(Data_metier!$G:$G,MATCH($A22,Data_metier!$B:$B,0))="Oui, en amont ET aval"),
1,
IF(AND(INDEX(Data_metier!$G:$G,MATCH(U$1,Data_metier!$B:$B,0))="Oui, en amont OU aval",
INDEX(Data_metier!$G:$G,MATCH($A22,Data_metier!$B:$B,0))="Oui, en amont ET aval"),
0.5,
0))))</f>
        <v>2</v>
      </c>
      <c r="V22">
        <f>IF(DE_ress_transv!V22=-1,-1,
DE_ress_transv!V22+IF(AND(INDEX(Data_metier!$G:$G,MATCH(V$1,Data_metier!$B:$B,0))="Non",
INDEX(Data_metier!$G:$G,MATCH($A22,Data_metier!$B:$B,0))="Oui, en amont OU aval"),
0.5,
IF(AND(INDEX(Data_metier!$G:$G,MATCH(V$1,Data_metier!$B:$B,0))="Non",
INDEX(Data_metier!$G:$G,MATCH($A22,Data_metier!$B:$B,0))="Oui, en amont ET aval"),
1,
IF(AND(INDEX(Data_metier!$G:$G,MATCH(V$1,Data_metier!$B:$B,0))="Oui, en amont OU aval",
INDEX(Data_metier!$G:$G,MATCH($A22,Data_metier!$B:$B,0))="Oui, en amont ET aval"),
0.5,
0))))</f>
        <v>0</v>
      </c>
      <c r="W22">
        <f>IF(DE_ress_transv!W22=-1,-1,
DE_ress_transv!W22+IF(AND(INDEX(Data_metier!$G:$G,MATCH(W$1,Data_metier!$B:$B,0))="Non",
INDEX(Data_metier!$G:$G,MATCH($A22,Data_metier!$B:$B,0))="Oui, en amont OU aval"),
0.5,
IF(AND(INDEX(Data_metier!$G:$G,MATCH(W$1,Data_metier!$B:$B,0))="Non",
INDEX(Data_metier!$G:$G,MATCH($A22,Data_metier!$B:$B,0))="Oui, en amont ET aval"),
1,
IF(AND(INDEX(Data_metier!$G:$G,MATCH(W$1,Data_metier!$B:$B,0))="Oui, en amont OU aval",
INDEX(Data_metier!$G:$G,MATCH($A22,Data_metier!$B:$B,0))="Oui, en amont ET aval"),
0.5,
0))))</f>
        <v>0</v>
      </c>
      <c r="X22">
        <f>IF(DE_ress_transv!X22=-1,-1,
DE_ress_transv!X22+IF(AND(INDEX(Data_metier!$G:$G,MATCH(X$1,Data_metier!$B:$B,0))="Non",
INDEX(Data_metier!$G:$G,MATCH($A22,Data_metier!$B:$B,0))="Oui, en amont OU aval"),
0.5,
IF(AND(INDEX(Data_metier!$G:$G,MATCH(X$1,Data_metier!$B:$B,0))="Non",
INDEX(Data_metier!$G:$G,MATCH($A22,Data_metier!$B:$B,0))="Oui, en amont ET aval"),
1,
IF(AND(INDEX(Data_metier!$G:$G,MATCH(X$1,Data_metier!$B:$B,0))="Oui, en amont OU aval",
INDEX(Data_metier!$G:$G,MATCH($A22,Data_metier!$B:$B,0))="Oui, en amont ET aval"),
0.5,
0))))</f>
        <v>-1</v>
      </c>
      <c r="Y22">
        <f>IF(DE_ress_transv!Y22=-1,-1,
DE_ress_transv!Y22+IF(AND(INDEX(Data_metier!$G:$G,MATCH(Y$1,Data_metier!$B:$B,0))="Non",
INDEX(Data_metier!$G:$G,MATCH($A22,Data_metier!$B:$B,0))="Oui, en amont OU aval"),
0.5,
IF(AND(INDEX(Data_metier!$G:$G,MATCH(Y$1,Data_metier!$B:$B,0))="Non",
INDEX(Data_metier!$G:$G,MATCH($A22,Data_metier!$B:$B,0))="Oui, en amont ET aval"),
1,
IF(AND(INDEX(Data_metier!$G:$G,MATCH(Y$1,Data_metier!$B:$B,0))="Oui, en amont OU aval",
INDEX(Data_metier!$G:$G,MATCH($A22,Data_metier!$B:$B,0))="Oui, en amont ET aval"),
0.5,
0))))</f>
        <v>2</v>
      </c>
      <c r="Z22">
        <f>IF(DE_ress_transv!Z22=-1,-1,
DE_ress_transv!Z22+IF(AND(INDEX(Data_metier!$G:$G,MATCH(Z$1,Data_metier!$B:$B,0))="Non",
INDEX(Data_metier!$G:$G,MATCH($A22,Data_metier!$B:$B,0))="Oui, en amont OU aval"),
0.5,
IF(AND(INDEX(Data_metier!$G:$G,MATCH(Z$1,Data_metier!$B:$B,0))="Non",
INDEX(Data_metier!$G:$G,MATCH($A22,Data_metier!$B:$B,0))="Oui, en amont ET aval"),
1,
IF(AND(INDEX(Data_metier!$G:$G,MATCH(Z$1,Data_metier!$B:$B,0))="Oui, en amont OU aval",
INDEX(Data_metier!$G:$G,MATCH($A22,Data_metier!$B:$B,0))="Oui, en amont ET aval"),
0.5,
0))))</f>
        <v>2</v>
      </c>
      <c r="AA22">
        <f>IF(DE_ress_transv!AA22=-1,-1,
DE_ress_transv!AA22+IF(AND(INDEX(Data_metier!$G:$G,MATCH(AA$1,Data_metier!$B:$B,0))="Non",
INDEX(Data_metier!$G:$G,MATCH($A22,Data_metier!$B:$B,0))="Oui, en amont OU aval"),
0.5,
IF(AND(INDEX(Data_metier!$G:$G,MATCH(AA$1,Data_metier!$B:$B,0))="Non",
INDEX(Data_metier!$G:$G,MATCH($A22,Data_metier!$B:$B,0))="Oui, en amont ET aval"),
1,
IF(AND(INDEX(Data_metier!$G:$G,MATCH(AA$1,Data_metier!$B:$B,0))="Oui, en amont OU aval",
INDEX(Data_metier!$G:$G,MATCH($A22,Data_metier!$B:$B,0))="Oui, en amont ET aval"),
0.5,
0))))</f>
        <v>2</v>
      </c>
      <c r="AB22">
        <f>IF(DE_ress_transv!AB22=-1,-1,
DE_ress_transv!AB22+IF(AND(INDEX(Data_metier!$G:$G,MATCH(AB$1,Data_metier!$B:$B,0))="Non",
INDEX(Data_metier!$G:$G,MATCH($A22,Data_metier!$B:$B,0))="Oui, en amont OU aval"),
0.5,
IF(AND(INDEX(Data_metier!$G:$G,MATCH(AB$1,Data_metier!$B:$B,0))="Non",
INDEX(Data_metier!$G:$G,MATCH($A22,Data_metier!$B:$B,0))="Oui, en amont ET aval"),
1,
IF(AND(INDEX(Data_metier!$G:$G,MATCH(AB$1,Data_metier!$B:$B,0))="Oui, en amont OU aval",
INDEX(Data_metier!$G:$G,MATCH($A22,Data_metier!$B:$B,0))="Oui, en amont ET aval"),
0.5,
0))))</f>
        <v>0.16666666666666666</v>
      </c>
      <c r="AC22">
        <f>IF(DE_ress_transv!AC22=-1,-1,
DE_ress_transv!AC22+IF(AND(INDEX(Data_metier!$G:$G,MATCH(AC$1,Data_metier!$B:$B,0))="Non",
INDEX(Data_metier!$G:$G,MATCH($A22,Data_metier!$B:$B,0))="Oui, en amont OU aval"),
0.5,
IF(AND(INDEX(Data_metier!$G:$G,MATCH(AC$1,Data_metier!$B:$B,0))="Non",
INDEX(Data_metier!$G:$G,MATCH($A22,Data_metier!$B:$B,0))="Oui, en amont ET aval"),
1,
IF(AND(INDEX(Data_metier!$G:$G,MATCH(AC$1,Data_metier!$B:$B,0))="Oui, en amont OU aval",
INDEX(Data_metier!$G:$G,MATCH($A22,Data_metier!$B:$B,0))="Oui, en amont ET aval"),
0.5,
0))))</f>
        <v>0.16666666666666666</v>
      </c>
      <c r="AD22">
        <f>IF(DE_ress_transv!AD22=-1,-1,
DE_ress_transv!AD22+IF(AND(INDEX(Data_metier!$G:$G,MATCH(AD$1,Data_metier!$B:$B,0))="Non",
INDEX(Data_metier!$G:$G,MATCH($A22,Data_metier!$B:$B,0))="Oui, en amont OU aval"),
0.5,
IF(AND(INDEX(Data_metier!$G:$G,MATCH(AD$1,Data_metier!$B:$B,0))="Non",
INDEX(Data_metier!$G:$G,MATCH($A22,Data_metier!$B:$B,0))="Oui, en amont ET aval"),
1,
IF(AND(INDEX(Data_metier!$G:$G,MATCH(AD$1,Data_metier!$B:$B,0))="Oui, en amont OU aval",
INDEX(Data_metier!$G:$G,MATCH($A22,Data_metier!$B:$B,0))="Oui, en amont ET aval"),
0.5,
0))))</f>
        <v>-1</v>
      </c>
    </row>
    <row r="23" spans="1:30">
      <c r="A23" s="55" t="str">
        <v>Conducteur(trice) de process de production alimentaire</v>
      </c>
      <c r="B23">
        <f>IF(DE_ress_transv!B23=-1,-1,
DE_ress_transv!B23+IF(AND(INDEX(Data_metier!$G:$G,MATCH(B$1,Data_metier!$B:$B,0))="Non",
INDEX(Data_metier!$G:$G,MATCH($A23,Data_metier!$B:$B,0))="Oui, en amont OU aval"),
0.5,
IF(AND(INDEX(Data_metier!$G:$G,MATCH(B$1,Data_metier!$B:$B,0))="Non",
INDEX(Data_metier!$G:$G,MATCH($A23,Data_metier!$B:$B,0))="Oui, en amont ET aval"),
1,
IF(AND(INDEX(Data_metier!$G:$G,MATCH(B$1,Data_metier!$B:$B,0))="Oui, en amont OU aval",
INDEX(Data_metier!$G:$G,MATCH($A23,Data_metier!$B:$B,0))="Oui, en amont ET aval"),
0.5,
0))))</f>
        <v>0.99999999999999989</v>
      </c>
      <c r="C23">
        <f>IF(DE_ress_transv!C23=-1,-1,
DE_ress_transv!C23+IF(AND(INDEX(Data_metier!$G:$G,MATCH(C$1,Data_metier!$B:$B,0))="Non",
INDEX(Data_metier!$G:$G,MATCH($A23,Data_metier!$B:$B,0))="Oui, en amont OU aval"),
0.5,
IF(AND(INDEX(Data_metier!$G:$G,MATCH(C$1,Data_metier!$B:$B,0))="Non",
INDEX(Data_metier!$G:$G,MATCH($A23,Data_metier!$B:$B,0))="Oui, en amont ET aval"),
1,
IF(AND(INDEX(Data_metier!$G:$G,MATCH(C$1,Data_metier!$B:$B,0))="Oui, en amont OU aval",
INDEX(Data_metier!$G:$G,MATCH($A23,Data_metier!$B:$B,0))="Oui, en amont ET aval"),
0.5,
0))))</f>
        <v>1.1666666666666665</v>
      </c>
      <c r="D23">
        <f>IF(DE_ress_transv!D23=-1,-1,
DE_ress_transv!D23+IF(AND(INDEX(Data_metier!$G:$G,MATCH(D$1,Data_metier!$B:$B,0))="Non",
INDEX(Data_metier!$G:$G,MATCH($A23,Data_metier!$B:$B,0))="Oui, en amont OU aval"),
0.5,
IF(AND(INDEX(Data_metier!$G:$G,MATCH(D$1,Data_metier!$B:$B,0))="Non",
INDEX(Data_metier!$G:$G,MATCH($A23,Data_metier!$B:$B,0))="Oui, en amont ET aval"),
1,
IF(AND(INDEX(Data_metier!$G:$G,MATCH(D$1,Data_metier!$B:$B,0))="Oui, en amont OU aval",
INDEX(Data_metier!$G:$G,MATCH($A23,Data_metier!$B:$B,0))="Oui, en amont ET aval"),
0.5,
0))))</f>
        <v>2.5</v>
      </c>
      <c r="E23">
        <f>IF(DE_ress_transv!E23=-1,-1,
DE_ress_transv!E23+IF(AND(INDEX(Data_metier!$G:$G,MATCH(E$1,Data_metier!$B:$B,0))="Non",
INDEX(Data_metier!$G:$G,MATCH($A23,Data_metier!$B:$B,0))="Oui, en amont OU aval"),
0.5,
IF(AND(INDEX(Data_metier!$G:$G,MATCH(E$1,Data_metier!$B:$B,0))="Non",
INDEX(Data_metier!$G:$G,MATCH($A23,Data_metier!$B:$B,0))="Oui, en amont ET aval"),
1,
IF(AND(INDEX(Data_metier!$G:$G,MATCH(E$1,Data_metier!$B:$B,0))="Oui, en amont OU aval",
INDEX(Data_metier!$G:$G,MATCH($A23,Data_metier!$B:$B,0))="Oui, en amont ET aval"),
0.5,
0))))</f>
        <v>-1</v>
      </c>
      <c r="F23">
        <f>IF(DE_ress_transv!F23=-1,-1,
DE_ress_transv!F23+IF(AND(INDEX(Data_metier!$G:$G,MATCH(F$1,Data_metier!$B:$B,0))="Non",
INDEX(Data_metier!$G:$G,MATCH($A23,Data_metier!$B:$B,0))="Oui, en amont OU aval"),
0.5,
IF(AND(INDEX(Data_metier!$G:$G,MATCH(F$1,Data_metier!$B:$B,0))="Non",
INDEX(Data_metier!$G:$G,MATCH($A23,Data_metier!$B:$B,0))="Oui, en amont ET aval"),
1,
IF(AND(INDEX(Data_metier!$G:$G,MATCH(F$1,Data_metier!$B:$B,0))="Oui, en amont OU aval",
INDEX(Data_metier!$G:$G,MATCH($A23,Data_metier!$B:$B,0))="Oui, en amont ET aval"),
0.5,
0))))</f>
        <v>-0.5</v>
      </c>
      <c r="G23">
        <f>IF(DE_ress_transv!G23=-1,-1,
DE_ress_transv!G23+IF(AND(INDEX(Data_metier!$G:$G,MATCH(G$1,Data_metier!$B:$B,0))="Non",
INDEX(Data_metier!$G:$G,MATCH($A23,Data_metier!$B:$B,0))="Oui, en amont OU aval"),
0.5,
IF(AND(INDEX(Data_metier!$G:$G,MATCH(G$1,Data_metier!$B:$B,0))="Non",
INDEX(Data_metier!$G:$G,MATCH($A23,Data_metier!$B:$B,0))="Oui, en amont ET aval"),
1,
IF(AND(INDEX(Data_metier!$G:$G,MATCH(G$1,Data_metier!$B:$B,0))="Oui, en amont OU aval",
INDEX(Data_metier!$G:$G,MATCH($A23,Data_metier!$B:$B,0))="Oui, en amont ET aval"),
0.5,
0))))</f>
        <v>-1</v>
      </c>
      <c r="H23">
        <f>IF(DE_ress_transv!H23=-1,-1,
DE_ress_transv!H23+IF(AND(INDEX(Data_metier!$G:$G,MATCH(H$1,Data_metier!$B:$B,0))="Non",
INDEX(Data_metier!$G:$G,MATCH($A23,Data_metier!$B:$B,0))="Oui, en amont OU aval"),
0.5,
IF(AND(INDEX(Data_metier!$G:$G,MATCH(H$1,Data_metier!$B:$B,0))="Non",
INDEX(Data_metier!$G:$G,MATCH($A23,Data_metier!$B:$B,0))="Oui, en amont ET aval"),
1,
IF(AND(INDEX(Data_metier!$G:$G,MATCH(H$1,Data_metier!$B:$B,0))="Oui, en amont OU aval",
INDEX(Data_metier!$G:$G,MATCH($A23,Data_metier!$B:$B,0))="Oui, en amont ET aval"),
0.5,
0))))</f>
        <v>-1</v>
      </c>
      <c r="I23">
        <f>IF(DE_ress_transv!I23=-1,-1,
DE_ress_transv!I23+IF(AND(INDEX(Data_metier!$G:$G,MATCH(I$1,Data_metier!$B:$B,0))="Non",
INDEX(Data_metier!$G:$G,MATCH($A23,Data_metier!$B:$B,0))="Oui, en amont OU aval"),
0.5,
IF(AND(INDEX(Data_metier!$G:$G,MATCH(I$1,Data_metier!$B:$B,0))="Non",
INDEX(Data_metier!$G:$G,MATCH($A23,Data_metier!$B:$B,0))="Oui, en amont ET aval"),
1,
IF(AND(INDEX(Data_metier!$G:$G,MATCH(I$1,Data_metier!$B:$B,0))="Oui, en amont OU aval",
INDEX(Data_metier!$G:$G,MATCH($A23,Data_metier!$B:$B,0))="Oui, en amont ET aval"),
0.5,
0))))</f>
        <v>2.5</v>
      </c>
      <c r="J23">
        <f>IF(DE_ress_transv!J23=-1,-1,
DE_ress_transv!J23+IF(AND(INDEX(Data_metier!$G:$G,MATCH(J$1,Data_metier!$B:$B,0))="Non",
INDEX(Data_metier!$G:$G,MATCH($A23,Data_metier!$B:$B,0))="Oui, en amont OU aval"),
0.5,
IF(AND(INDEX(Data_metier!$G:$G,MATCH(J$1,Data_metier!$B:$B,0))="Non",
INDEX(Data_metier!$G:$G,MATCH($A23,Data_metier!$B:$B,0))="Oui, en amont ET aval"),
1,
IF(AND(INDEX(Data_metier!$G:$G,MATCH(J$1,Data_metier!$B:$B,0))="Oui, en amont OU aval",
INDEX(Data_metier!$G:$G,MATCH($A23,Data_metier!$B:$B,0))="Oui, en amont ET aval"),
0.5,
0))))</f>
        <v>-0.5</v>
      </c>
      <c r="K23">
        <f>IF(DE_ress_transv!K23=-1,-1,
DE_ress_transv!K23+IF(AND(INDEX(Data_metier!$G:$G,MATCH(K$1,Data_metier!$B:$B,0))="Non",
INDEX(Data_metier!$G:$G,MATCH($A23,Data_metier!$B:$B,0))="Oui, en amont OU aval"),
0.5,
IF(AND(INDEX(Data_metier!$G:$G,MATCH(K$1,Data_metier!$B:$B,0))="Non",
INDEX(Data_metier!$G:$G,MATCH($A23,Data_metier!$B:$B,0))="Oui, en amont ET aval"),
1,
IF(AND(INDEX(Data_metier!$G:$G,MATCH(K$1,Data_metier!$B:$B,0))="Oui, en amont OU aval",
INDEX(Data_metier!$G:$G,MATCH($A23,Data_metier!$B:$B,0))="Oui, en amont ET aval"),
0.5,
0))))</f>
        <v>-1</v>
      </c>
      <c r="L23">
        <f>IF(DE_ress_transv!L23=-1,-1,
DE_ress_transv!L23+IF(AND(INDEX(Data_metier!$G:$G,MATCH(L$1,Data_metier!$B:$B,0))="Non",
INDEX(Data_metier!$G:$G,MATCH($A23,Data_metier!$B:$B,0))="Oui, en amont OU aval"),
0.5,
IF(AND(INDEX(Data_metier!$G:$G,MATCH(L$1,Data_metier!$B:$B,0))="Non",
INDEX(Data_metier!$G:$G,MATCH($A23,Data_metier!$B:$B,0))="Oui, en amont ET aval"),
1,
IF(AND(INDEX(Data_metier!$G:$G,MATCH(L$1,Data_metier!$B:$B,0))="Oui, en amont OU aval",
INDEX(Data_metier!$G:$G,MATCH($A23,Data_metier!$B:$B,0))="Oui, en amont ET aval"),
0.5,
0))))</f>
        <v>2</v>
      </c>
      <c r="M23">
        <f>IF(DE_ress_transv!M23=-1,-1,
DE_ress_transv!M23+IF(AND(INDEX(Data_metier!$G:$G,MATCH(M$1,Data_metier!$B:$B,0))="Non",
INDEX(Data_metier!$G:$G,MATCH($A23,Data_metier!$B:$B,0))="Oui, en amont OU aval"),
0.5,
IF(AND(INDEX(Data_metier!$G:$G,MATCH(M$1,Data_metier!$B:$B,0))="Non",
INDEX(Data_metier!$G:$G,MATCH($A23,Data_metier!$B:$B,0))="Oui, en amont ET aval"),
1,
IF(AND(INDEX(Data_metier!$G:$G,MATCH(M$1,Data_metier!$B:$B,0))="Oui, en amont OU aval",
INDEX(Data_metier!$G:$G,MATCH($A23,Data_metier!$B:$B,0))="Oui, en amont ET aval"),
0.5,
0))))</f>
        <v>1.3333333333333333</v>
      </c>
      <c r="N23">
        <f>IF(DE_ress_transv!N23=-1,-1,
DE_ress_transv!N23+IF(AND(INDEX(Data_metier!$G:$G,MATCH(N$1,Data_metier!$B:$B,0))="Non",
INDEX(Data_metier!$G:$G,MATCH($A23,Data_metier!$B:$B,0))="Oui, en amont OU aval"),
0.5,
IF(AND(INDEX(Data_metier!$G:$G,MATCH(N$1,Data_metier!$B:$B,0))="Non",
INDEX(Data_metier!$G:$G,MATCH($A23,Data_metier!$B:$B,0))="Oui, en amont ET aval"),
1,
IF(AND(INDEX(Data_metier!$G:$G,MATCH(N$1,Data_metier!$B:$B,0))="Oui, en amont OU aval",
INDEX(Data_metier!$G:$G,MATCH($A23,Data_metier!$B:$B,0))="Oui, en amont ET aval"),
0.5,
0))))</f>
        <v>-1</v>
      </c>
      <c r="O23">
        <f>IF(DE_ress_transv!O23=-1,-1,
DE_ress_transv!O23+IF(AND(INDEX(Data_metier!$G:$G,MATCH(O$1,Data_metier!$B:$B,0))="Non",
INDEX(Data_metier!$G:$G,MATCH($A23,Data_metier!$B:$B,0))="Oui, en amont OU aval"),
0.5,
IF(AND(INDEX(Data_metier!$G:$G,MATCH(O$1,Data_metier!$B:$B,0))="Non",
INDEX(Data_metier!$G:$G,MATCH($A23,Data_metier!$B:$B,0))="Oui, en amont ET aval"),
1,
IF(AND(INDEX(Data_metier!$G:$G,MATCH(O$1,Data_metier!$B:$B,0))="Oui, en amont OU aval",
INDEX(Data_metier!$G:$G,MATCH($A23,Data_metier!$B:$B,0))="Oui, en amont ET aval"),
0.5,
0))))</f>
        <v>2</v>
      </c>
      <c r="P23">
        <f>IF(DE_ress_transv!P23=-1,-1,
DE_ress_transv!P23+IF(AND(INDEX(Data_metier!$G:$G,MATCH(P$1,Data_metier!$B:$B,0))="Non",
INDEX(Data_metier!$G:$G,MATCH($A23,Data_metier!$B:$B,0))="Oui, en amont OU aval"),
0.5,
IF(AND(INDEX(Data_metier!$G:$G,MATCH(P$1,Data_metier!$B:$B,0))="Non",
INDEX(Data_metier!$G:$G,MATCH($A23,Data_metier!$B:$B,0))="Oui, en amont ET aval"),
1,
IF(AND(INDEX(Data_metier!$G:$G,MATCH(P$1,Data_metier!$B:$B,0))="Oui, en amont OU aval",
INDEX(Data_metier!$G:$G,MATCH($A23,Data_metier!$B:$B,0))="Oui, en amont ET aval"),
0.5,
0))))</f>
        <v>2.5</v>
      </c>
      <c r="Q23">
        <f>IF(DE_ress_transv!Q23=-1,-1,
DE_ress_transv!Q23+IF(AND(INDEX(Data_metier!$G:$G,MATCH(Q$1,Data_metier!$B:$B,0))="Non",
INDEX(Data_metier!$G:$G,MATCH($A23,Data_metier!$B:$B,0))="Oui, en amont OU aval"),
0.5,
IF(AND(INDEX(Data_metier!$G:$G,MATCH(Q$1,Data_metier!$B:$B,0))="Non",
INDEX(Data_metier!$G:$G,MATCH($A23,Data_metier!$B:$B,0))="Oui, en amont ET aval"),
1,
IF(AND(INDEX(Data_metier!$G:$G,MATCH(Q$1,Data_metier!$B:$B,0))="Oui, en amont OU aval",
INDEX(Data_metier!$G:$G,MATCH($A23,Data_metier!$B:$B,0))="Oui, en amont ET aval"),
0.5,
0))))</f>
        <v>-1</v>
      </c>
      <c r="R23">
        <f>IF(DE_ress_transv!R23=-1,-1,
DE_ress_transv!R23+IF(AND(INDEX(Data_metier!$G:$G,MATCH(R$1,Data_metier!$B:$B,0))="Non",
INDEX(Data_metier!$G:$G,MATCH($A23,Data_metier!$B:$B,0))="Oui, en amont OU aval"),
0.5,
IF(AND(INDEX(Data_metier!$G:$G,MATCH(R$1,Data_metier!$B:$B,0))="Non",
INDEX(Data_metier!$G:$G,MATCH($A23,Data_metier!$B:$B,0))="Oui, en amont ET aval"),
1,
IF(AND(INDEX(Data_metier!$G:$G,MATCH(R$1,Data_metier!$B:$B,0))="Oui, en amont OU aval",
INDEX(Data_metier!$G:$G,MATCH($A23,Data_metier!$B:$B,0))="Oui, en amont ET aval"),
0.5,
0))))</f>
        <v>-1</v>
      </c>
      <c r="S23">
        <f>IF(DE_ress_transv!S23=-1,-1,
DE_ress_transv!S23+IF(AND(INDEX(Data_metier!$G:$G,MATCH(S$1,Data_metier!$B:$B,0))="Non",
INDEX(Data_metier!$G:$G,MATCH($A23,Data_metier!$B:$B,0))="Oui, en amont OU aval"),
0.5,
IF(AND(INDEX(Data_metier!$G:$G,MATCH(S$1,Data_metier!$B:$B,0))="Non",
INDEX(Data_metier!$G:$G,MATCH($A23,Data_metier!$B:$B,0))="Oui, en amont ET aval"),
1,
IF(AND(INDEX(Data_metier!$G:$G,MATCH(S$1,Data_metier!$B:$B,0))="Oui, en amont OU aval",
INDEX(Data_metier!$G:$G,MATCH($A23,Data_metier!$B:$B,0))="Oui, en amont ET aval"),
0.5,
0))))</f>
        <v>2.5</v>
      </c>
      <c r="T23">
        <f>IF(DE_ress_transv!T23=-1,-1,
DE_ress_transv!T23+IF(AND(INDEX(Data_metier!$G:$G,MATCH(T$1,Data_metier!$B:$B,0))="Non",
INDEX(Data_metier!$G:$G,MATCH($A23,Data_metier!$B:$B,0))="Oui, en amont OU aval"),
0.5,
IF(AND(INDEX(Data_metier!$G:$G,MATCH(T$1,Data_metier!$B:$B,0))="Non",
INDEX(Data_metier!$G:$G,MATCH($A23,Data_metier!$B:$B,0))="Oui, en amont ET aval"),
1,
IF(AND(INDEX(Data_metier!$G:$G,MATCH(T$1,Data_metier!$B:$B,0))="Oui, en amont OU aval",
INDEX(Data_metier!$G:$G,MATCH($A23,Data_metier!$B:$B,0))="Oui, en amont ET aval"),
0.5,
0))))</f>
        <v>2.3333333333333335</v>
      </c>
      <c r="U23">
        <f>IF(DE_ress_transv!U23=-1,-1,
DE_ress_transv!U23+IF(AND(INDEX(Data_metier!$G:$G,MATCH(U$1,Data_metier!$B:$B,0))="Non",
INDEX(Data_metier!$G:$G,MATCH($A23,Data_metier!$B:$B,0))="Oui, en amont OU aval"),
0.5,
IF(AND(INDEX(Data_metier!$G:$G,MATCH(U$1,Data_metier!$B:$B,0))="Non",
INDEX(Data_metier!$G:$G,MATCH($A23,Data_metier!$B:$B,0))="Oui, en amont ET aval"),
1,
IF(AND(INDEX(Data_metier!$G:$G,MATCH(U$1,Data_metier!$B:$B,0))="Oui, en amont OU aval",
INDEX(Data_metier!$G:$G,MATCH($A23,Data_metier!$B:$B,0))="Oui, en amont ET aval"),
0.5,
0))))</f>
        <v>2.5</v>
      </c>
      <c r="V23">
        <f>IF(DE_ress_transv!V23=-1,-1,
DE_ress_transv!V23+IF(AND(INDEX(Data_metier!$G:$G,MATCH(V$1,Data_metier!$B:$B,0))="Non",
INDEX(Data_metier!$G:$G,MATCH($A23,Data_metier!$B:$B,0))="Oui, en amont OU aval"),
0.5,
IF(AND(INDEX(Data_metier!$G:$G,MATCH(V$1,Data_metier!$B:$B,0))="Non",
INDEX(Data_metier!$G:$G,MATCH($A23,Data_metier!$B:$B,0))="Oui, en amont ET aval"),
1,
IF(AND(INDEX(Data_metier!$G:$G,MATCH(V$1,Data_metier!$B:$B,0))="Oui, en amont OU aval",
INDEX(Data_metier!$G:$G,MATCH($A23,Data_metier!$B:$B,0))="Oui, en amont ET aval"),
0.5,
0))))</f>
        <v>0.5</v>
      </c>
      <c r="W23">
        <f>IF(DE_ress_transv!W23=-1,-1,
DE_ress_transv!W23+IF(AND(INDEX(Data_metier!$G:$G,MATCH(W$1,Data_metier!$B:$B,0))="Non",
INDEX(Data_metier!$G:$G,MATCH($A23,Data_metier!$B:$B,0))="Oui, en amont OU aval"),
0.5,
IF(AND(INDEX(Data_metier!$G:$G,MATCH(W$1,Data_metier!$B:$B,0))="Non",
INDEX(Data_metier!$G:$G,MATCH($A23,Data_metier!$B:$B,0))="Oui, en amont ET aval"),
1,
IF(AND(INDEX(Data_metier!$G:$G,MATCH(W$1,Data_metier!$B:$B,0))="Oui, en amont OU aval",
INDEX(Data_metier!$G:$G,MATCH($A23,Data_metier!$B:$B,0))="Oui, en amont ET aval"),
0.5,
0))))</f>
        <v>0</v>
      </c>
      <c r="X23">
        <f>IF(DE_ress_transv!X23=-1,-1,
DE_ress_transv!X23+IF(AND(INDEX(Data_metier!$G:$G,MATCH(X$1,Data_metier!$B:$B,0))="Non",
INDEX(Data_metier!$G:$G,MATCH($A23,Data_metier!$B:$B,0))="Oui, en amont OU aval"),
0.5,
IF(AND(INDEX(Data_metier!$G:$G,MATCH(X$1,Data_metier!$B:$B,0))="Non",
INDEX(Data_metier!$G:$G,MATCH($A23,Data_metier!$B:$B,0))="Oui, en amont ET aval"),
1,
IF(AND(INDEX(Data_metier!$G:$G,MATCH(X$1,Data_metier!$B:$B,0))="Oui, en amont OU aval",
INDEX(Data_metier!$G:$G,MATCH($A23,Data_metier!$B:$B,0))="Oui, en amont ET aval"),
0.5,
0))))</f>
        <v>-1</v>
      </c>
      <c r="Y23">
        <f>IF(DE_ress_transv!Y23=-1,-1,
DE_ress_transv!Y23+IF(AND(INDEX(Data_metier!$G:$G,MATCH(Y$1,Data_metier!$B:$B,0))="Non",
INDEX(Data_metier!$G:$G,MATCH($A23,Data_metier!$B:$B,0))="Oui, en amont OU aval"),
0.5,
IF(AND(INDEX(Data_metier!$G:$G,MATCH(Y$1,Data_metier!$B:$B,0))="Non",
INDEX(Data_metier!$G:$G,MATCH($A23,Data_metier!$B:$B,0))="Oui, en amont ET aval"),
1,
IF(AND(INDEX(Data_metier!$G:$G,MATCH(Y$1,Data_metier!$B:$B,0))="Oui, en amont OU aval",
INDEX(Data_metier!$G:$G,MATCH($A23,Data_metier!$B:$B,0))="Oui, en amont ET aval"),
0.5,
0))))</f>
        <v>2.5</v>
      </c>
      <c r="Z23">
        <f>IF(DE_ress_transv!Z23=-1,-1,
DE_ress_transv!Z23+IF(AND(INDEX(Data_metier!$G:$G,MATCH(Z$1,Data_metier!$B:$B,0))="Non",
INDEX(Data_metier!$G:$G,MATCH($A23,Data_metier!$B:$B,0))="Oui, en amont OU aval"),
0.5,
IF(AND(INDEX(Data_metier!$G:$G,MATCH(Z$1,Data_metier!$B:$B,0))="Non",
INDEX(Data_metier!$G:$G,MATCH($A23,Data_metier!$B:$B,0))="Oui, en amont ET aval"),
1,
IF(AND(INDEX(Data_metier!$G:$G,MATCH(Z$1,Data_metier!$B:$B,0))="Oui, en amont OU aval",
INDEX(Data_metier!$G:$G,MATCH($A23,Data_metier!$B:$B,0))="Oui, en amont ET aval"),
0.5,
0))))</f>
        <v>2.5</v>
      </c>
      <c r="AA23">
        <f>IF(DE_ress_transv!AA23=-1,-1,
DE_ress_transv!AA23+IF(AND(INDEX(Data_metier!$G:$G,MATCH(AA$1,Data_metier!$B:$B,0))="Non",
INDEX(Data_metier!$G:$G,MATCH($A23,Data_metier!$B:$B,0))="Oui, en amont OU aval"),
0.5,
IF(AND(INDEX(Data_metier!$G:$G,MATCH(AA$1,Data_metier!$B:$B,0))="Non",
INDEX(Data_metier!$G:$G,MATCH($A23,Data_metier!$B:$B,0))="Oui, en amont ET aval"),
1,
IF(AND(INDEX(Data_metier!$G:$G,MATCH(AA$1,Data_metier!$B:$B,0))="Oui, en amont OU aval",
INDEX(Data_metier!$G:$G,MATCH($A23,Data_metier!$B:$B,0))="Oui, en amont ET aval"),
0.5,
0))))</f>
        <v>2.5</v>
      </c>
      <c r="AB23">
        <f>IF(DE_ress_transv!AB23=-1,-1,
DE_ress_transv!AB23+IF(AND(INDEX(Data_metier!$G:$G,MATCH(AB$1,Data_metier!$B:$B,0))="Non",
INDEX(Data_metier!$G:$G,MATCH($A23,Data_metier!$B:$B,0))="Oui, en amont OU aval"),
0.5,
IF(AND(INDEX(Data_metier!$G:$G,MATCH(AB$1,Data_metier!$B:$B,0))="Non",
INDEX(Data_metier!$G:$G,MATCH($A23,Data_metier!$B:$B,0))="Oui, en amont ET aval"),
1,
IF(AND(INDEX(Data_metier!$G:$G,MATCH(AB$1,Data_metier!$B:$B,0))="Oui, en amont OU aval",
INDEX(Data_metier!$G:$G,MATCH($A23,Data_metier!$B:$B,0))="Oui, en amont ET aval"),
0.5,
0))))</f>
        <v>0.66666666666666663</v>
      </c>
      <c r="AC23">
        <f>IF(DE_ress_transv!AC23=-1,-1,
DE_ress_transv!AC23+IF(AND(INDEX(Data_metier!$G:$G,MATCH(AC$1,Data_metier!$B:$B,0))="Non",
INDEX(Data_metier!$G:$G,MATCH($A23,Data_metier!$B:$B,0))="Oui, en amont OU aval"),
0.5,
IF(AND(INDEX(Data_metier!$G:$G,MATCH(AC$1,Data_metier!$B:$B,0))="Non",
INDEX(Data_metier!$G:$G,MATCH($A23,Data_metier!$B:$B,0))="Oui, en amont ET aval"),
1,
IF(AND(INDEX(Data_metier!$G:$G,MATCH(AC$1,Data_metier!$B:$B,0))="Oui, en amont OU aval",
INDEX(Data_metier!$G:$G,MATCH($A23,Data_metier!$B:$B,0))="Oui, en amont ET aval"),
0.5,
0))))</f>
        <v>0.66666666666666663</v>
      </c>
      <c r="AD23">
        <f>IF(DE_ress_transv!AD23=-1,-1,
DE_ress_transv!AD23+IF(AND(INDEX(Data_metier!$G:$G,MATCH(AD$1,Data_metier!$B:$B,0))="Non",
INDEX(Data_metier!$G:$G,MATCH($A23,Data_metier!$B:$B,0))="Oui, en amont OU aval"),
0.5,
IF(AND(INDEX(Data_metier!$G:$G,MATCH(AD$1,Data_metier!$B:$B,0))="Non",
INDEX(Data_metier!$G:$G,MATCH($A23,Data_metier!$B:$B,0))="Oui, en amont ET aval"),
1,
IF(AND(INDEX(Data_metier!$G:$G,MATCH(AD$1,Data_metier!$B:$B,0))="Oui, en amont OU aval",
INDEX(Data_metier!$G:$G,MATCH($A23,Data_metier!$B:$B,0))="Oui, en amont ET aval"),
0.5,
0))))</f>
        <v>-0.33333333333333337</v>
      </c>
    </row>
    <row r="24" spans="1:30">
      <c r="A24" s="55" t="str">
        <v>Responsable de plateforme/ d’exploitation logistique</v>
      </c>
      <c r="B24">
        <f>IF(DE_ress_transv!B24=-1,-1,
DE_ress_transv!B24+IF(AND(INDEX(Data_metier!$G:$G,MATCH(B$1,Data_metier!$B:$B,0))="Non",
INDEX(Data_metier!$G:$G,MATCH($A24,Data_metier!$B:$B,0))="Oui, en amont OU aval"),
0.5,
IF(AND(INDEX(Data_metier!$G:$G,MATCH(B$1,Data_metier!$B:$B,0))="Non",
INDEX(Data_metier!$G:$G,MATCH($A24,Data_metier!$B:$B,0))="Oui, en amont ET aval"),
1,
IF(AND(INDEX(Data_metier!$G:$G,MATCH(B$1,Data_metier!$B:$B,0))="Oui, en amont OU aval",
INDEX(Data_metier!$G:$G,MATCH($A24,Data_metier!$B:$B,0))="Oui, en amont ET aval"),
0.5,
0))))</f>
        <v>3.4999999999999996</v>
      </c>
      <c r="C24">
        <f>IF(DE_ress_transv!C24=-1,-1,
DE_ress_transv!C24+IF(AND(INDEX(Data_metier!$G:$G,MATCH(C$1,Data_metier!$B:$B,0))="Non",
INDEX(Data_metier!$G:$G,MATCH($A24,Data_metier!$B:$B,0))="Oui, en amont OU aval"),
0.5,
IF(AND(INDEX(Data_metier!$G:$G,MATCH(C$1,Data_metier!$B:$B,0))="Non",
INDEX(Data_metier!$G:$G,MATCH($A24,Data_metier!$B:$B,0))="Oui, en amont ET aval"),
1,
IF(AND(INDEX(Data_metier!$G:$G,MATCH(C$1,Data_metier!$B:$B,0))="Oui, en amont OU aval",
INDEX(Data_metier!$G:$G,MATCH($A24,Data_metier!$B:$B,0))="Oui, en amont ET aval"),
0.5,
0))))</f>
        <v>3.9999999999999996</v>
      </c>
      <c r="D24">
        <f>IF(DE_ress_transv!D24=-1,-1,
DE_ress_transv!D24+IF(AND(INDEX(Data_metier!$G:$G,MATCH(D$1,Data_metier!$B:$B,0))="Non",
INDEX(Data_metier!$G:$G,MATCH($A24,Data_metier!$B:$B,0))="Oui, en amont OU aval"),
0.5,
IF(AND(INDEX(Data_metier!$G:$G,MATCH(D$1,Data_metier!$B:$B,0))="Non",
INDEX(Data_metier!$G:$G,MATCH($A24,Data_metier!$B:$B,0))="Oui, en amont ET aval"),
1,
IF(AND(INDEX(Data_metier!$G:$G,MATCH(D$1,Data_metier!$B:$B,0))="Oui, en amont OU aval",
INDEX(Data_metier!$G:$G,MATCH($A24,Data_metier!$B:$B,0))="Oui, en amont ET aval"),
0.5,
0))))</f>
        <v>3.9999999999999996</v>
      </c>
      <c r="E24">
        <f>IF(DE_ress_transv!E24=-1,-1,
DE_ress_transv!E24+IF(AND(INDEX(Data_metier!$G:$G,MATCH(E$1,Data_metier!$B:$B,0))="Non",
INDEX(Data_metier!$G:$G,MATCH($A24,Data_metier!$B:$B,0))="Oui, en amont OU aval"),
0.5,
IF(AND(INDEX(Data_metier!$G:$G,MATCH(E$1,Data_metier!$B:$B,0))="Non",
INDEX(Data_metier!$G:$G,MATCH($A24,Data_metier!$B:$B,0))="Oui, en amont ET aval"),
1,
IF(AND(INDEX(Data_metier!$G:$G,MATCH(E$1,Data_metier!$B:$B,0))="Oui, en amont OU aval",
INDEX(Data_metier!$G:$G,MATCH($A24,Data_metier!$B:$B,0))="Oui, en amont ET aval"),
0.5,
0))))</f>
        <v>1.5000000000000002</v>
      </c>
      <c r="F24">
        <f>IF(DE_ress_transv!F24=-1,-1,
DE_ress_transv!F24+IF(AND(INDEX(Data_metier!$G:$G,MATCH(F$1,Data_metier!$B:$B,0))="Non",
INDEX(Data_metier!$G:$G,MATCH($A24,Data_metier!$B:$B,0))="Oui, en amont OU aval"),
0.5,
IF(AND(INDEX(Data_metier!$G:$G,MATCH(F$1,Data_metier!$B:$B,0))="Non",
INDEX(Data_metier!$G:$G,MATCH($A24,Data_metier!$B:$B,0))="Oui, en amont ET aval"),
1,
IF(AND(INDEX(Data_metier!$G:$G,MATCH(F$1,Data_metier!$B:$B,0))="Oui, en amont OU aval",
INDEX(Data_metier!$G:$G,MATCH($A24,Data_metier!$B:$B,0))="Oui, en amont ET aval"),
0.5,
0))))</f>
        <v>0.99999999999999989</v>
      </c>
      <c r="G24">
        <f>IF(DE_ress_transv!G24=-1,-1,
DE_ress_transv!G24+IF(AND(INDEX(Data_metier!$G:$G,MATCH(G$1,Data_metier!$B:$B,0))="Non",
INDEX(Data_metier!$G:$G,MATCH($A24,Data_metier!$B:$B,0))="Oui, en amont OU aval"),
0.5,
IF(AND(INDEX(Data_metier!$G:$G,MATCH(G$1,Data_metier!$B:$B,0))="Non",
INDEX(Data_metier!$G:$G,MATCH($A24,Data_metier!$B:$B,0))="Oui, en amont ET aval"),
1,
IF(AND(INDEX(Data_metier!$G:$G,MATCH(G$1,Data_metier!$B:$B,0))="Oui, en amont OU aval",
INDEX(Data_metier!$G:$G,MATCH($A24,Data_metier!$B:$B,0))="Oui, en amont ET aval"),
0.5,
0))))</f>
        <v>1</v>
      </c>
      <c r="H24">
        <f>IF(DE_ress_transv!H24=-1,-1,
DE_ress_transv!H24+IF(AND(INDEX(Data_metier!$G:$G,MATCH(H$1,Data_metier!$B:$B,0))="Non",
INDEX(Data_metier!$G:$G,MATCH($A24,Data_metier!$B:$B,0))="Oui, en amont OU aval"),
0.5,
IF(AND(INDEX(Data_metier!$G:$G,MATCH(H$1,Data_metier!$B:$B,0))="Non",
INDEX(Data_metier!$G:$G,MATCH($A24,Data_metier!$B:$B,0))="Oui, en amont ET aval"),
1,
IF(AND(INDEX(Data_metier!$G:$G,MATCH(H$1,Data_metier!$B:$B,0))="Oui, en amont OU aval",
INDEX(Data_metier!$G:$G,MATCH($A24,Data_metier!$B:$B,0))="Oui, en amont ET aval"),
0.5,
0))))</f>
        <v>0.5</v>
      </c>
      <c r="I24">
        <f>IF(DE_ress_transv!I24=-1,-1,
DE_ress_transv!I24+IF(AND(INDEX(Data_metier!$G:$G,MATCH(I$1,Data_metier!$B:$B,0))="Non",
INDEX(Data_metier!$G:$G,MATCH($A24,Data_metier!$B:$B,0))="Oui, en amont OU aval"),
0.5,
IF(AND(INDEX(Data_metier!$G:$G,MATCH(I$1,Data_metier!$B:$B,0))="Non",
INDEX(Data_metier!$G:$G,MATCH($A24,Data_metier!$B:$B,0))="Oui, en amont ET aval"),
1,
IF(AND(INDEX(Data_metier!$G:$G,MATCH(I$1,Data_metier!$B:$B,0))="Oui, en amont OU aval",
INDEX(Data_metier!$G:$G,MATCH($A24,Data_metier!$B:$B,0))="Oui, en amont ET aval"),
0.5,
0))))</f>
        <v>3.9999999999999996</v>
      </c>
      <c r="J24">
        <f>IF(DE_ress_transv!J24=-1,-1,
DE_ress_transv!J24+IF(AND(INDEX(Data_metier!$G:$G,MATCH(J$1,Data_metier!$B:$B,0))="Non",
INDEX(Data_metier!$G:$G,MATCH($A24,Data_metier!$B:$B,0))="Oui, en amont OU aval"),
0.5,
IF(AND(INDEX(Data_metier!$G:$G,MATCH(J$1,Data_metier!$B:$B,0))="Non",
INDEX(Data_metier!$G:$G,MATCH($A24,Data_metier!$B:$B,0))="Oui, en amont ET aval"),
1,
IF(AND(INDEX(Data_metier!$G:$G,MATCH(J$1,Data_metier!$B:$B,0))="Oui, en amont OU aval",
INDEX(Data_metier!$G:$G,MATCH($A24,Data_metier!$B:$B,0))="Oui, en amont ET aval"),
0.5,
0))))</f>
        <v>2.5</v>
      </c>
      <c r="K24">
        <f>IF(DE_ress_transv!K24=-1,-1,
DE_ress_transv!K24+IF(AND(INDEX(Data_metier!$G:$G,MATCH(K$1,Data_metier!$B:$B,0))="Non",
INDEX(Data_metier!$G:$G,MATCH($A24,Data_metier!$B:$B,0))="Oui, en amont OU aval"),
0.5,
IF(AND(INDEX(Data_metier!$G:$G,MATCH(K$1,Data_metier!$B:$B,0))="Non",
INDEX(Data_metier!$G:$G,MATCH($A24,Data_metier!$B:$B,0))="Oui, en amont ET aval"),
1,
IF(AND(INDEX(Data_metier!$G:$G,MATCH(K$1,Data_metier!$B:$B,0))="Oui, en amont OU aval",
INDEX(Data_metier!$G:$G,MATCH($A24,Data_metier!$B:$B,0))="Oui, en amont ET aval"),
0.5,
0))))</f>
        <v>-1</v>
      </c>
      <c r="L24">
        <f>IF(DE_ress_transv!L24=-1,-1,
DE_ress_transv!L24+IF(AND(INDEX(Data_metier!$G:$G,MATCH(L$1,Data_metier!$B:$B,0))="Non",
INDEX(Data_metier!$G:$G,MATCH($A24,Data_metier!$B:$B,0))="Oui, en amont OU aval"),
0.5,
IF(AND(INDEX(Data_metier!$G:$G,MATCH(L$1,Data_metier!$B:$B,0))="Non",
INDEX(Data_metier!$G:$G,MATCH($A24,Data_metier!$B:$B,0))="Oui, en amont ET aval"),
1,
IF(AND(INDEX(Data_metier!$G:$G,MATCH(L$1,Data_metier!$B:$B,0))="Oui, en amont OU aval",
INDEX(Data_metier!$G:$G,MATCH($A24,Data_metier!$B:$B,0))="Oui, en amont ET aval"),
0.5,
0))))</f>
        <v>3.9999999999999996</v>
      </c>
      <c r="M24">
        <f>IF(DE_ress_transv!M24=-1,-1,
DE_ress_transv!M24+IF(AND(INDEX(Data_metier!$G:$G,MATCH(M$1,Data_metier!$B:$B,0))="Non",
INDEX(Data_metier!$G:$G,MATCH($A24,Data_metier!$B:$B,0))="Oui, en amont OU aval"),
0.5,
IF(AND(INDEX(Data_metier!$G:$G,MATCH(M$1,Data_metier!$B:$B,0))="Non",
INDEX(Data_metier!$G:$G,MATCH($A24,Data_metier!$B:$B,0))="Oui, en amont ET aval"),
1,
IF(AND(INDEX(Data_metier!$G:$G,MATCH(M$1,Data_metier!$B:$B,0))="Oui, en amont OU aval",
INDEX(Data_metier!$G:$G,MATCH($A24,Data_metier!$B:$B,0))="Oui, en amont ET aval"),
0.5,
0))))</f>
        <v>3.9999999999999996</v>
      </c>
      <c r="N24">
        <f>IF(DE_ress_transv!N24=-1,-1,
DE_ress_transv!N24+IF(AND(INDEX(Data_metier!$G:$G,MATCH(N$1,Data_metier!$B:$B,0))="Non",
INDEX(Data_metier!$G:$G,MATCH($A24,Data_metier!$B:$B,0))="Oui, en amont OU aval"),
0.5,
IF(AND(INDEX(Data_metier!$G:$G,MATCH(N$1,Data_metier!$B:$B,0))="Non",
INDEX(Data_metier!$G:$G,MATCH($A24,Data_metier!$B:$B,0))="Oui, en amont ET aval"),
1,
IF(AND(INDEX(Data_metier!$G:$G,MATCH(N$1,Data_metier!$B:$B,0))="Oui, en amont OU aval",
INDEX(Data_metier!$G:$G,MATCH($A24,Data_metier!$B:$B,0))="Oui, en amont ET aval"),
0.5,
0))))</f>
        <v>1.5000000000000002</v>
      </c>
      <c r="O24">
        <f>IF(DE_ress_transv!O24=-1,-1,
DE_ress_transv!O24+IF(AND(INDEX(Data_metier!$G:$G,MATCH(O$1,Data_metier!$B:$B,0))="Non",
INDEX(Data_metier!$G:$G,MATCH($A24,Data_metier!$B:$B,0))="Oui, en amont OU aval"),
0.5,
IF(AND(INDEX(Data_metier!$G:$G,MATCH(O$1,Data_metier!$B:$B,0))="Non",
INDEX(Data_metier!$G:$G,MATCH($A24,Data_metier!$B:$B,0))="Oui, en amont ET aval"),
1,
IF(AND(INDEX(Data_metier!$G:$G,MATCH(O$1,Data_metier!$B:$B,0))="Oui, en amont OU aval",
INDEX(Data_metier!$G:$G,MATCH($A24,Data_metier!$B:$B,0))="Oui, en amont ET aval"),
0.5,
0))))</f>
        <v>3.9999999999999996</v>
      </c>
      <c r="P24">
        <f>IF(DE_ress_transv!P24=-1,-1,
DE_ress_transv!P24+IF(AND(INDEX(Data_metier!$G:$G,MATCH(P$1,Data_metier!$B:$B,0))="Non",
INDEX(Data_metier!$G:$G,MATCH($A24,Data_metier!$B:$B,0))="Oui, en amont OU aval"),
0.5,
IF(AND(INDEX(Data_metier!$G:$G,MATCH(P$1,Data_metier!$B:$B,0))="Non",
INDEX(Data_metier!$G:$G,MATCH($A24,Data_metier!$B:$B,0))="Oui, en amont ET aval"),
1,
IF(AND(INDEX(Data_metier!$G:$G,MATCH(P$1,Data_metier!$B:$B,0))="Oui, en amont OU aval",
INDEX(Data_metier!$G:$G,MATCH($A24,Data_metier!$B:$B,0))="Oui, en amont ET aval"),
0.5,
0))))</f>
        <v>3.9999999999999996</v>
      </c>
      <c r="Q24">
        <f>IF(DE_ress_transv!Q24=-1,-1,
DE_ress_transv!Q24+IF(AND(INDEX(Data_metier!$G:$G,MATCH(Q$1,Data_metier!$B:$B,0))="Non",
INDEX(Data_metier!$G:$G,MATCH($A24,Data_metier!$B:$B,0))="Oui, en amont OU aval"),
0.5,
IF(AND(INDEX(Data_metier!$G:$G,MATCH(Q$1,Data_metier!$B:$B,0))="Non",
INDEX(Data_metier!$G:$G,MATCH($A24,Data_metier!$B:$B,0))="Oui, en amont ET aval"),
1,
IF(AND(INDEX(Data_metier!$G:$G,MATCH(Q$1,Data_metier!$B:$B,0))="Oui, en amont OU aval",
INDEX(Data_metier!$G:$G,MATCH($A24,Data_metier!$B:$B,0))="Oui, en amont ET aval"),
0.5,
0))))</f>
        <v>2</v>
      </c>
      <c r="R24">
        <f>IF(DE_ress_transv!R24=-1,-1,
DE_ress_transv!R24+IF(AND(INDEX(Data_metier!$G:$G,MATCH(R$1,Data_metier!$B:$B,0))="Non",
INDEX(Data_metier!$G:$G,MATCH($A24,Data_metier!$B:$B,0))="Oui, en amont OU aval"),
0.5,
IF(AND(INDEX(Data_metier!$G:$G,MATCH(R$1,Data_metier!$B:$B,0))="Non",
INDEX(Data_metier!$G:$G,MATCH($A24,Data_metier!$B:$B,0))="Oui, en amont ET aval"),
1,
IF(AND(INDEX(Data_metier!$G:$G,MATCH(R$1,Data_metier!$B:$B,0))="Oui, en amont OU aval",
INDEX(Data_metier!$G:$G,MATCH($A24,Data_metier!$B:$B,0))="Oui, en amont ET aval"),
0.5,
0))))</f>
        <v>-1</v>
      </c>
      <c r="S24">
        <f>IF(DE_ress_transv!S24=-1,-1,
DE_ress_transv!S24+IF(AND(INDEX(Data_metier!$G:$G,MATCH(S$1,Data_metier!$B:$B,0))="Non",
INDEX(Data_metier!$G:$G,MATCH($A24,Data_metier!$B:$B,0))="Oui, en amont OU aval"),
0.5,
IF(AND(INDEX(Data_metier!$G:$G,MATCH(S$1,Data_metier!$B:$B,0))="Non",
INDEX(Data_metier!$G:$G,MATCH($A24,Data_metier!$B:$B,0))="Oui, en amont ET aval"),
1,
IF(AND(INDEX(Data_metier!$G:$G,MATCH(S$1,Data_metier!$B:$B,0))="Oui, en amont OU aval",
INDEX(Data_metier!$G:$G,MATCH($A24,Data_metier!$B:$B,0))="Oui, en amont ET aval"),
0.5,
0))))</f>
        <v>3.9999999999999996</v>
      </c>
      <c r="T24">
        <f>IF(DE_ress_transv!T24=-1,-1,
DE_ress_transv!T24+IF(AND(INDEX(Data_metier!$G:$G,MATCH(T$1,Data_metier!$B:$B,0))="Non",
INDEX(Data_metier!$G:$G,MATCH($A24,Data_metier!$B:$B,0))="Oui, en amont OU aval"),
0.5,
IF(AND(INDEX(Data_metier!$G:$G,MATCH(T$1,Data_metier!$B:$B,0))="Non",
INDEX(Data_metier!$G:$G,MATCH($A24,Data_metier!$B:$B,0))="Oui, en amont ET aval"),
1,
IF(AND(INDEX(Data_metier!$G:$G,MATCH(T$1,Data_metier!$B:$B,0))="Oui, en amont OU aval",
INDEX(Data_metier!$G:$G,MATCH($A24,Data_metier!$B:$B,0))="Oui, en amont ET aval"),
0.5,
0))))</f>
        <v>3.9999999999999996</v>
      </c>
      <c r="U24">
        <f>IF(DE_ress_transv!U24=-1,-1,
DE_ress_transv!U24+IF(AND(INDEX(Data_metier!$G:$G,MATCH(U$1,Data_metier!$B:$B,0))="Non",
INDEX(Data_metier!$G:$G,MATCH($A24,Data_metier!$B:$B,0))="Oui, en amont OU aval"),
0.5,
IF(AND(INDEX(Data_metier!$G:$G,MATCH(U$1,Data_metier!$B:$B,0))="Non",
INDEX(Data_metier!$G:$G,MATCH($A24,Data_metier!$B:$B,0))="Oui, en amont ET aval"),
1,
IF(AND(INDEX(Data_metier!$G:$G,MATCH(U$1,Data_metier!$B:$B,0))="Oui, en amont OU aval",
INDEX(Data_metier!$G:$G,MATCH($A24,Data_metier!$B:$B,0))="Oui, en amont ET aval"),
0.5,
0))))</f>
        <v>3.9999999999999996</v>
      </c>
      <c r="V24">
        <f>IF(DE_ress_transv!V24=-1,-1,
DE_ress_transv!V24+IF(AND(INDEX(Data_metier!$G:$G,MATCH(V$1,Data_metier!$B:$B,0))="Non",
INDEX(Data_metier!$G:$G,MATCH($A24,Data_metier!$B:$B,0))="Oui, en amont OU aval"),
0.5,
IF(AND(INDEX(Data_metier!$G:$G,MATCH(V$1,Data_metier!$B:$B,0))="Non",
INDEX(Data_metier!$G:$G,MATCH($A24,Data_metier!$B:$B,0))="Oui, en amont ET aval"),
1,
IF(AND(INDEX(Data_metier!$G:$G,MATCH(V$1,Data_metier!$B:$B,0))="Oui, en amont OU aval",
INDEX(Data_metier!$G:$G,MATCH($A24,Data_metier!$B:$B,0))="Oui, en amont ET aval"),
0.5,
0))))</f>
        <v>3.4999999999999996</v>
      </c>
      <c r="W24">
        <f>IF(DE_ress_transv!W24=-1,-1,
DE_ress_transv!W24+IF(AND(INDEX(Data_metier!$G:$G,MATCH(W$1,Data_metier!$B:$B,0))="Non",
INDEX(Data_metier!$G:$G,MATCH($A24,Data_metier!$B:$B,0))="Oui, en amont OU aval"),
0.5,
IF(AND(INDEX(Data_metier!$G:$G,MATCH(W$1,Data_metier!$B:$B,0))="Non",
INDEX(Data_metier!$G:$G,MATCH($A24,Data_metier!$B:$B,0))="Oui, en amont ET aval"),
1,
IF(AND(INDEX(Data_metier!$G:$G,MATCH(W$1,Data_metier!$B:$B,0))="Oui, en amont OU aval",
INDEX(Data_metier!$G:$G,MATCH($A24,Data_metier!$B:$B,0))="Oui, en amont ET aval"),
0.5,
0))))</f>
        <v>2.9999999999999996</v>
      </c>
      <c r="X24">
        <f>IF(DE_ress_transv!X24=-1,-1,
DE_ress_transv!X24+IF(AND(INDEX(Data_metier!$G:$G,MATCH(X$1,Data_metier!$B:$B,0))="Non",
INDEX(Data_metier!$G:$G,MATCH($A24,Data_metier!$B:$B,0))="Oui, en amont OU aval"),
0.5,
IF(AND(INDEX(Data_metier!$G:$G,MATCH(X$1,Data_metier!$B:$B,0))="Non",
INDEX(Data_metier!$G:$G,MATCH($A24,Data_metier!$B:$B,0))="Oui, en amont ET aval"),
1,
IF(AND(INDEX(Data_metier!$G:$G,MATCH(X$1,Data_metier!$B:$B,0))="Oui, en amont OU aval",
INDEX(Data_metier!$G:$G,MATCH($A24,Data_metier!$B:$B,0))="Oui, en amont ET aval"),
0.5,
0))))</f>
        <v>0</v>
      </c>
      <c r="Y24">
        <f>IF(DE_ress_transv!Y24=-1,-1,
DE_ress_transv!Y24+IF(AND(INDEX(Data_metier!$G:$G,MATCH(Y$1,Data_metier!$B:$B,0))="Non",
INDEX(Data_metier!$G:$G,MATCH($A24,Data_metier!$B:$B,0))="Oui, en amont OU aval"),
0.5,
IF(AND(INDEX(Data_metier!$G:$G,MATCH(Y$1,Data_metier!$B:$B,0))="Non",
INDEX(Data_metier!$G:$G,MATCH($A24,Data_metier!$B:$B,0))="Oui, en amont ET aval"),
1,
IF(AND(INDEX(Data_metier!$G:$G,MATCH(Y$1,Data_metier!$B:$B,0))="Oui, en amont OU aval",
INDEX(Data_metier!$G:$G,MATCH($A24,Data_metier!$B:$B,0))="Oui, en amont ET aval"),
0.5,
0))))</f>
        <v>3.9999999999999996</v>
      </c>
      <c r="Z24">
        <f>IF(DE_ress_transv!Z24=-1,-1,
DE_ress_transv!Z24+IF(AND(INDEX(Data_metier!$G:$G,MATCH(Z$1,Data_metier!$B:$B,0))="Non",
INDEX(Data_metier!$G:$G,MATCH($A24,Data_metier!$B:$B,0))="Oui, en amont OU aval"),
0.5,
IF(AND(INDEX(Data_metier!$G:$G,MATCH(Z$1,Data_metier!$B:$B,0))="Non",
INDEX(Data_metier!$G:$G,MATCH($A24,Data_metier!$B:$B,0))="Oui, en amont ET aval"),
1,
IF(AND(INDEX(Data_metier!$G:$G,MATCH(Z$1,Data_metier!$B:$B,0))="Oui, en amont OU aval",
INDEX(Data_metier!$G:$G,MATCH($A24,Data_metier!$B:$B,0))="Oui, en amont ET aval"),
0.5,
0))))</f>
        <v>3.9999999999999996</v>
      </c>
      <c r="AA24">
        <f>IF(DE_ress_transv!AA24=-1,-1,
DE_ress_transv!AA24+IF(AND(INDEX(Data_metier!$G:$G,MATCH(AA$1,Data_metier!$B:$B,0))="Non",
INDEX(Data_metier!$G:$G,MATCH($A24,Data_metier!$B:$B,0))="Oui, en amont OU aval"),
0.5,
IF(AND(INDEX(Data_metier!$G:$G,MATCH(AA$1,Data_metier!$B:$B,0))="Non",
INDEX(Data_metier!$G:$G,MATCH($A24,Data_metier!$B:$B,0))="Oui, en amont ET aval"),
1,
IF(AND(INDEX(Data_metier!$G:$G,MATCH(AA$1,Data_metier!$B:$B,0))="Oui, en amont OU aval",
INDEX(Data_metier!$G:$G,MATCH($A24,Data_metier!$B:$B,0))="Oui, en amont ET aval"),
0.5,
0))))</f>
        <v>3.9999999999999996</v>
      </c>
      <c r="AB24">
        <f>IF(DE_ress_transv!AB24=-1,-1,
DE_ress_transv!AB24+IF(AND(INDEX(Data_metier!$G:$G,MATCH(AB$1,Data_metier!$B:$B,0))="Non",
INDEX(Data_metier!$G:$G,MATCH($A24,Data_metier!$B:$B,0))="Oui, en amont OU aval"),
0.5,
IF(AND(INDEX(Data_metier!$G:$G,MATCH(AB$1,Data_metier!$B:$B,0))="Non",
INDEX(Data_metier!$G:$G,MATCH($A24,Data_metier!$B:$B,0))="Oui, en amont ET aval"),
1,
IF(AND(INDEX(Data_metier!$G:$G,MATCH(AB$1,Data_metier!$B:$B,0))="Oui, en amont OU aval",
INDEX(Data_metier!$G:$G,MATCH($A24,Data_metier!$B:$B,0))="Oui, en amont ET aval"),
0.5,
0))))</f>
        <v>3.4999999999999996</v>
      </c>
      <c r="AC24">
        <f>IF(DE_ress_transv!AC24=-1,-1,
DE_ress_transv!AC24+IF(AND(INDEX(Data_metier!$G:$G,MATCH(AC$1,Data_metier!$B:$B,0))="Non",
INDEX(Data_metier!$G:$G,MATCH($A24,Data_metier!$B:$B,0))="Oui, en amont OU aval"),
0.5,
IF(AND(INDEX(Data_metier!$G:$G,MATCH(AC$1,Data_metier!$B:$B,0))="Non",
INDEX(Data_metier!$G:$G,MATCH($A24,Data_metier!$B:$B,0))="Oui, en amont ET aval"),
1,
IF(AND(INDEX(Data_metier!$G:$G,MATCH(AC$1,Data_metier!$B:$B,0))="Oui, en amont OU aval",
INDEX(Data_metier!$G:$G,MATCH($A24,Data_metier!$B:$B,0))="Oui, en amont ET aval"),
0.5,
0))))</f>
        <v>3.4999999999999996</v>
      </c>
      <c r="AD24">
        <f>IF(DE_ress_transv!AD24=-1,-1,
DE_ress_transv!AD24+IF(AND(INDEX(Data_metier!$G:$G,MATCH(AD$1,Data_metier!$B:$B,0))="Non",
INDEX(Data_metier!$G:$G,MATCH($A24,Data_metier!$B:$B,0))="Oui, en amont OU aval"),
0.5,
IF(AND(INDEX(Data_metier!$G:$G,MATCH(AD$1,Data_metier!$B:$B,0))="Non",
INDEX(Data_metier!$G:$G,MATCH($A24,Data_metier!$B:$B,0))="Oui, en amont ET aval"),
1,
IF(AND(INDEX(Data_metier!$G:$G,MATCH(AD$1,Data_metier!$B:$B,0))="Oui, en amont OU aval",
INDEX(Data_metier!$G:$G,MATCH($A24,Data_metier!$B:$B,0))="Oui, en amont ET aval"),
0.5,
0))))</f>
        <v>3.4999999999999996</v>
      </c>
    </row>
    <row r="25" spans="1:30">
      <c r="A25" s="55" t="str">
        <v>Opérateur(trice) de transformation des viandes</v>
      </c>
      <c r="B25">
        <f>IF(DE_ress_transv!B25=-1,-1,
DE_ress_transv!B25+IF(AND(INDEX(Data_metier!$G:$G,MATCH(B$1,Data_metier!$B:$B,0))="Non",
INDEX(Data_metier!$G:$G,MATCH($A25,Data_metier!$B:$B,0))="Oui, en amont OU aval"),
0.5,
IF(AND(INDEX(Data_metier!$G:$G,MATCH(B$1,Data_metier!$B:$B,0))="Non",
INDEX(Data_metier!$G:$G,MATCH($A25,Data_metier!$B:$B,0))="Oui, en amont ET aval"),
1,
IF(AND(INDEX(Data_metier!$G:$G,MATCH(B$1,Data_metier!$B:$B,0))="Oui, en amont OU aval",
INDEX(Data_metier!$G:$G,MATCH($A25,Data_metier!$B:$B,0))="Oui, en amont ET aval"),
0.5,
0))))</f>
        <v>-1</v>
      </c>
      <c r="C25">
        <f>IF(DE_ress_transv!C25=-1,-1,
DE_ress_transv!C25+IF(AND(INDEX(Data_metier!$G:$G,MATCH(C$1,Data_metier!$B:$B,0))="Non",
INDEX(Data_metier!$G:$G,MATCH($A25,Data_metier!$B:$B,0))="Oui, en amont OU aval"),
0.5,
IF(AND(INDEX(Data_metier!$G:$G,MATCH(C$1,Data_metier!$B:$B,0))="Non",
INDEX(Data_metier!$G:$G,MATCH($A25,Data_metier!$B:$B,0))="Oui, en amont ET aval"),
1,
IF(AND(INDEX(Data_metier!$G:$G,MATCH(C$1,Data_metier!$B:$B,0))="Oui, en amont OU aval",
INDEX(Data_metier!$G:$G,MATCH($A25,Data_metier!$B:$B,0))="Oui, en amont ET aval"),
0.5,
0))))</f>
        <v>-1</v>
      </c>
      <c r="D25">
        <f>IF(DE_ress_transv!D25=-1,-1,
DE_ress_transv!D25+IF(AND(INDEX(Data_metier!$G:$G,MATCH(D$1,Data_metier!$B:$B,0))="Non",
INDEX(Data_metier!$G:$G,MATCH($A25,Data_metier!$B:$B,0))="Oui, en amont OU aval"),
0.5,
IF(AND(INDEX(Data_metier!$G:$G,MATCH(D$1,Data_metier!$B:$B,0))="Non",
INDEX(Data_metier!$G:$G,MATCH($A25,Data_metier!$B:$B,0))="Oui, en amont ET aval"),
1,
IF(AND(INDEX(Data_metier!$G:$G,MATCH(D$1,Data_metier!$B:$B,0))="Oui, en amont OU aval",
INDEX(Data_metier!$G:$G,MATCH($A25,Data_metier!$B:$B,0))="Oui, en amont ET aval"),
0.5,
0))))</f>
        <v>0</v>
      </c>
      <c r="E25">
        <f>IF(DE_ress_transv!E25=-1,-1,
DE_ress_transv!E25+IF(AND(INDEX(Data_metier!$G:$G,MATCH(E$1,Data_metier!$B:$B,0))="Non",
INDEX(Data_metier!$G:$G,MATCH($A25,Data_metier!$B:$B,0))="Oui, en amont OU aval"),
0.5,
IF(AND(INDEX(Data_metier!$G:$G,MATCH(E$1,Data_metier!$B:$B,0))="Non",
INDEX(Data_metier!$G:$G,MATCH($A25,Data_metier!$B:$B,0))="Oui, en amont ET aval"),
1,
IF(AND(INDEX(Data_metier!$G:$G,MATCH(E$1,Data_metier!$B:$B,0))="Oui, en amont OU aval",
INDEX(Data_metier!$G:$G,MATCH($A25,Data_metier!$B:$B,0))="Oui, en amont ET aval"),
0.5,
0))))</f>
        <v>-1</v>
      </c>
      <c r="F25">
        <f>IF(DE_ress_transv!F25=-1,-1,
DE_ress_transv!F25+IF(AND(INDEX(Data_metier!$G:$G,MATCH(F$1,Data_metier!$B:$B,0))="Non",
INDEX(Data_metier!$G:$G,MATCH($A25,Data_metier!$B:$B,0))="Oui, en amont OU aval"),
0.5,
IF(AND(INDEX(Data_metier!$G:$G,MATCH(F$1,Data_metier!$B:$B,0))="Non",
INDEX(Data_metier!$G:$G,MATCH($A25,Data_metier!$B:$B,0))="Oui, en amont ET aval"),
1,
IF(AND(INDEX(Data_metier!$G:$G,MATCH(F$1,Data_metier!$B:$B,0))="Oui, en amont OU aval",
INDEX(Data_metier!$G:$G,MATCH($A25,Data_metier!$B:$B,0))="Oui, en amont ET aval"),
0.5,
0))))</f>
        <v>-1</v>
      </c>
      <c r="G25">
        <f>IF(DE_ress_transv!G25=-1,-1,
DE_ress_transv!G25+IF(AND(INDEX(Data_metier!$G:$G,MATCH(G$1,Data_metier!$B:$B,0))="Non",
INDEX(Data_metier!$G:$G,MATCH($A25,Data_metier!$B:$B,0))="Oui, en amont OU aval"),
0.5,
IF(AND(INDEX(Data_metier!$G:$G,MATCH(G$1,Data_metier!$B:$B,0))="Non",
INDEX(Data_metier!$G:$G,MATCH($A25,Data_metier!$B:$B,0))="Oui, en amont ET aval"),
1,
IF(AND(INDEX(Data_metier!$G:$G,MATCH(G$1,Data_metier!$B:$B,0))="Oui, en amont OU aval",
INDEX(Data_metier!$G:$G,MATCH($A25,Data_metier!$B:$B,0))="Oui, en amont ET aval"),
0.5,
0))))</f>
        <v>-1</v>
      </c>
      <c r="H25">
        <f>IF(DE_ress_transv!H25=-1,-1,
DE_ress_transv!H25+IF(AND(INDEX(Data_metier!$G:$G,MATCH(H$1,Data_metier!$B:$B,0))="Non",
INDEX(Data_metier!$G:$G,MATCH($A25,Data_metier!$B:$B,0))="Oui, en amont OU aval"),
0.5,
IF(AND(INDEX(Data_metier!$G:$G,MATCH(H$1,Data_metier!$B:$B,0))="Non",
INDEX(Data_metier!$G:$G,MATCH($A25,Data_metier!$B:$B,0))="Oui, en amont ET aval"),
1,
IF(AND(INDEX(Data_metier!$G:$G,MATCH(H$1,Data_metier!$B:$B,0))="Oui, en amont OU aval",
INDEX(Data_metier!$G:$G,MATCH($A25,Data_metier!$B:$B,0))="Oui, en amont ET aval"),
0.5,
0))))</f>
        <v>-1</v>
      </c>
      <c r="I25">
        <f>IF(DE_ress_transv!I25=-1,-1,
DE_ress_transv!I25+IF(AND(INDEX(Data_metier!$G:$G,MATCH(I$1,Data_metier!$B:$B,0))="Non",
INDEX(Data_metier!$G:$G,MATCH($A25,Data_metier!$B:$B,0))="Oui, en amont OU aval"),
0.5,
IF(AND(INDEX(Data_metier!$G:$G,MATCH(I$1,Data_metier!$B:$B,0))="Non",
INDEX(Data_metier!$G:$G,MATCH($A25,Data_metier!$B:$B,0))="Oui, en amont ET aval"),
1,
IF(AND(INDEX(Data_metier!$G:$G,MATCH(I$1,Data_metier!$B:$B,0))="Oui, en amont OU aval",
INDEX(Data_metier!$G:$G,MATCH($A25,Data_metier!$B:$B,0))="Oui, en amont ET aval"),
0.5,
0))))</f>
        <v>0</v>
      </c>
      <c r="J25">
        <f>IF(DE_ress_transv!J25=-1,-1,
DE_ress_transv!J25+IF(AND(INDEX(Data_metier!$G:$G,MATCH(J$1,Data_metier!$B:$B,0))="Non",
INDEX(Data_metier!$G:$G,MATCH($A25,Data_metier!$B:$B,0))="Oui, en amont OU aval"),
0.5,
IF(AND(INDEX(Data_metier!$G:$G,MATCH(J$1,Data_metier!$B:$B,0))="Non",
INDEX(Data_metier!$G:$G,MATCH($A25,Data_metier!$B:$B,0))="Oui, en amont ET aval"),
1,
IF(AND(INDEX(Data_metier!$G:$G,MATCH(J$1,Data_metier!$B:$B,0))="Oui, en amont OU aval",
INDEX(Data_metier!$G:$G,MATCH($A25,Data_metier!$B:$B,0))="Oui, en amont ET aval"),
0.5,
0))))</f>
        <v>-1</v>
      </c>
      <c r="K25">
        <f>IF(DE_ress_transv!K25=-1,-1,
DE_ress_transv!K25+IF(AND(INDEX(Data_metier!$G:$G,MATCH(K$1,Data_metier!$B:$B,0))="Non",
INDEX(Data_metier!$G:$G,MATCH($A25,Data_metier!$B:$B,0))="Oui, en amont OU aval"),
0.5,
IF(AND(INDEX(Data_metier!$G:$G,MATCH(K$1,Data_metier!$B:$B,0))="Non",
INDEX(Data_metier!$G:$G,MATCH($A25,Data_metier!$B:$B,0))="Oui, en amont ET aval"),
1,
IF(AND(INDEX(Data_metier!$G:$G,MATCH(K$1,Data_metier!$B:$B,0))="Oui, en amont OU aval",
INDEX(Data_metier!$G:$G,MATCH($A25,Data_metier!$B:$B,0))="Oui, en amont ET aval"),
0.5,
0))))</f>
        <v>-1</v>
      </c>
      <c r="L25">
        <f>IF(DE_ress_transv!L25=-1,-1,
DE_ress_transv!L25+IF(AND(INDEX(Data_metier!$G:$G,MATCH(L$1,Data_metier!$B:$B,0))="Non",
INDEX(Data_metier!$G:$G,MATCH($A25,Data_metier!$B:$B,0))="Oui, en amont OU aval"),
0.5,
IF(AND(INDEX(Data_metier!$G:$G,MATCH(L$1,Data_metier!$B:$B,0))="Non",
INDEX(Data_metier!$G:$G,MATCH($A25,Data_metier!$B:$B,0))="Oui, en amont ET aval"),
1,
IF(AND(INDEX(Data_metier!$G:$G,MATCH(L$1,Data_metier!$B:$B,0))="Oui, en amont OU aval",
INDEX(Data_metier!$G:$G,MATCH($A25,Data_metier!$B:$B,0))="Oui, en amont ET aval"),
0.5,
0))))</f>
        <v>0</v>
      </c>
      <c r="M25">
        <f>IF(DE_ress_transv!M25=-1,-1,
DE_ress_transv!M25+IF(AND(INDEX(Data_metier!$G:$G,MATCH(M$1,Data_metier!$B:$B,0))="Non",
INDEX(Data_metier!$G:$G,MATCH($A25,Data_metier!$B:$B,0))="Oui, en amont OU aval"),
0.5,
IF(AND(INDEX(Data_metier!$G:$G,MATCH(M$1,Data_metier!$B:$B,0))="Non",
INDEX(Data_metier!$G:$G,MATCH($A25,Data_metier!$B:$B,0))="Oui, en amont ET aval"),
1,
IF(AND(INDEX(Data_metier!$G:$G,MATCH(M$1,Data_metier!$B:$B,0))="Oui, en amont OU aval",
INDEX(Data_metier!$G:$G,MATCH($A25,Data_metier!$B:$B,0))="Oui, en amont ET aval"),
0.5,
0))))</f>
        <v>-1</v>
      </c>
      <c r="N25">
        <f>IF(DE_ress_transv!N25=-1,-1,
DE_ress_transv!N25+IF(AND(INDEX(Data_metier!$G:$G,MATCH(N$1,Data_metier!$B:$B,0))="Non",
INDEX(Data_metier!$G:$G,MATCH($A25,Data_metier!$B:$B,0))="Oui, en amont OU aval"),
0.5,
IF(AND(INDEX(Data_metier!$G:$G,MATCH(N$1,Data_metier!$B:$B,0))="Non",
INDEX(Data_metier!$G:$G,MATCH($A25,Data_metier!$B:$B,0))="Oui, en amont ET aval"),
1,
IF(AND(INDEX(Data_metier!$G:$G,MATCH(N$1,Data_metier!$B:$B,0))="Oui, en amont OU aval",
INDEX(Data_metier!$G:$G,MATCH($A25,Data_metier!$B:$B,0))="Oui, en amont ET aval"),
0.5,
0))))</f>
        <v>-1</v>
      </c>
      <c r="O25">
        <f>IF(DE_ress_transv!O25=-1,-1,
DE_ress_transv!O25+IF(AND(INDEX(Data_metier!$G:$G,MATCH(O$1,Data_metier!$B:$B,0))="Non",
INDEX(Data_metier!$G:$G,MATCH($A25,Data_metier!$B:$B,0))="Oui, en amont OU aval"),
0.5,
IF(AND(INDEX(Data_metier!$G:$G,MATCH(O$1,Data_metier!$B:$B,0))="Non",
INDEX(Data_metier!$G:$G,MATCH($A25,Data_metier!$B:$B,0))="Oui, en amont ET aval"),
1,
IF(AND(INDEX(Data_metier!$G:$G,MATCH(O$1,Data_metier!$B:$B,0))="Oui, en amont OU aval",
INDEX(Data_metier!$G:$G,MATCH($A25,Data_metier!$B:$B,0))="Oui, en amont ET aval"),
0.5,
0))))</f>
        <v>0</v>
      </c>
      <c r="P25">
        <f>IF(DE_ress_transv!P25=-1,-1,
DE_ress_transv!P25+IF(AND(INDEX(Data_metier!$G:$G,MATCH(P$1,Data_metier!$B:$B,0))="Non",
INDEX(Data_metier!$G:$G,MATCH($A25,Data_metier!$B:$B,0))="Oui, en amont OU aval"),
0.5,
IF(AND(INDEX(Data_metier!$G:$G,MATCH(P$1,Data_metier!$B:$B,0))="Non",
INDEX(Data_metier!$G:$G,MATCH($A25,Data_metier!$B:$B,0))="Oui, en amont ET aval"),
1,
IF(AND(INDEX(Data_metier!$G:$G,MATCH(P$1,Data_metier!$B:$B,0))="Oui, en amont OU aval",
INDEX(Data_metier!$G:$G,MATCH($A25,Data_metier!$B:$B,0))="Oui, en amont ET aval"),
0.5,
0))))</f>
        <v>0</v>
      </c>
      <c r="Q25">
        <f>IF(DE_ress_transv!Q25=-1,-1,
DE_ress_transv!Q25+IF(AND(INDEX(Data_metier!$G:$G,MATCH(Q$1,Data_metier!$B:$B,0))="Non",
INDEX(Data_metier!$G:$G,MATCH($A25,Data_metier!$B:$B,0))="Oui, en amont OU aval"),
0.5,
IF(AND(INDEX(Data_metier!$G:$G,MATCH(Q$1,Data_metier!$B:$B,0))="Non",
INDEX(Data_metier!$G:$G,MATCH($A25,Data_metier!$B:$B,0))="Oui, en amont ET aval"),
1,
IF(AND(INDEX(Data_metier!$G:$G,MATCH(Q$1,Data_metier!$B:$B,0))="Oui, en amont OU aval",
INDEX(Data_metier!$G:$G,MATCH($A25,Data_metier!$B:$B,0))="Oui, en amont ET aval"),
0.5,
0))))</f>
        <v>-1</v>
      </c>
      <c r="R25">
        <f>IF(DE_ress_transv!R25=-1,-1,
DE_ress_transv!R25+IF(AND(INDEX(Data_metier!$G:$G,MATCH(R$1,Data_metier!$B:$B,0))="Non",
INDEX(Data_metier!$G:$G,MATCH($A25,Data_metier!$B:$B,0))="Oui, en amont OU aval"),
0.5,
IF(AND(INDEX(Data_metier!$G:$G,MATCH(R$1,Data_metier!$B:$B,0))="Non",
INDEX(Data_metier!$G:$G,MATCH($A25,Data_metier!$B:$B,0))="Oui, en amont ET aval"),
1,
IF(AND(INDEX(Data_metier!$G:$G,MATCH(R$1,Data_metier!$B:$B,0))="Oui, en amont OU aval",
INDEX(Data_metier!$G:$G,MATCH($A25,Data_metier!$B:$B,0))="Oui, en amont ET aval"),
0.5,
0))))</f>
        <v>-1</v>
      </c>
      <c r="S25">
        <f>IF(DE_ress_transv!S25=-1,-1,
DE_ress_transv!S25+IF(AND(INDEX(Data_metier!$G:$G,MATCH(S$1,Data_metier!$B:$B,0))="Non",
INDEX(Data_metier!$G:$G,MATCH($A25,Data_metier!$B:$B,0))="Oui, en amont OU aval"),
0.5,
IF(AND(INDEX(Data_metier!$G:$G,MATCH(S$1,Data_metier!$B:$B,0))="Non",
INDEX(Data_metier!$G:$G,MATCH($A25,Data_metier!$B:$B,0))="Oui, en amont ET aval"),
1,
IF(AND(INDEX(Data_metier!$G:$G,MATCH(S$1,Data_metier!$B:$B,0))="Oui, en amont OU aval",
INDEX(Data_metier!$G:$G,MATCH($A25,Data_metier!$B:$B,0))="Oui, en amont ET aval"),
0.5,
0))))</f>
        <v>0</v>
      </c>
      <c r="T25">
        <f>IF(DE_ress_transv!T25=-1,-1,
DE_ress_transv!T25+IF(AND(INDEX(Data_metier!$G:$G,MATCH(T$1,Data_metier!$B:$B,0))="Non",
INDEX(Data_metier!$G:$G,MATCH($A25,Data_metier!$B:$B,0))="Oui, en amont OU aval"),
0.5,
IF(AND(INDEX(Data_metier!$G:$G,MATCH(T$1,Data_metier!$B:$B,0))="Non",
INDEX(Data_metier!$G:$G,MATCH($A25,Data_metier!$B:$B,0))="Oui, en amont ET aval"),
1,
IF(AND(INDEX(Data_metier!$G:$G,MATCH(T$1,Data_metier!$B:$B,0))="Oui, en amont OU aval",
INDEX(Data_metier!$G:$G,MATCH($A25,Data_metier!$B:$B,0))="Oui, en amont ET aval"),
0.5,
0))))</f>
        <v>0</v>
      </c>
      <c r="U25">
        <f>IF(DE_ress_transv!U25=-1,-1,
DE_ress_transv!U25+IF(AND(INDEX(Data_metier!$G:$G,MATCH(U$1,Data_metier!$B:$B,0))="Non",
INDEX(Data_metier!$G:$G,MATCH($A25,Data_metier!$B:$B,0))="Oui, en amont OU aval"),
0.5,
IF(AND(INDEX(Data_metier!$G:$G,MATCH(U$1,Data_metier!$B:$B,0))="Non",
INDEX(Data_metier!$G:$G,MATCH($A25,Data_metier!$B:$B,0))="Oui, en amont ET aval"),
1,
IF(AND(INDEX(Data_metier!$G:$G,MATCH(U$1,Data_metier!$B:$B,0))="Oui, en amont OU aval",
INDEX(Data_metier!$G:$G,MATCH($A25,Data_metier!$B:$B,0))="Oui, en amont ET aval"),
0.5,
0))))</f>
        <v>0</v>
      </c>
      <c r="V25">
        <f>IF(DE_ress_transv!V25=-1,-1,
DE_ress_transv!V25+IF(AND(INDEX(Data_metier!$G:$G,MATCH(V$1,Data_metier!$B:$B,0))="Non",
INDEX(Data_metier!$G:$G,MATCH($A25,Data_metier!$B:$B,0))="Oui, en amont OU aval"),
0.5,
IF(AND(INDEX(Data_metier!$G:$G,MATCH(V$1,Data_metier!$B:$B,0))="Non",
INDEX(Data_metier!$G:$G,MATCH($A25,Data_metier!$B:$B,0))="Oui, en amont ET aval"),
1,
IF(AND(INDEX(Data_metier!$G:$G,MATCH(V$1,Data_metier!$B:$B,0))="Oui, en amont OU aval",
INDEX(Data_metier!$G:$G,MATCH($A25,Data_metier!$B:$B,0))="Oui, en amont ET aval"),
0.5,
0))))</f>
        <v>-1</v>
      </c>
      <c r="W25">
        <f>IF(DE_ress_transv!W25=-1,-1,
DE_ress_transv!W25+IF(AND(INDEX(Data_metier!$G:$G,MATCH(W$1,Data_metier!$B:$B,0))="Non",
INDEX(Data_metier!$G:$G,MATCH($A25,Data_metier!$B:$B,0))="Oui, en amont OU aval"),
0.5,
IF(AND(INDEX(Data_metier!$G:$G,MATCH(W$1,Data_metier!$B:$B,0))="Non",
INDEX(Data_metier!$G:$G,MATCH($A25,Data_metier!$B:$B,0))="Oui, en amont ET aval"),
1,
IF(AND(INDEX(Data_metier!$G:$G,MATCH(W$1,Data_metier!$B:$B,0))="Oui, en amont OU aval",
INDEX(Data_metier!$G:$G,MATCH($A25,Data_metier!$B:$B,0))="Oui, en amont ET aval"),
0.5,
0))))</f>
        <v>-1</v>
      </c>
      <c r="X25">
        <f>IF(DE_ress_transv!X25=-1,-1,
DE_ress_transv!X25+IF(AND(INDEX(Data_metier!$G:$G,MATCH(X$1,Data_metier!$B:$B,0))="Non",
INDEX(Data_metier!$G:$G,MATCH($A25,Data_metier!$B:$B,0))="Oui, en amont OU aval"),
0.5,
IF(AND(INDEX(Data_metier!$G:$G,MATCH(X$1,Data_metier!$B:$B,0))="Non",
INDEX(Data_metier!$G:$G,MATCH($A25,Data_metier!$B:$B,0))="Oui, en amont ET aval"),
1,
IF(AND(INDEX(Data_metier!$G:$G,MATCH(X$1,Data_metier!$B:$B,0))="Oui, en amont OU aval",
INDEX(Data_metier!$G:$G,MATCH($A25,Data_metier!$B:$B,0))="Oui, en amont ET aval"),
0.5,
0))))</f>
        <v>-1</v>
      </c>
      <c r="Y25">
        <f>IF(DE_ress_transv!Y25=-1,-1,
DE_ress_transv!Y25+IF(AND(INDEX(Data_metier!$G:$G,MATCH(Y$1,Data_metier!$B:$B,0))="Non",
INDEX(Data_metier!$G:$G,MATCH($A25,Data_metier!$B:$B,0))="Oui, en amont OU aval"),
0.5,
IF(AND(INDEX(Data_metier!$G:$G,MATCH(Y$1,Data_metier!$B:$B,0))="Non",
INDEX(Data_metier!$G:$G,MATCH($A25,Data_metier!$B:$B,0))="Oui, en amont ET aval"),
1,
IF(AND(INDEX(Data_metier!$G:$G,MATCH(Y$1,Data_metier!$B:$B,0))="Oui, en amont OU aval",
INDEX(Data_metier!$G:$G,MATCH($A25,Data_metier!$B:$B,0))="Oui, en amont ET aval"),
0.5,
0))))</f>
        <v>0</v>
      </c>
      <c r="Z25">
        <f>IF(DE_ress_transv!Z25=-1,-1,
DE_ress_transv!Z25+IF(AND(INDEX(Data_metier!$G:$G,MATCH(Z$1,Data_metier!$B:$B,0))="Non",
INDEX(Data_metier!$G:$G,MATCH($A25,Data_metier!$B:$B,0))="Oui, en amont OU aval"),
0.5,
IF(AND(INDEX(Data_metier!$G:$G,MATCH(Z$1,Data_metier!$B:$B,0))="Non",
INDEX(Data_metier!$G:$G,MATCH($A25,Data_metier!$B:$B,0))="Oui, en amont ET aval"),
1,
IF(AND(INDEX(Data_metier!$G:$G,MATCH(Z$1,Data_metier!$B:$B,0))="Oui, en amont OU aval",
INDEX(Data_metier!$G:$G,MATCH($A25,Data_metier!$B:$B,0))="Oui, en amont ET aval"),
0.5,
0))))</f>
        <v>0</v>
      </c>
      <c r="AA25">
        <f>IF(DE_ress_transv!AA25=-1,-1,
DE_ress_transv!AA25+IF(AND(INDEX(Data_metier!$G:$G,MATCH(AA$1,Data_metier!$B:$B,0))="Non",
INDEX(Data_metier!$G:$G,MATCH($A25,Data_metier!$B:$B,0))="Oui, en amont OU aval"),
0.5,
IF(AND(INDEX(Data_metier!$G:$G,MATCH(AA$1,Data_metier!$B:$B,0))="Non",
INDEX(Data_metier!$G:$G,MATCH($A25,Data_metier!$B:$B,0))="Oui, en amont ET aval"),
1,
IF(AND(INDEX(Data_metier!$G:$G,MATCH(AA$1,Data_metier!$B:$B,0))="Oui, en amont OU aval",
INDEX(Data_metier!$G:$G,MATCH($A25,Data_metier!$B:$B,0))="Oui, en amont ET aval"),
0.5,
0))))</f>
        <v>0</v>
      </c>
      <c r="AB25">
        <f>IF(DE_ress_transv!AB25=-1,-1,
DE_ress_transv!AB25+IF(AND(INDEX(Data_metier!$G:$G,MATCH(AB$1,Data_metier!$B:$B,0))="Non",
INDEX(Data_metier!$G:$G,MATCH($A25,Data_metier!$B:$B,0))="Oui, en amont OU aval"),
0.5,
IF(AND(INDEX(Data_metier!$G:$G,MATCH(AB$1,Data_metier!$B:$B,0))="Non",
INDEX(Data_metier!$G:$G,MATCH($A25,Data_metier!$B:$B,0))="Oui, en amont ET aval"),
1,
IF(AND(INDEX(Data_metier!$G:$G,MATCH(AB$1,Data_metier!$B:$B,0))="Oui, en amont OU aval",
INDEX(Data_metier!$G:$G,MATCH($A25,Data_metier!$B:$B,0))="Oui, en amont ET aval"),
0.5,
0))))</f>
        <v>-1</v>
      </c>
      <c r="AC25">
        <f>IF(DE_ress_transv!AC25=-1,-1,
DE_ress_transv!AC25+IF(AND(INDEX(Data_metier!$G:$G,MATCH(AC$1,Data_metier!$B:$B,0))="Non",
INDEX(Data_metier!$G:$G,MATCH($A25,Data_metier!$B:$B,0))="Oui, en amont OU aval"),
0.5,
IF(AND(INDEX(Data_metier!$G:$G,MATCH(AC$1,Data_metier!$B:$B,0))="Non",
INDEX(Data_metier!$G:$G,MATCH($A25,Data_metier!$B:$B,0))="Oui, en amont ET aval"),
1,
IF(AND(INDEX(Data_metier!$G:$G,MATCH(AC$1,Data_metier!$B:$B,0))="Oui, en amont OU aval",
INDEX(Data_metier!$G:$G,MATCH($A25,Data_metier!$B:$B,0))="Oui, en amont ET aval"),
0.5,
0))))</f>
        <v>-1</v>
      </c>
      <c r="AD25">
        <f>IF(DE_ress_transv!AD25=-1,-1,
DE_ress_transv!AD25+IF(AND(INDEX(Data_metier!$G:$G,MATCH(AD$1,Data_metier!$B:$B,0))="Non",
INDEX(Data_metier!$G:$G,MATCH($A25,Data_metier!$B:$B,0))="Oui, en amont OU aval"),
0.5,
IF(AND(INDEX(Data_metier!$G:$G,MATCH(AD$1,Data_metier!$B:$B,0))="Non",
INDEX(Data_metier!$G:$G,MATCH($A25,Data_metier!$B:$B,0))="Oui, en amont ET aval"),
1,
IF(AND(INDEX(Data_metier!$G:$G,MATCH(AD$1,Data_metier!$B:$B,0))="Oui, en amont OU aval",
INDEX(Data_metier!$G:$G,MATCH($A25,Data_metier!$B:$B,0))="Oui, en amont ET aval"),
0.5,
0))))</f>
        <v>-1</v>
      </c>
    </row>
    <row r="26" spans="1:30">
      <c r="A26" s="55" t="str">
        <v>Fromager(ère) industriel(le)</v>
      </c>
      <c r="B26">
        <f>IF(DE_ress_transv!B26=-1,-1,
DE_ress_transv!B26+IF(AND(INDEX(Data_metier!$G:$G,MATCH(B$1,Data_metier!$B:$B,0))="Non",
INDEX(Data_metier!$G:$G,MATCH($A26,Data_metier!$B:$B,0))="Oui, en amont OU aval"),
0.5,
IF(AND(INDEX(Data_metier!$G:$G,MATCH(B$1,Data_metier!$B:$B,0))="Non",
INDEX(Data_metier!$G:$G,MATCH($A26,Data_metier!$B:$B,0))="Oui, en amont ET aval"),
1,
IF(AND(INDEX(Data_metier!$G:$G,MATCH(B$1,Data_metier!$B:$B,0))="Oui, en amont OU aval",
INDEX(Data_metier!$G:$G,MATCH($A26,Data_metier!$B:$B,0))="Oui, en amont ET aval"),
0.5,
0))))</f>
        <v>-1</v>
      </c>
      <c r="C26">
        <f>IF(DE_ress_transv!C26=-1,-1,
DE_ress_transv!C26+IF(AND(INDEX(Data_metier!$G:$G,MATCH(C$1,Data_metier!$B:$B,0))="Non",
INDEX(Data_metier!$G:$G,MATCH($A26,Data_metier!$B:$B,0))="Oui, en amont OU aval"),
0.5,
IF(AND(INDEX(Data_metier!$G:$G,MATCH(C$1,Data_metier!$B:$B,0))="Non",
INDEX(Data_metier!$G:$G,MATCH($A26,Data_metier!$B:$B,0))="Oui, en amont ET aval"),
1,
IF(AND(INDEX(Data_metier!$G:$G,MATCH(C$1,Data_metier!$B:$B,0))="Oui, en amont OU aval",
INDEX(Data_metier!$G:$G,MATCH($A26,Data_metier!$B:$B,0))="Oui, en amont ET aval"),
0.5,
0))))</f>
        <v>-1</v>
      </c>
      <c r="D26">
        <f>IF(DE_ress_transv!D26=-1,-1,
DE_ress_transv!D26+IF(AND(INDEX(Data_metier!$G:$G,MATCH(D$1,Data_metier!$B:$B,0))="Non",
INDEX(Data_metier!$G:$G,MATCH($A26,Data_metier!$B:$B,0))="Oui, en amont OU aval"),
0.5,
IF(AND(INDEX(Data_metier!$G:$G,MATCH(D$1,Data_metier!$B:$B,0))="Non",
INDEX(Data_metier!$G:$G,MATCH($A26,Data_metier!$B:$B,0))="Oui, en amont ET aval"),
1,
IF(AND(INDEX(Data_metier!$G:$G,MATCH(D$1,Data_metier!$B:$B,0))="Oui, en amont OU aval",
INDEX(Data_metier!$G:$G,MATCH($A26,Data_metier!$B:$B,0))="Oui, en amont ET aval"),
0.5,
0))))</f>
        <v>0</v>
      </c>
      <c r="E26">
        <f>IF(DE_ress_transv!E26=-1,-1,
DE_ress_transv!E26+IF(AND(INDEX(Data_metier!$G:$G,MATCH(E$1,Data_metier!$B:$B,0))="Non",
INDEX(Data_metier!$G:$G,MATCH($A26,Data_metier!$B:$B,0))="Oui, en amont OU aval"),
0.5,
IF(AND(INDEX(Data_metier!$G:$G,MATCH(E$1,Data_metier!$B:$B,0))="Non",
INDEX(Data_metier!$G:$G,MATCH($A26,Data_metier!$B:$B,0))="Oui, en amont ET aval"),
1,
IF(AND(INDEX(Data_metier!$G:$G,MATCH(E$1,Data_metier!$B:$B,0))="Oui, en amont OU aval",
INDEX(Data_metier!$G:$G,MATCH($A26,Data_metier!$B:$B,0))="Oui, en amont ET aval"),
0.5,
0))))</f>
        <v>-1</v>
      </c>
      <c r="F26">
        <f>IF(DE_ress_transv!F26=-1,-1,
DE_ress_transv!F26+IF(AND(INDEX(Data_metier!$G:$G,MATCH(F$1,Data_metier!$B:$B,0))="Non",
INDEX(Data_metier!$G:$G,MATCH($A26,Data_metier!$B:$B,0))="Oui, en amont OU aval"),
0.5,
IF(AND(INDEX(Data_metier!$G:$G,MATCH(F$1,Data_metier!$B:$B,0))="Non",
INDEX(Data_metier!$G:$G,MATCH($A26,Data_metier!$B:$B,0))="Oui, en amont ET aval"),
1,
IF(AND(INDEX(Data_metier!$G:$G,MATCH(F$1,Data_metier!$B:$B,0))="Oui, en amont OU aval",
INDEX(Data_metier!$G:$G,MATCH($A26,Data_metier!$B:$B,0))="Oui, en amont ET aval"),
0.5,
0))))</f>
        <v>-1</v>
      </c>
      <c r="G26">
        <f>IF(DE_ress_transv!G26=-1,-1,
DE_ress_transv!G26+IF(AND(INDEX(Data_metier!$G:$G,MATCH(G$1,Data_metier!$B:$B,0))="Non",
INDEX(Data_metier!$G:$G,MATCH($A26,Data_metier!$B:$B,0))="Oui, en amont OU aval"),
0.5,
IF(AND(INDEX(Data_metier!$G:$G,MATCH(G$1,Data_metier!$B:$B,0))="Non",
INDEX(Data_metier!$G:$G,MATCH($A26,Data_metier!$B:$B,0))="Oui, en amont ET aval"),
1,
IF(AND(INDEX(Data_metier!$G:$G,MATCH(G$1,Data_metier!$B:$B,0))="Oui, en amont OU aval",
INDEX(Data_metier!$G:$G,MATCH($A26,Data_metier!$B:$B,0))="Oui, en amont ET aval"),
0.5,
0))))</f>
        <v>-1</v>
      </c>
      <c r="H26">
        <f>IF(DE_ress_transv!H26=-1,-1,
DE_ress_transv!H26+IF(AND(INDEX(Data_metier!$G:$G,MATCH(H$1,Data_metier!$B:$B,0))="Non",
INDEX(Data_metier!$G:$G,MATCH($A26,Data_metier!$B:$B,0))="Oui, en amont OU aval"),
0.5,
IF(AND(INDEX(Data_metier!$G:$G,MATCH(H$1,Data_metier!$B:$B,0))="Non",
INDEX(Data_metier!$G:$G,MATCH($A26,Data_metier!$B:$B,0))="Oui, en amont ET aval"),
1,
IF(AND(INDEX(Data_metier!$G:$G,MATCH(H$1,Data_metier!$B:$B,0))="Oui, en amont OU aval",
INDEX(Data_metier!$G:$G,MATCH($A26,Data_metier!$B:$B,0))="Oui, en amont ET aval"),
0.5,
0))))</f>
        <v>-1</v>
      </c>
      <c r="I26">
        <f>IF(DE_ress_transv!I26=-1,-1,
DE_ress_transv!I26+IF(AND(INDEX(Data_metier!$G:$G,MATCH(I$1,Data_metier!$B:$B,0))="Non",
INDEX(Data_metier!$G:$G,MATCH($A26,Data_metier!$B:$B,0))="Oui, en amont OU aval"),
0.5,
IF(AND(INDEX(Data_metier!$G:$G,MATCH(I$1,Data_metier!$B:$B,0))="Non",
INDEX(Data_metier!$G:$G,MATCH($A26,Data_metier!$B:$B,0))="Oui, en amont ET aval"),
1,
IF(AND(INDEX(Data_metier!$G:$G,MATCH(I$1,Data_metier!$B:$B,0))="Oui, en amont OU aval",
INDEX(Data_metier!$G:$G,MATCH($A26,Data_metier!$B:$B,0))="Oui, en amont ET aval"),
0.5,
0))))</f>
        <v>0</v>
      </c>
      <c r="J26">
        <f>IF(DE_ress_transv!J26=-1,-1,
DE_ress_transv!J26+IF(AND(INDEX(Data_metier!$G:$G,MATCH(J$1,Data_metier!$B:$B,0))="Non",
INDEX(Data_metier!$G:$G,MATCH($A26,Data_metier!$B:$B,0))="Oui, en amont OU aval"),
0.5,
IF(AND(INDEX(Data_metier!$G:$G,MATCH(J$1,Data_metier!$B:$B,0))="Non",
INDEX(Data_metier!$G:$G,MATCH($A26,Data_metier!$B:$B,0))="Oui, en amont ET aval"),
1,
IF(AND(INDEX(Data_metier!$G:$G,MATCH(J$1,Data_metier!$B:$B,0))="Oui, en amont OU aval",
INDEX(Data_metier!$G:$G,MATCH($A26,Data_metier!$B:$B,0))="Oui, en amont ET aval"),
0.5,
0))))</f>
        <v>-1</v>
      </c>
      <c r="K26">
        <f>IF(DE_ress_transv!K26=-1,-1,
DE_ress_transv!K26+IF(AND(INDEX(Data_metier!$G:$G,MATCH(K$1,Data_metier!$B:$B,0))="Non",
INDEX(Data_metier!$G:$G,MATCH($A26,Data_metier!$B:$B,0))="Oui, en amont OU aval"),
0.5,
IF(AND(INDEX(Data_metier!$G:$G,MATCH(K$1,Data_metier!$B:$B,0))="Non",
INDEX(Data_metier!$G:$G,MATCH($A26,Data_metier!$B:$B,0))="Oui, en amont ET aval"),
1,
IF(AND(INDEX(Data_metier!$G:$G,MATCH(K$1,Data_metier!$B:$B,0))="Oui, en amont OU aval",
INDEX(Data_metier!$G:$G,MATCH($A26,Data_metier!$B:$B,0))="Oui, en amont ET aval"),
0.5,
0))))</f>
        <v>-1</v>
      </c>
      <c r="L26">
        <f>IF(DE_ress_transv!L26=-1,-1,
DE_ress_transv!L26+IF(AND(INDEX(Data_metier!$G:$G,MATCH(L$1,Data_metier!$B:$B,0))="Non",
INDEX(Data_metier!$G:$G,MATCH($A26,Data_metier!$B:$B,0))="Oui, en amont OU aval"),
0.5,
IF(AND(INDEX(Data_metier!$G:$G,MATCH(L$1,Data_metier!$B:$B,0))="Non",
INDEX(Data_metier!$G:$G,MATCH($A26,Data_metier!$B:$B,0))="Oui, en amont ET aval"),
1,
IF(AND(INDEX(Data_metier!$G:$G,MATCH(L$1,Data_metier!$B:$B,0))="Oui, en amont OU aval",
INDEX(Data_metier!$G:$G,MATCH($A26,Data_metier!$B:$B,0))="Oui, en amont ET aval"),
0.5,
0))))</f>
        <v>0</v>
      </c>
      <c r="M26">
        <f>IF(DE_ress_transv!M26=-1,-1,
DE_ress_transv!M26+IF(AND(INDEX(Data_metier!$G:$G,MATCH(M$1,Data_metier!$B:$B,0))="Non",
INDEX(Data_metier!$G:$G,MATCH($A26,Data_metier!$B:$B,0))="Oui, en amont OU aval"),
0.5,
IF(AND(INDEX(Data_metier!$G:$G,MATCH(M$1,Data_metier!$B:$B,0))="Non",
INDEX(Data_metier!$G:$G,MATCH($A26,Data_metier!$B:$B,0))="Oui, en amont ET aval"),
1,
IF(AND(INDEX(Data_metier!$G:$G,MATCH(M$1,Data_metier!$B:$B,0))="Oui, en amont OU aval",
INDEX(Data_metier!$G:$G,MATCH($A26,Data_metier!$B:$B,0))="Oui, en amont ET aval"),
0.5,
0))))</f>
        <v>-1</v>
      </c>
      <c r="N26">
        <f>IF(DE_ress_transv!N26=-1,-1,
DE_ress_transv!N26+IF(AND(INDEX(Data_metier!$G:$G,MATCH(N$1,Data_metier!$B:$B,0))="Non",
INDEX(Data_metier!$G:$G,MATCH($A26,Data_metier!$B:$B,0))="Oui, en amont OU aval"),
0.5,
IF(AND(INDEX(Data_metier!$G:$G,MATCH(N$1,Data_metier!$B:$B,0))="Non",
INDEX(Data_metier!$G:$G,MATCH($A26,Data_metier!$B:$B,0))="Oui, en amont ET aval"),
1,
IF(AND(INDEX(Data_metier!$G:$G,MATCH(N$1,Data_metier!$B:$B,0))="Oui, en amont OU aval",
INDEX(Data_metier!$G:$G,MATCH($A26,Data_metier!$B:$B,0))="Oui, en amont ET aval"),
0.5,
0))))</f>
        <v>-1</v>
      </c>
      <c r="O26">
        <f>IF(DE_ress_transv!O26=-1,-1,
DE_ress_transv!O26+IF(AND(INDEX(Data_metier!$G:$G,MATCH(O$1,Data_metier!$B:$B,0))="Non",
INDEX(Data_metier!$G:$G,MATCH($A26,Data_metier!$B:$B,0))="Oui, en amont OU aval"),
0.5,
IF(AND(INDEX(Data_metier!$G:$G,MATCH(O$1,Data_metier!$B:$B,0))="Non",
INDEX(Data_metier!$G:$G,MATCH($A26,Data_metier!$B:$B,0))="Oui, en amont ET aval"),
1,
IF(AND(INDEX(Data_metier!$G:$G,MATCH(O$1,Data_metier!$B:$B,0))="Oui, en amont OU aval",
INDEX(Data_metier!$G:$G,MATCH($A26,Data_metier!$B:$B,0))="Oui, en amont ET aval"),
0.5,
0))))</f>
        <v>0</v>
      </c>
      <c r="P26">
        <f>IF(DE_ress_transv!P26=-1,-1,
DE_ress_transv!P26+IF(AND(INDEX(Data_metier!$G:$G,MATCH(P$1,Data_metier!$B:$B,0))="Non",
INDEX(Data_metier!$G:$G,MATCH($A26,Data_metier!$B:$B,0))="Oui, en amont OU aval"),
0.5,
IF(AND(INDEX(Data_metier!$G:$G,MATCH(P$1,Data_metier!$B:$B,0))="Non",
INDEX(Data_metier!$G:$G,MATCH($A26,Data_metier!$B:$B,0))="Oui, en amont ET aval"),
1,
IF(AND(INDEX(Data_metier!$G:$G,MATCH(P$1,Data_metier!$B:$B,0))="Oui, en amont OU aval",
INDEX(Data_metier!$G:$G,MATCH($A26,Data_metier!$B:$B,0))="Oui, en amont ET aval"),
0.5,
0))))</f>
        <v>0</v>
      </c>
      <c r="Q26">
        <f>IF(DE_ress_transv!Q26=-1,-1,
DE_ress_transv!Q26+IF(AND(INDEX(Data_metier!$G:$G,MATCH(Q$1,Data_metier!$B:$B,0))="Non",
INDEX(Data_metier!$G:$G,MATCH($A26,Data_metier!$B:$B,0))="Oui, en amont OU aval"),
0.5,
IF(AND(INDEX(Data_metier!$G:$G,MATCH(Q$1,Data_metier!$B:$B,0))="Non",
INDEX(Data_metier!$G:$G,MATCH($A26,Data_metier!$B:$B,0))="Oui, en amont ET aval"),
1,
IF(AND(INDEX(Data_metier!$G:$G,MATCH(Q$1,Data_metier!$B:$B,0))="Oui, en amont OU aval",
INDEX(Data_metier!$G:$G,MATCH($A26,Data_metier!$B:$B,0))="Oui, en amont ET aval"),
0.5,
0))))</f>
        <v>-1</v>
      </c>
      <c r="R26">
        <f>IF(DE_ress_transv!R26=-1,-1,
DE_ress_transv!R26+IF(AND(INDEX(Data_metier!$G:$G,MATCH(R$1,Data_metier!$B:$B,0))="Non",
INDEX(Data_metier!$G:$G,MATCH($A26,Data_metier!$B:$B,0))="Oui, en amont OU aval"),
0.5,
IF(AND(INDEX(Data_metier!$G:$G,MATCH(R$1,Data_metier!$B:$B,0))="Non",
INDEX(Data_metier!$G:$G,MATCH($A26,Data_metier!$B:$B,0))="Oui, en amont ET aval"),
1,
IF(AND(INDEX(Data_metier!$G:$G,MATCH(R$1,Data_metier!$B:$B,0))="Oui, en amont OU aval",
INDEX(Data_metier!$G:$G,MATCH($A26,Data_metier!$B:$B,0))="Oui, en amont ET aval"),
0.5,
0))))</f>
        <v>-1</v>
      </c>
      <c r="S26">
        <f>IF(DE_ress_transv!S26=-1,-1,
DE_ress_transv!S26+IF(AND(INDEX(Data_metier!$G:$G,MATCH(S$1,Data_metier!$B:$B,0))="Non",
INDEX(Data_metier!$G:$G,MATCH($A26,Data_metier!$B:$B,0))="Oui, en amont OU aval"),
0.5,
IF(AND(INDEX(Data_metier!$G:$G,MATCH(S$1,Data_metier!$B:$B,0))="Non",
INDEX(Data_metier!$G:$G,MATCH($A26,Data_metier!$B:$B,0))="Oui, en amont ET aval"),
1,
IF(AND(INDEX(Data_metier!$G:$G,MATCH(S$1,Data_metier!$B:$B,0))="Oui, en amont OU aval",
INDEX(Data_metier!$G:$G,MATCH($A26,Data_metier!$B:$B,0))="Oui, en amont ET aval"),
0.5,
0))))</f>
        <v>0</v>
      </c>
      <c r="T26">
        <f>IF(DE_ress_transv!T26=-1,-1,
DE_ress_transv!T26+IF(AND(INDEX(Data_metier!$G:$G,MATCH(T$1,Data_metier!$B:$B,0))="Non",
INDEX(Data_metier!$G:$G,MATCH($A26,Data_metier!$B:$B,0))="Oui, en amont OU aval"),
0.5,
IF(AND(INDEX(Data_metier!$G:$G,MATCH(T$1,Data_metier!$B:$B,0))="Non",
INDEX(Data_metier!$G:$G,MATCH($A26,Data_metier!$B:$B,0))="Oui, en amont ET aval"),
1,
IF(AND(INDEX(Data_metier!$G:$G,MATCH(T$1,Data_metier!$B:$B,0))="Oui, en amont OU aval",
INDEX(Data_metier!$G:$G,MATCH($A26,Data_metier!$B:$B,0))="Oui, en amont ET aval"),
0.5,
0))))</f>
        <v>0</v>
      </c>
      <c r="U26">
        <f>IF(DE_ress_transv!U26=-1,-1,
DE_ress_transv!U26+IF(AND(INDEX(Data_metier!$G:$G,MATCH(U$1,Data_metier!$B:$B,0))="Non",
INDEX(Data_metier!$G:$G,MATCH($A26,Data_metier!$B:$B,0))="Oui, en amont OU aval"),
0.5,
IF(AND(INDEX(Data_metier!$G:$G,MATCH(U$1,Data_metier!$B:$B,0))="Non",
INDEX(Data_metier!$G:$G,MATCH($A26,Data_metier!$B:$B,0))="Oui, en amont ET aval"),
1,
IF(AND(INDEX(Data_metier!$G:$G,MATCH(U$1,Data_metier!$B:$B,0))="Oui, en amont OU aval",
INDEX(Data_metier!$G:$G,MATCH($A26,Data_metier!$B:$B,0))="Oui, en amont ET aval"),
0.5,
0))))</f>
        <v>0</v>
      </c>
      <c r="V26">
        <f>IF(DE_ress_transv!V26=-1,-1,
DE_ress_transv!V26+IF(AND(INDEX(Data_metier!$G:$G,MATCH(V$1,Data_metier!$B:$B,0))="Non",
INDEX(Data_metier!$G:$G,MATCH($A26,Data_metier!$B:$B,0))="Oui, en amont OU aval"),
0.5,
IF(AND(INDEX(Data_metier!$G:$G,MATCH(V$1,Data_metier!$B:$B,0))="Non",
INDEX(Data_metier!$G:$G,MATCH($A26,Data_metier!$B:$B,0))="Oui, en amont ET aval"),
1,
IF(AND(INDEX(Data_metier!$G:$G,MATCH(V$1,Data_metier!$B:$B,0))="Oui, en amont OU aval",
INDEX(Data_metier!$G:$G,MATCH($A26,Data_metier!$B:$B,0))="Oui, en amont ET aval"),
0.5,
0))))</f>
        <v>-1</v>
      </c>
      <c r="W26">
        <f>IF(DE_ress_transv!W26=-1,-1,
DE_ress_transv!W26+IF(AND(INDEX(Data_metier!$G:$G,MATCH(W$1,Data_metier!$B:$B,0))="Non",
INDEX(Data_metier!$G:$G,MATCH($A26,Data_metier!$B:$B,0))="Oui, en amont OU aval"),
0.5,
IF(AND(INDEX(Data_metier!$G:$G,MATCH(W$1,Data_metier!$B:$B,0))="Non",
INDEX(Data_metier!$G:$G,MATCH($A26,Data_metier!$B:$B,0))="Oui, en amont ET aval"),
1,
IF(AND(INDEX(Data_metier!$G:$G,MATCH(W$1,Data_metier!$B:$B,0))="Oui, en amont OU aval",
INDEX(Data_metier!$G:$G,MATCH($A26,Data_metier!$B:$B,0))="Oui, en amont ET aval"),
0.5,
0))))</f>
        <v>-1</v>
      </c>
      <c r="X26">
        <f>IF(DE_ress_transv!X26=-1,-1,
DE_ress_transv!X26+IF(AND(INDEX(Data_metier!$G:$G,MATCH(X$1,Data_metier!$B:$B,0))="Non",
INDEX(Data_metier!$G:$G,MATCH($A26,Data_metier!$B:$B,0))="Oui, en amont OU aval"),
0.5,
IF(AND(INDEX(Data_metier!$G:$G,MATCH(X$1,Data_metier!$B:$B,0))="Non",
INDEX(Data_metier!$G:$G,MATCH($A26,Data_metier!$B:$B,0))="Oui, en amont ET aval"),
1,
IF(AND(INDEX(Data_metier!$G:$G,MATCH(X$1,Data_metier!$B:$B,0))="Oui, en amont OU aval",
INDEX(Data_metier!$G:$G,MATCH($A26,Data_metier!$B:$B,0))="Oui, en amont ET aval"),
0.5,
0))))</f>
        <v>-1</v>
      </c>
      <c r="Y26">
        <f>IF(DE_ress_transv!Y26=-1,-1,
DE_ress_transv!Y26+IF(AND(INDEX(Data_metier!$G:$G,MATCH(Y$1,Data_metier!$B:$B,0))="Non",
INDEX(Data_metier!$G:$G,MATCH($A26,Data_metier!$B:$B,0))="Oui, en amont OU aval"),
0.5,
IF(AND(INDEX(Data_metier!$G:$G,MATCH(Y$1,Data_metier!$B:$B,0))="Non",
INDEX(Data_metier!$G:$G,MATCH($A26,Data_metier!$B:$B,0))="Oui, en amont ET aval"),
1,
IF(AND(INDEX(Data_metier!$G:$G,MATCH(Y$1,Data_metier!$B:$B,0))="Oui, en amont OU aval",
INDEX(Data_metier!$G:$G,MATCH($A26,Data_metier!$B:$B,0))="Oui, en amont ET aval"),
0.5,
0))))</f>
        <v>0</v>
      </c>
      <c r="Z26">
        <f>IF(DE_ress_transv!Z26=-1,-1,
DE_ress_transv!Z26+IF(AND(INDEX(Data_metier!$G:$G,MATCH(Z$1,Data_metier!$B:$B,0))="Non",
INDEX(Data_metier!$G:$G,MATCH($A26,Data_metier!$B:$B,0))="Oui, en amont OU aval"),
0.5,
IF(AND(INDEX(Data_metier!$G:$G,MATCH(Z$1,Data_metier!$B:$B,0))="Non",
INDEX(Data_metier!$G:$G,MATCH($A26,Data_metier!$B:$B,0))="Oui, en amont ET aval"),
1,
IF(AND(INDEX(Data_metier!$G:$G,MATCH(Z$1,Data_metier!$B:$B,0))="Oui, en amont OU aval",
INDEX(Data_metier!$G:$G,MATCH($A26,Data_metier!$B:$B,0))="Oui, en amont ET aval"),
0.5,
0))))</f>
        <v>0</v>
      </c>
      <c r="AA26">
        <f>IF(DE_ress_transv!AA26=-1,-1,
DE_ress_transv!AA26+IF(AND(INDEX(Data_metier!$G:$G,MATCH(AA$1,Data_metier!$B:$B,0))="Non",
INDEX(Data_metier!$G:$G,MATCH($A26,Data_metier!$B:$B,0))="Oui, en amont OU aval"),
0.5,
IF(AND(INDEX(Data_metier!$G:$G,MATCH(AA$1,Data_metier!$B:$B,0))="Non",
INDEX(Data_metier!$G:$G,MATCH($A26,Data_metier!$B:$B,0))="Oui, en amont ET aval"),
1,
IF(AND(INDEX(Data_metier!$G:$G,MATCH(AA$1,Data_metier!$B:$B,0))="Oui, en amont OU aval",
INDEX(Data_metier!$G:$G,MATCH($A26,Data_metier!$B:$B,0))="Oui, en amont ET aval"),
0.5,
0))))</f>
        <v>0</v>
      </c>
      <c r="AB26">
        <f>IF(DE_ress_transv!AB26=-1,-1,
DE_ress_transv!AB26+IF(AND(INDEX(Data_metier!$G:$G,MATCH(AB$1,Data_metier!$B:$B,0))="Non",
INDEX(Data_metier!$G:$G,MATCH($A26,Data_metier!$B:$B,0))="Oui, en amont OU aval"),
0.5,
IF(AND(INDEX(Data_metier!$G:$G,MATCH(AB$1,Data_metier!$B:$B,0))="Non",
INDEX(Data_metier!$G:$G,MATCH($A26,Data_metier!$B:$B,0))="Oui, en amont ET aval"),
1,
IF(AND(INDEX(Data_metier!$G:$G,MATCH(AB$1,Data_metier!$B:$B,0))="Oui, en amont OU aval",
INDEX(Data_metier!$G:$G,MATCH($A26,Data_metier!$B:$B,0))="Oui, en amont ET aval"),
0.5,
0))))</f>
        <v>-1</v>
      </c>
      <c r="AC26">
        <f>IF(DE_ress_transv!AC26=-1,-1,
DE_ress_transv!AC26+IF(AND(INDEX(Data_metier!$G:$G,MATCH(AC$1,Data_metier!$B:$B,0))="Non",
INDEX(Data_metier!$G:$G,MATCH($A26,Data_metier!$B:$B,0))="Oui, en amont OU aval"),
0.5,
IF(AND(INDEX(Data_metier!$G:$G,MATCH(AC$1,Data_metier!$B:$B,0))="Non",
INDEX(Data_metier!$G:$G,MATCH($A26,Data_metier!$B:$B,0))="Oui, en amont ET aval"),
1,
IF(AND(INDEX(Data_metier!$G:$G,MATCH(AC$1,Data_metier!$B:$B,0))="Oui, en amont OU aval",
INDEX(Data_metier!$G:$G,MATCH($A26,Data_metier!$B:$B,0))="Oui, en amont ET aval"),
0.5,
0))))</f>
        <v>-1</v>
      </c>
      <c r="AD26">
        <f>IF(DE_ress_transv!AD26=-1,-1,
DE_ress_transv!AD26+IF(AND(INDEX(Data_metier!$G:$G,MATCH(AD$1,Data_metier!$B:$B,0))="Non",
INDEX(Data_metier!$G:$G,MATCH($A26,Data_metier!$B:$B,0))="Oui, en amont OU aval"),
0.5,
IF(AND(INDEX(Data_metier!$G:$G,MATCH(AD$1,Data_metier!$B:$B,0))="Non",
INDEX(Data_metier!$G:$G,MATCH($A26,Data_metier!$B:$B,0))="Oui, en amont ET aval"),
1,
IF(AND(INDEX(Data_metier!$G:$G,MATCH(AD$1,Data_metier!$B:$B,0))="Oui, en amont OU aval",
INDEX(Data_metier!$G:$G,MATCH($A26,Data_metier!$B:$B,0))="Oui, en amont ET aval"),
0.5,
0))))</f>
        <v>-1</v>
      </c>
    </row>
    <row r="27" spans="1:30">
      <c r="A27" s="55" t="str">
        <v>Opérateur(trice) de préparation de poissons et de produits de la mer</v>
      </c>
      <c r="B27">
        <f>IF(DE_ress_transv!B27=-1,-1,
DE_ress_transv!B27+IF(AND(INDEX(Data_metier!$G:$G,MATCH(B$1,Data_metier!$B:$B,0))="Non",
INDEX(Data_metier!$G:$G,MATCH($A27,Data_metier!$B:$B,0))="Oui, en amont OU aval"),
0.5,
IF(AND(INDEX(Data_metier!$G:$G,MATCH(B$1,Data_metier!$B:$B,0))="Non",
INDEX(Data_metier!$G:$G,MATCH($A27,Data_metier!$B:$B,0))="Oui, en amont ET aval"),
1,
IF(AND(INDEX(Data_metier!$G:$G,MATCH(B$1,Data_metier!$B:$B,0))="Oui, en amont OU aval",
INDEX(Data_metier!$G:$G,MATCH($A27,Data_metier!$B:$B,0))="Oui, en amont ET aval"),
0.5,
0))))</f>
        <v>-1</v>
      </c>
      <c r="C27">
        <f>IF(DE_ress_transv!C27=-1,-1,
DE_ress_transv!C27+IF(AND(INDEX(Data_metier!$G:$G,MATCH(C$1,Data_metier!$B:$B,0))="Non",
INDEX(Data_metier!$G:$G,MATCH($A27,Data_metier!$B:$B,0))="Oui, en amont OU aval"),
0.5,
IF(AND(INDEX(Data_metier!$G:$G,MATCH(C$1,Data_metier!$B:$B,0))="Non",
INDEX(Data_metier!$G:$G,MATCH($A27,Data_metier!$B:$B,0))="Oui, en amont ET aval"),
1,
IF(AND(INDEX(Data_metier!$G:$G,MATCH(C$1,Data_metier!$B:$B,0))="Oui, en amont OU aval",
INDEX(Data_metier!$G:$G,MATCH($A27,Data_metier!$B:$B,0))="Oui, en amont ET aval"),
0.5,
0))))</f>
        <v>-1</v>
      </c>
      <c r="D27">
        <f>IF(DE_ress_transv!D27=-1,-1,
DE_ress_transv!D27+IF(AND(INDEX(Data_metier!$G:$G,MATCH(D$1,Data_metier!$B:$B,0))="Non",
INDEX(Data_metier!$G:$G,MATCH($A27,Data_metier!$B:$B,0))="Oui, en amont OU aval"),
0.5,
IF(AND(INDEX(Data_metier!$G:$G,MATCH(D$1,Data_metier!$B:$B,0))="Non",
INDEX(Data_metier!$G:$G,MATCH($A27,Data_metier!$B:$B,0))="Oui, en amont ET aval"),
1,
IF(AND(INDEX(Data_metier!$G:$G,MATCH(D$1,Data_metier!$B:$B,0))="Oui, en amont OU aval",
INDEX(Data_metier!$G:$G,MATCH($A27,Data_metier!$B:$B,0))="Oui, en amont ET aval"),
0.5,
0))))</f>
        <v>0</v>
      </c>
      <c r="E27">
        <f>IF(DE_ress_transv!E27=-1,-1,
DE_ress_transv!E27+IF(AND(INDEX(Data_metier!$G:$G,MATCH(E$1,Data_metier!$B:$B,0))="Non",
INDEX(Data_metier!$G:$G,MATCH($A27,Data_metier!$B:$B,0))="Oui, en amont OU aval"),
0.5,
IF(AND(INDEX(Data_metier!$G:$G,MATCH(E$1,Data_metier!$B:$B,0))="Non",
INDEX(Data_metier!$G:$G,MATCH($A27,Data_metier!$B:$B,0))="Oui, en amont ET aval"),
1,
IF(AND(INDEX(Data_metier!$G:$G,MATCH(E$1,Data_metier!$B:$B,0))="Oui, en amont OU aval",
INDEX(Data_metier!$G:$G,MATCH($A27,Data_metier!$B:$B,0))="Oui, en amont ET aval"),
0.5,
0))))</f>
        <v>-1</v>
      </c>
      <c r="F27">
        <f>IF(DE_ress_transv!F27=-1,-1,
DE_ress_transv!F27+IF(AND(INDEX(Data_metier!$G:$G,MATCH(F$1,Data_metier!$B:$B,0))="Non",
INDEX(Data_metier!$G:$G,MATCH($A27,Data_metier!$B:$B,0))="Oui, en amont OU aval"),
0.5,
IF(AND(INDEX(Data_metier!$G:$G,MATCH(F$1,Data_metier!$B:$B,0))="Non",
INDEX(Data_metier!$G:$G,MATCH($A27,Data_metier!$B:$B,0))="Oui, en amont ET aval"),
1,
IF(AND(INDEX(Data_metier!$G:$G,MATCH(F$1,Data_metier!$B:$B,0))="Oui, en amont OU aval",
INDEX(Data_metier!$G:$G,MATCH($A27,Data_metier!$B:$B,0))="Oui, en amont ET aval"),
0.5,
0))))</f>
        <v>-1</v>
      </c>
      <c r="G27">
        <f>IF(DE_ress_transv!G27=-1,-1,
DE_ress_transv!G27+IF(AND(INDEX(Data_metier!$G:$G,MATCH(G$1,Data_metier!$B:$B,0))="Non",
INDEX(Data_metier!$G:$G,MATCH($A27,Data_metier!$B:$B,0))="Oui, en amont OU aval"),
0.5,
IF(AND(INDEX(Data_metier!$G:$G,MATCH(G$1,Data_metier!$B:$B,0))="Non",
INDEX(Data_metier!$G:$G,MATCH($A27,Data_metier!$B:$B,0))="Oui, en amont ET aval"),
1,
IF(AND(INDEX(Data_metier!$G:$G,MATCH(G$1,Data_metier!$B:$B,0))="Oui, en amont OU aval",
INDEX(Data_metier!$G:$G,MATCH($A27,Data_metier!$B:$B,0))="Oui, en amont ET aval"),
0.5,
0))))</f>
        <v>-1</v>
      </c>
      <c r="H27">
        <f>IF(DE_ress_transv!H27=-1,-1,
DE_ress_transv!H27+IF(AND(INDEX(Data_metier!$G:$G,MATCH(H$1,Data_metier!$B:$B,0))="Non",
INDEX(Data_metier!$G:$G,MATCH($A27,Data_metier!$B:$B,0))="Oui, en amont OU aval"),
0.5,
IF(AND(INDEX(Data_metier!$G:$G,MATCH(H$1,Data_metier!$B:$B,0))="Non",
INDEX(Data_metier!$G:$G,MATCH($A27,Data_metier!$B:$B,0))="Oui, en amont ET aval"),
1,
IF(AND(INDEX(Data_metier!$G:$G,MATCH(H$1,Data_metier!$B:$B,0))="Oui, en amont OU aval",
INDEX(Data_metier!$G:$G,MATCH($A27,Data_metier!$B:$B,0))="Oui, en amont ET aval"),
0.5,
0))))</f>
        <v>-1</v>
      </c>
      <c r="I27">
        <f>IF(DE_ress_transv!I27=-1,-1,
DE_ress_transv!I27+IF(AND(INDEX(Data_metier!$G:$G,MATCH(I$1,Data_metier!$B:$B,0))="Non",
INDEX(Data_metier!$G:$G,MATCH($A27,Data_metier!$B:$B,0))="Oui, en amont OU aval"),
0.5,
IF(AND(INDEX(Data_metier!$G:$G,MATCH(I$1,Data_metier!$B:$B,0))="Non",
INDEX(Data_metier!$G:$G,MATCH($A27,Data_metier!$B:$B,0))="Oui, en amont ET aval"),
1,
IF(AND(INDEX(Data_metier!$G:$G,MATCH(I$1,Data_metier!$B:$B,0))="Oui, en amont OU aval",
INDEX(Data_metier!$G:$G,MATCH($A27,Data_metier!$B:$B,0))="Oui, en amont ET aval"),
0.5,
0))))</f>
        <v>0</v>
      </c>
      <c r="J27">
        <f>IF(DE_ress_transv!J27=-1,-1,
DE_ress_transv!J27+IF(AND(INDEX(Data_metier!$G:$G,MATCH(J$1,Data_metier!$B:$B,0))="Non",
INDEX(Data_metier!$G:$G,MATCH($A27,Data_metier!$B:$B,0))="Oui, en amont OU aval"),
0.5,
IF(AND(INDEX(Data_metier!$G:$G,MATCH(J$1,Data_metier!$B:$B,0))="Non",
INDEX(Data_metier!$G:$G,MATCH($A27,Data_metier!$B:$B,0))="Oui, en amont ET aval"),
1,
IF(AND(INDEX(Data_metier!$G:$G,MATCH(J$1,Data_metier!$B:$B,0))="Oui, en amont OU aval",
INDEX(Data_metier!$G:$G,MATCH($A27,Data_metier!$B:$B,0))="Oui, en amont ET aval"),
0.5,
0))))</f>
        <v>-1</v>
      </c>
      <c r="K27">
        <f>IF(DE_ress_transv!K27=-1,-1,
DE_ress_transv!K27+IF(AND(INDEX(Data_metier!$G:$G,MATCH(K$1,Data_metier!$B:$B,0))="Non",
INDEX(Data_metier!$G:$G,MATCH($A27,Data_metier!$B:$B,0))="Oui, en amont OU aval"),
0.5,
IF(AND(INDEX(Data_metier!$G:$G,MATCH(K$1,Data_metier!$B:$B,0))="Non",
INDEX(Data_metier!$G:$G,MATCH($A27,Data_metier!$B:$B,0))="Oui, en amont ET aval"),
1,
IF(AND(INDEX(Data_metier!$G:$G,MATCH(K$1,Data_metier!$B:$B,0))="Oui, en amont OU aval",
INDEX(Data_metier!$G:$G,MATCH($A27,Data_metier!$B:$B,0))="Oui, en amont ET aval"),
0.5,
0))))</f>
        <v>-1</v>
      </c>
      <c r="L27">
        <f>IF(DE_ress_transv!L27=-1,-1,
DE_ress_transv!L27+IF(AND(INDEX(Data_metier!$G:$G,MATCH(L$1,Data_metier!$B:$B,0))="Non",
INDEX(Data_metier!$G:$G,MATCH($A27,Data_metier!$B:$B,0))="Oui, en amont OU aval"),
0.5,
IF(AND(INDEX(Data_metier!$G:$G,MATCH(L$1,Data_metier!$B:$B,0))="Non",
INDEX(Data_metier!$G:$G,MATCH($A27,Data_metier!$B:$B,0))="Oui, en amont ET aval"),
1,
IF(AND(INDEX(Data_metier!$G:$G,MATCH(L$1,Data_metier!$B:$B,0))="Oui, en amont OU aval",
INDEX(Data_metier!$G:$G,MATCH($A27,Data_metier!$B:$B,0))="Oui, en amont ET aval"),
0.5,
0))))</f>
        <v>0</v>
      </c>
      <c r="M27">
        <f>IF(DE_ress_transv!M27=-1,-1,
DE_ress_transv!M27+IF(AND(INDEX(Data_metier!$G:$G,MATCH(M$1,Data_metier!$B:$B,0))="Non",
INDEX(Data_metier!$G:$G,MATCH($A27,Data_metier!$B:$B,0))="Oui, en amont OU aval"),
0.5,
IF(AND(INDEX(Data_metier!$G:$G,MATCH(M$1,Data_metier!$B:$B,0))="Non",
INDEX(Data_metier!$G:$G,MATCH($A27,Data_metier!$B:$B,0))="Oui, en amont ET aval"),
1,
IF(AND(INDEX(Data_metier!$G:$G,MATCH(M$1,Data_metier!$B:$B,0))="Oui, en amont OU aval",
INDEX(Data_metier!$G:$G,MATCH($A27,Data_metier!$B:$B,0))="Oui, en amont ET aval"),
0.5,
0))))</f>
        <v>-1</v>
      </c>
      <c r="N27">
        <f>IF(DE_ress_transv!N27=-1,-1,
DE_ress_transv!N27+IF(AND(INDEX(Data_metier!$G:$G,MATCH(N$1,Data_metier!$B:$B,0))="Non",
INDEX(Data_metier!$G:$G,MATCH($A27,Data_metier!$B:$B,0))="Oui, en amont OU aval"),
0.5,
IF(AND(INDEX(Data_metier!$G:$G,MATCH(N$1,Data_metier!$B:$B,0))="Non",
INDEX(Data_metier!$G:$G,MATCH($A27,Data_metier!$B:$B,0))="Oui, en amont ET aval"),
1,
IF(AND(INDEX(Data_metier!$G:$G,MATCH(N$1,Data_metier!$B:$B,0))="Oui, en amont OU aval",
INDEX(Data_metier!$G:$G,MATCH($A27,Data_metier!$B:$B,0))="Oui, en amont ET aval"),
0.5,
0))))</f>
        <v>-1</v>
      </c>
      <c r="O27">
        <f>IF(DE_ress_transv!O27=-1,-1,
DE_ress_transv!O27+IF(AND(INDEX(Data_metier!$G:$G,MATCH(O$1,Data_metier!$B:$B,0))="Non",
INDEX(Data_metier!$G:$G,MATCH($A27,Data_metier!$B:$B,0))="Oui, en amont OU aval"),
0.5,
IF(AND(INDEX(Data_metier!$G:$G,MATCH(O$1,Data_metier!$B:$B,0))="Non",
INDEX(Data_metier!$G:$G,MATCH($A27,Data_metier!$B:$B,0))="Oui, en amont ET aval"),
1,
IF(AND(INDEX(Data_metier!$G:$G,MATCH(O$1,Data_metier!$B:$B,0))="Oui, en amont OU aval",
INDEX(Data_metier!$G:$G,MATCH($A27,Data_metier!$B:$B,0))="Oui, en amont ET aval"),
0.5,
0))))</f>
        <v>0</v>
      </c>
      <c r="P27">
        <f>IF(DE_ress_transv!P27=-1,-1,
DE_ress_transv!P27+IF(AND(INDEX(Data_metier!$G:$G,MATCH(P$1,Data_metier!$B:$B,0))="Non",
INDEX(Data_metier!$G:$G,MATCH($A27,Data_metier!$B:$B,0))="Oui, en amont OU aval"),
0.5,
IF(AND(INDEX(Data_metier!$G:$G,MATCH(P$1,Data_metier!$B:$B,0))="Non",
INDEX(Data_metier!$G:$G,MATCH($A27,Data_metier!$B:$B,0))="Oui, en amont ET aval"),
1,
IF(AND(INDEX(Data_metier!$G:$G,MATCH(P$1,Data_metier!$B:$B,0))="Oui, en amont OU aval",
INDEX(Data_metier!$G:$G,MATCH($A27,Data_metier!$B:$B,0))="Oui, en amont ET aval"),
0.5,
0))))</f>
        <v>0</v>
      </c>
      <c r="Q27">
        <f>IF(DE_ress_transv!Q27=-1,-1,
DE_ress_transv!Q27+IF(AND(INDEX(Data_metier!$G:$G,MATCH(Q$1,Data_metier!$B:$B,0))="Non",
INDEX(Data_metier!$G:$G,MATCH($A27,Data_metier!$B:$B,0))="Oui, en amont OU aval"),
0.5,
IF(AND(INDEX(Data_metier!$G:$G,MATCH(Q$1,Data_metier!$B:$B,0))="Non",
INDEX(Data_metier!$G:$G,MATCH($A27,Data_metier!$B:$B,0))="Oui, en amont ET aval"),
1,
IF(AND(INDEX(Data_metier!$G:$G,MATCH(Q$1,Data_metier!$B:$B,0))="Oui, en amont OU aval",
INDEX(Data_metier!$G:$G,MATCH($A27,Data_metier!$B:$B,0))="Oui, en amont ET aval"),
0.5,
0))))</f>
        <v>-1</v>
      </c>
      <c r="R27">
        <f>IF(DE_ress_transv!R27=-1,-1,
DE_ress_transv!R27+IF(AND(INDEX(Data_metier!$G:$G,MATCH(R$1,Data_metier!$B:$B,0))="Non",
INDEX(Data_metier!$G:$G,MATCH($A27,Data_metier!$B:$B,0))="Oui, en amont OU aval"),
0.5,
IF(AND(INDEX(Data_metier!$G:$G,MATCH(R$1,Data_metier!$B:$B,0))="Non",
INDEX(Data_metier!$G:$G,MATCH($A27,Data_metier!$B:$B,0))="Oui, en amont ET aval"),
1,
IF(AND(INDEX(Data_metier!$G:$G,MATCH(R$1,Data_metier!$B:$B,0))="Oui, en amont OU aval",
INDEX(Data_metier!$G:$G,MATCH($A27,Data_metier!$B:$B,0))="Oui, en amont ET aval"),
0.5,
0))))</f>
        <v>-1</v>
      </c>
      <c r="S27">
        <f>IF(DE_ress_transv!S27=-1,-1,
DE_ress_transv!S27+IF(AND(INDEX(Data_metier!$G:$G,MATCH(S$1,Data_metier!$B:$B,0))="Non",
INDEX(Data_metier!$G:$G,MATCH($A27,Data_metier!$B:$B,0))="Oui, en amont OU aval"),
0.5,
IF(AND(INDEX(Data_metier!$G:$G,MATCH(S$1,Data_metier!$B:$B,0))="Non",
INDEX(Data_metier!$G:$G,MATCH($A27,Data_metier!$B:$B,0))="Oui, en amont ET aval"),
1,
IF(AND(INDEX(Data_metier!$G:$G,MATCH(S$1,Data_metier!$B:$B,0))="Oui, en amont OU aval",
INDEX(Data_metier!$G:$G,MATCH($A27,Data_metier!$B:$B,0))="Oui, en amont ET aval"),
0.5,
0))))</f>
        <v>0</v>
      </c>
      <c r="T27">
        <f>IF(DE_ress_transv!T27=-1,-1,
DE_ress_transv!T27+IF(AND(INDEX(Data_metier!$G:$G,MATCH(T$1,Data_metier!$B:$B,0))="Non",
INDEX(Data_metier!$G:$G,MATCH($A27,Data_metier!$B:$B,0))="Oui, en amont OU aval"),
0.5,
IF(AND(INDEX(Data_metier!$G:$G,MATCH(T$1,Data_metier!$B:$B,0))="Non",
INDEX(Data_metier!$G:$G,MATCH($A27,Data_metier!$B:$B,0))="Oui, en amont ET aval"),
1,
IF(AND(INDEX(Data_metier!$G:$G,MATCH(T$1,Data_metier!$B:$B,0))="Oui, en amont OU aval",
INDEX(Data_metier!$G:$G,MATCH($A27,Data_metier!$B:$B,0))="Oui, en amont ET aval"),
0.5,
0))))</f>
        <v>0</v>
      </c>
      <c r="U27">
        <f>IF(DE_ress_transv!U27=-1,-1,
DE_ress_transv!U27+IF(AND(INDEX(Data_metier!$G:$G,MATCH(U$1,Data_metier!$B:$B,0))="Non",
INDEX(Data_metier!$G:$G,MATCH($A27,Data_metier!$B:$B,0))="Oui, en amont OU aval"),
0.5,
IF(AND(INDEX(Data_metier!$G:$G,MATCH(U$1,Data_metier!$B:$B,0))="Non",
INDEX(Data_metier!$G:$G,MATCH($A27,Data_metier!$B:$B,0))="Oui, en amont ET aval"),
1,
IF(AND(INDEX(Data_metier!$G:$G,MATCH(U$1,Data_metier!$B:$B,0))="Oui, en amont OU aval",
INDEX(Data_metier!$G:$G,MATCH($A27,Data_metier!$B:$B,0))="Oui, en amont ET aval"),
0.5,
0))))</f>
        <v>0</v>
      </c>
      <c r="V27">
        <f>IF(DE_ress_transv!V27=-1,-1,
DE_ress_transv!V27+IF(AND(INDEX(Data_metier!$G:$G,MATCH(V$1,Data_metier!$B:$B,0))="Non",
INDEX(Data_metier!$G:$G,MATCH($A27,Data_metier!$B:$B,0))="Oui, en amont OU aval"),
0.5,
IF(AND(INDEX(Data_metier!$G:$G,MATCH(V$1,Data_metier!$B:$B,0))="Non",
INDEX(Data_metier!$G:$G,MATCH($A27,Data_metier!$B:$B,0))="Oui, en amont ET aval"),
1,
IF(AND(INDEX(Data_metier!$G:$G,MATCH(V$1,Data_metier!$B:$B,0))="Oui, en amont OU aval",
INDEX(Data_metier!$G:$G,MATCH($A27,Data_metier!$B:$B,0))="Oui, en amont ET aval"),
0.5,
0))))</f>
        <v>-1</v>
      </c>
      <c r="W27">
        <f>IF(DE_ress_transv!W27=-1,-1,
DE_ress_transv!W27+IF(AND(INDEX(Data_metier!$G:$G,MATCH(W$1,Data_metier!$B:$B,0))="Non",
INDEX(Data_metier!$G:$G,MATCH($A27,Data_metier!$B:$B,0))="Oui, en amont OU aval"),
0.5,
IF(AND(INDEX(Data_metier!$G:$G,MATCH(W$1,Data_metier!$B:$B,0))="Non",
INDEX(Data_metier!$G:$G,MATCH($A27,Data_metier!$B:$B,0))="Oui, en amont ET aval"),
1,
IF(AND(INDEX(Data_metier!$G:$G,MATCH(W$1,Data_metier!$B:$B,0))="Oui, en amont OU aval",
INDEX(Data_metier!$G:$G,MATCH($A27,Data_metier!$B:$B,0))="Oui, en amont ET aval"),
0.5,
0))))</f>
        <v>-1</v>
      </c>
      <c r="X27">
        <f>IF(DE_ress_transv!X27=-1,-1,
DE_ress_transv!X27+IF(AND(INDEX(Data_metier!$G:$G,MATCH(X$1,Data_metier!$B:$B,0))="Non",
INDEX(Data_metier!$G:$G,MATCH($A27,Data_metier!$B:$B,0))="Oui, en amont OU aval"),
0.5,
IF(AND(INDEX(Data_metier!$G:$G,MATCH(X$1,Data_metier!$B:$B,0))="Non",
INDEX(Data_metier!$G:$G,MATCH($A27,Data_metier!$B:$B,0))="Oui, en amont ET aval"),
1,
IF(AND(INDEX(Data_metier!$G:$G,MATCH(X$1,Data_metier!$B:$B,0))="Oui, en amont OU aval",
INDEX(Data_metier!$G:$G,MATCH($A27,Data_metier!$B:$B,0))="Oui, en amont ET aval"),
0.5,
0))))</f>
        <v>-1</v>
      </c>
      <c r="Y27">
        <f>IF(DE_ress_transv!Y27=-1,-1,
DE_ress_transv!Y27+IF(AND(INDEX(Data_metier!$G:$G,MATCH(Y$1,Data_metier!$B:$B,0))="Non",
INDEX(Data_metier!$G:$G,MATCH($A27,Data_metier!$B:$B,0))="Oui, en amont OU aval"),
0.5,
IF(AND(INDEX(Data_metier!$G:$G,MATCH(Y$1,Data_metier!$B:$B,0))="Non",
INDEX(Data_metier!$G:$G,MATCH($A27,Data_metier!$B:$B,0))="Oui, en amont ET aval"),
1,
IF(AND(INDEX(Data_metier!$G:$G,MATCH(Y$1,Data_metier!$B:$B,0))="Oui, en amont OU aval",
INDEX(Data_metier!$G:$G,MATCH($A27,Data_metier!$B:$B,0))="Oui, en amont ET aval"),
0.5,
0))))</f>
        <v>0</v>
      </c>
      <c r="Z27">
        <f>IF(DE_ress_transv!Z27=-1,-1,
DE_ress_transv!Z27+IF(AND(INDEX(Data_metier!$G:$G,MATCH(Z$1,Data_metier!$B:$B,0))="Non",
INDEX(Data_metier!$G:$G,MATCH($A27,Data_metier!$B:$B,0))="Oui, en amont OU aval"),
0.5,
IF(AND(INDEX(Data_metier!$G:$G,MATCH(Z$1,Data_metier!$B:$B,0))="Non",
INDEX(Data_metier!$G:$G,MATCH($A27,Data_metier!$B:$B,0))="Oui, en amont ET aval"),
1,
IF(AND(INDEX(Data_metier!$G:$G,MATCH(Z$1,Data_metier!$B:$B,0))="Oui, en amont OU aval",
INDEX(Data_metier!$G:$G,MATCH($A27,Data_metier!$B:$B,0))="Oui, en amont ET aval"),
0.5,
0))))</f>
        <v>0</v>
      </c>
      <c r="AA27">
        <f>IF(DE_ress_transv!AA27=-1,-1,
DE_ress_transv!AA27+IF(AND(INDEX(Data_metier!$G:$G,MATCH(AA$1,Data_metier!$B:$B,0))="Non",
INDEX(Data_metier!$G:$G,MATCH($A27,Data_metier!$B:$B,0))="Oui, en amont OU aval"),
0.5,
IF(AND(INDEX(Data_metier!$G:$G,MATCH(AA$1,Data_metier!$B:$B,0))="Non",
INDEX(Data_metier!$G:$G,MATCH($A27,Data_metier!$B:$B,0))="Oui, en amont ET aval"),
1,
IF(AND(INDEX(Data_metier!$G:$G,MATCH(AA$1,Data_metier!$B:$B,0))="Oui, en amont OU aval",
INDEX(Data_metier!$G:$G,MATCH($A27,Data_metier!$B:$B,0))="Oui, en amont ET aval"),
0.5,
0))))</f>
        <v>0</v>
      </c>
      <c r="AB27">
        <f>IF(DE_ress_transv!AB27=-1,-1,
DE_ress_transv!AB27+IF(AND(INDEX(Data_metier!$G:$G,MATCH(AB$1,Data_metier!$B:$B,0))="Non",
INDEX(Data_metier!$G:$G,MATCH($A27,Data_metier!$B:$B,0))="Oui, en amont OU aval"),
0.5,
IF(AND(INDEX(Data_metier!$G:$G,MATCH(AB$1,Data_metier!$B:$B,0))="Non",
INDEX(Data_metier!$G:$G,MATCH($A27,Data_metier!$B:$B,0))="Oui, en amont ET aval"),
1,
IF(AND(INDEX(Data_metier!$G:$G,MATCH(AB$1,Data_metier!$B:$B,0))="Oui, en amont OU aval",
INDEX(Data_metier!$G:$G,MATCH($A27,Data_metier!$B:$B,0))="Oui, en amont ET aval"),
0.5,
0))))</f>
        <v>-1</v>
      </c>
      <c r="AC27">
        <f>IF(DE_ress_transv!AC27=-1,-1,
DE_ress_transv!AC27+IF(AND(INDEX(Data_metier!$G:$G,MATCH(AC$1,Data_metier!$B:$B,0))="Non",
INDEX(Data_metier!$G:$G,MATCH($A27,Data_metier!$B:$B,0))="Oui, en amont OU aval"),
0.5,
IF(AND(INDEX(Data_metier!$G:$G,MATCH(AC$1,Data_metier!$B:$B,0))="Non",
INDEX(Data_metier!$G:$G,MATCH($A27,Data_metier!$B:$B,0))="Oui, en amont ET aval"),
1,
IF(AND(INDEX(Data_metier!$G:$G,MATCH(AC$1,Data_metier!$B:$B,0))="Oui, en amont OU aval",
INDEX(Data_metier!$G:$G,MATCH($A27,Data_metier!$B:$B,0))="Oui, en amont ET aval"),
0.5,
0))))</f>
        <v>-1</v>
      </c>
      <c r="AD27">
        <f>IF(DE_ress_transv!AD27=-1,-1,
DE_ress_transv!AD27+IF(AND(INDEX(Data_metier!$G:$G,MATCH(AD$1,Data_metier!$B:$B,0))="Non",
INDEX(Data_metier!$G:$G,MATCH($A27,Data_metier!$B:$B,0))="Oui, en amont OU aval"),
0.5,
IF(AND(INDEX(Data_metier!$G:$G,MATCH(AD$1,Data_metier!$B:$B,0))="Non",
INDEX(Data_metier!$G:$G,MATCH($A27,Data_metier!$B:$B,0))="Oui, en amont ET aval"),
1,
IF(AND(INDEX(Data_metier!$G:$G,MATCH(AD$1,Data_metier!$B:$B,0))="Oui, en amont OU aval",
INDEX(Data_metier!$G:$G,MATCH($A27,Data_metier!$B:$B,0))="Oui, en amont ET aval"),
0.5,
0))))</f>
        <v>-1</v>
      </c>
    </row>
    <row r="28" spans="1:30">
      <c r="A28" s="55" t="str">
        <v>Mécanicien(ne) de maintenance industrielle</v>
      </c>
      <c r="B28">
        <f>IF(DE_ress_transv!B28=-1,-1,
DE_ress_transv!B28+IF(AND(INDEX(Data_metier!$G:$G,MATCH(B$1,Data_metier!$B:$B,0))="Non",
INDEX(Data_metier!$G:$G,MATCH($A28,Data_metier!$B:$B,0))="Oui, en amont OU aval"),
0.5,
IF(AND(INDEX(Data_metier!$G:$G,MATCH(B$1,Data_metier!$B:$B,0))="Non",
INDEX(Data_metier!$G:$G,MATCH($A28,Data_metier!$B:$B,0))="Oui, en amont ET aval"),
1,
IF(AND(INDEX(Data_metier!$G:$G,MATCH(B$1,Data_metier!$B:$B,0))="Oui, en amont OU aval",
INDEX(Data_metier!$G:$G,MATCH($A28,Data_metier!$B:$B,0))="Oui, en amont ET aval"),
0.5,
0))))</f>
        <v>0.33333333333333331</v>
      </c>
      <c r="C28">
        <f>IF(DE_ress_transv!C28=-1,-1,
DE_ress_transv!C28+IF(AND(INDEX(Data_metier!$G:$G,MATCH(C$1,Data_metier!$B:$B,0))="Non",
INDEX(Data_metier!$G:$G,MATCH($A28,Data_metier!$B:$B,0))="Oui, en amont OU aval"),
0.5,
IF(AND(INDEX(Data_metier!$G:$G,MATCH(C$1,Data_metier!$B:$B,0))="Non",
INDEX(Data_metier!$G:$G,MATCH($A28,Data_metier!$B:$B,0))="Oui, en amont ET aval"),
1,
IF(AND(INDEX(Data_metier!$G:$G,MATCH(C$1,Data_metier!$B:$B,0))="Oui, en amont OU aval",
INDEX(Data_metier!$G:$G,MATCH($A28,Data_metier!$B:$B,0))="Oui, en amont ET aval"),
0.5,
0))))</f>
        <v>0.5</v>
      </c>
      <c r="D28">
        <f>IF(DE_ress_transv!D28=-1,-1,
DE_ress_transv!D28+IF(AND(INDEX(Data_metier!$G:$G,MATCH(D$1,Data_metier!$B:$B,0))="Non",
INDEX(Data_metier!$G:$G,MATCH($A28,Data_metier!$B:$B,0))="Oui, en amont OU aval"),
0.5,
IF(AND(INDEX(Data_metier!$G:$G,MATCH(D$1,Data_metier!$B:$B,0))="Non",
INDEX(Data_metier!$G:$G,MATCH($A28,Data_metier!$B:$B,0))="Oui, en amont ET aval"),
1,
IF(AND(INDEX(Data_metier!$G:$G,MATCH(D$1,Data_metier!$B:$B,0))="Oui, en amont OU aval",
INDEX(Data_metier!$G:$G,MATCH($A28,Data_metier!$B:$B,0))="Oui, en amont ET aval"),
0.5,
0))))</f>
        <v>1.8333333333333335</v>
      </c>
      <c r="E28">
        <f>IF(DE_ress_transv!E28=-1,-1,
DE_ress_transv!E28+IF(AND(INDEX(Data_metier!$G:$G,MATCH(E$1,Data_metier!$B:$B,0))="Non",
INDEX(Data_metier!$G:$G,MATCH($A28,Data_metier!$B:$B,0))="Oui, en amont OU aval"),
0.5,
IF(AND(INDEX(Data_metier!$G:$G,MATCH(E$1,Data_metier!$B:$B,0))="Non",
INDEX(Data_metier!$G:$G,MATCH($A28,Data_metier!$B:$B,0))="Oui, en amont ET aval"),
1,
IF(AND(INDEX(Data_metier!$G:$G,MATCH(E$1,Data_metier!$B:$B,0))="Oui, en amont OU aval",
INDEX(Data_metier!$G:$G,MATCH($A28,Data_metier!$B:$B,0))="Oui, en amont ET aval"),
0.5,
0))))</f>
        <v>-1</v>
      </c>
      <c r="F28">
        <f>IF(DE_ress_transv!F28=-1,-1,
DE_ress_transv!F28+IF(AND(INDEX(Data_metier!$G:$G,MATCH(F$1,Data_metier!$B:$B,0))="Non",
INDEX(Data_metier!$G:$G,MATCH($A28,Data_metier!$B:$B,0))="Oui, en amont OU aval"),
0.5,
IF(AND(INDEX(Data_metier!$G:$G,MATCH(F$1,Data_metier!$B:$B,0))="Non",
INDEX(Data_metier!$G:$G,MATCH($A28,Data_metier!$B:$B,0))="Oui, en amont ET aval"),
1,
IF(AND(INDEX(Data_metier!$G:$G,MATCH(F$1,Data_metier!$B:$B,0))="Oui, en amont OU aval",
INDEX(Data_metier!$G:$G,MATCH($A28,Data_metier!$B:$B,0))="Oui, en amont ET aval"),
0.5,
0))))</f>
        <v>-1</v>
      </c>
      <c r="G28">
        <f>IF(DE_ress_transv!G28=-1,-1,
DE_ress_transv!G28+IF(AND(INDEX(Data_metier!$G:$G,MATCH(G$1,Data_metier!$B:$B,0))="Non",
INDEX(Data_metier!$G:$G,MATCH($A28,Data_metier!$B:$B,0))="Oui, en amont OU aval"),
0.5,
IF(AND(INDEX(Data_metier!$G:$G,MATCH(G$1,Data_metier!$B:$B,0))="Non",
INDEX(Data_metier!$G:$G,MATCH($A28,Data_metier!$B:$B,0))="Oui, en amont ET aval"),
1,
IF(AND(INDEX(Data_metier!$G:$G,MATCH(G$1,Data_metier!$B:$B,0))="Oui, en amont OU aval",
INDEX(Data_metier!$G:$G,MATCH($A28,Data_metier!$B:$B,0))="Oui, en amont ET aval"),
0.5,
0))))</f>
        <v>-1</v>
      </c>
      <c r="H28">
        <f>IF(DE_ress_transv!H28=-1,-1,
DE_ress_transv!H28+IF(AND(INDEX(Data_metier!$G:$G,MATCH(H$1,Data_metier!$B:$B,0))="Non",
INDEX(Data_metier!$G:$G,MATCH($A28,Data_metier!$B:$B,0))="Oui, en amont OU aval"),
0.5,
IF(AND(INDEX(Data_metier!$G:$G,MATCH(H$1,Data_metier!$B:$B,0))="Non",
INDEX(Data_metier!$G:$G,MATCH($A28,Data_metier!$B:$B,0))="Oui, en amont ET aval"),
1,
IF(AND(INDEX(Data_metier!$G:$G,MATCH(H$1,Data_metier!$B:$B,0))="Oui, en amont OU aval",
INDEX(Data_metier!$G:$G,MATCH($A28,Data_metier!$B:$B,0))="Oui, en amont ET aval"),
0.5,
0))))</f>
        <v>-1</v>
      </c>
      <c r="I28">
        <f>IF(DE_ress_transv!I28=-1,-1,
DE_ress_transv!I28+IF(AND(INDEX(Data_metier!$G:$G,MATCH(I$1,Data_metier!$B:$B,0))="Non",
INDEX(Data_metier!$G:$G,MATCH($A28,Data_metier!$B:$B,0))="Oui, en amont OU aval"),
0.5,
IF(AND(INDEX(Data_metier!$G:$G,MATCH(I$1,Data_metier!$B:$B,0))="Non",
INDEX(Data_metier!$G:$G,MATCH($A28,Data_metier!$B:$B,0))="Oui, en amont ET aval"),
1,
IF(AND(INDEX(Data_metier!$G:$G,MATCH(I$1,Data_metier!$B:$B,0))="Oui, en amont OU aval",
INDEX(Data_metier!$G:$G,MATCH($A28,Data_metier!$B:$B,0))="Oui, en amont ET aval"),
0.5,
0))))</f>
        <v>1.8333333333333335</v>
      </c>
      <c r="J28">
        <f>IF(DE_ress_transv!J28=-1,-1,
DE_ress_transv!J28+IF(AND(INDEX(Data_metier!$G:$G,MATCH(J$1,Data_metier!$B:$B,0))="Non",
INDEX(Data_metier!$G:$G,MATCH($A28,Data_metier!$B:$B,0))="Oui, en amont OU aval"),
0.5,
IF(AND(INDEX(Data_metier!$G:$G,MATCH(J$1,Data_metier!$B:$B,0))="Non",
INDEX(Data_metier!$G:$G,MATCH($A28,Data_metier!$B:$B,0))="Oui, en amont ET aval"),
1,
IF(AND(INDEX(Data_metier!$G:$G,MATCH(J$1,Data_metier!$B:$B,0))="Oui, en amont OU aval",
INDEX(Data_metier!$G:$G,MATCH($A28,Data_metier!$B:$B,0))="Oui, en amont ET aval"),
0.5,
0))))</f>
        <v>-1</v>
      </c>
      <c r="K28">
        <f>IF(DE_ress_transv!K28=-1,-1,
DE_ress_transv!K28+IF(AND(INDEX(Data_metier!$G:$G,MATCH(K$1,Data_metier!$B:$B,0))="Non",
INDEX(Data_metier!$G:$G,MATCH($A28,Data_metier!$B:$B,0))="Oui, en amont OU aval"),
0.5,
IF(AND(INDEX(Data_metier!$G:$G,MATCH(K$1,Data_metier!$B:$B,0))="Non",
INDEX(Data_metier!$G:$G,MATCH($A28,Data_metier!$B:$B,0))="Oui, en amont ET aval"),
1,
IF(AND(INDEX(Data_metier!$G:$G,MATCH(K$1,Data_metier!$B:$B,0))="Oui, en amont OU aval",
INDEX(Data_metier!$G:$G,MATCH($A28,Data_metier!$B:$B,0))="Oui, en amont ET aval"),
0.5,
0))))</f>
        <v>-1</v>
      </c>
      <c r="L28">
        <f>IF(DE_ress_transv!L28=-1,-1,
DE_ress_transv!L28+IF(AND(INDEX(Data_metier!$G:$G,MATCH(L$1,Data_metier!$B:$B,0))="Non",
INDEX(Data_metier!$G:$G,MATCH($A28,Data_metier!$B:$B,0))="Oui, en amont OU aval"),
0.5,
IF(AND(INDEX(Data_metier!$G:$G,MATCH(L$1,Data_metier!$B:$B,0))="Non",
INDEX(Data_metier!$G:$G,MATCH($A28,Data_metier!$B:$B,0))="Oui, en amont ET aval"),
1,
IF(AND(INDEX(Data_metier!$G:$G,MATCH(L$1,Data_metier!$B:$B,0))="Oui, en amont OU aval",
INDEX(Data_metier!$G:$G,MATCH($A28,Data_metier!$B:$B,0))="Oui, en amont ET aval"),
0.5,
0))))</f>
        <v>1.5</v>
      </c>
      <c r="M28">
        <f>IF(DE_ress_transv!M28=-1,-1,
DE_ress_transv!M28+IF(AND(INDEX(Data_metier!$G:$G,MATCH(M$1,Data_metier!$B:$B,0))="Non",
INDEX(Data_metier!$G:$G,MATCH($A28,Data_metier!$B:$B,0))="Oui, en amont OU aval"),
0.5,
IF(AND(INDEX(Data_metier!$G:$G,MATCH(M$1,Data_metier!$B:$B,0))="Non",
INDEX(Data_metier!$G:$G,MATCH($A28,Data_metier!$B:$B,0))="Oui, en amont ET aval"),
1,
IF(AND(INDEX(Data_metier!$G:$G,MATCH(M$1,Data_metier!$B:$B,0))="Oui, en amont OU aval",
INDEX(Data_metier!$G:$G,MATCH($A28,Data_metier!$B:$B,0))="Oui, en amont ET aval"),
0.5,
0))))</f>
        <v>0.66666666666666663</v>
      </c>
      <c r="N28">
        <f>IF(DE_ress_transv!N28=-1,-1,
DE_ress_transv!N28+IF(AND(INDEX(Data_metier!$G:$G,MATCH(N$1,Data_metier!$B:$B,0))="Non",
INDEX(Data_metier!$G:$G,MATCH($A28,Data_metier!$B:$B,0))="Oui, en amont OU aval"),
0.5,
IF(AND(INDEX(Data_metier!$G:$G,MATCH(N$1,Data_metier!$B:$B,0))="Non",
INDEX(Data_metier!$G:$G,MATCH($A28,Data_metier!$B:$B,0))="Oui, en amont ET aval"),
1,
IF(AND(INDEX(Data_metier!$G:$G,MATCH(N$1,Data_metier!$B:$B,0))="Oui, en amont OU aval",
INDEX(Data_metier!$G:$G,MATCH($A28,Data_metier!$B:$B,0))="Oui, en amont ET aval"),
0.5,
0))))</f>
        <v>-1</v>
      </c>
      <c r="O28">
        <f>IF(DE_ress_transv!O28=-1,-1,
DE_ress_transv!O28+IF(AND(INDEX(Data_metier!$G:$G,MATCH(O$1,Data_metier!$B:$B,0))="Non",
INDEX(Data_metier!$G:$G,MATCH($A28,Data_metier!$B:$B,0))="Oui, en amont OU aval"),
0.5,
IF(AND(INDEX(Data_metier!$G:$G,MATCH(O$1,Data_metier!$B:$B,0))="Non",
INDEX(Data_metier!$G:$G,MATCH($A28,Data_metier!$B:$B,0))="Oui, en amont ET aval"),
1,
IF(AND(INDEX(Data_metier!$G:$G,MATCH(O$1,Data_metier!$B:$B,0))="Oui, en amont OU aval",
INDEX(Data_metier!$G:$G,MATCH($A28,Data_metier!$B:$B,0))="Oui, en amont ET aval"),
0.5,
0))))</f>
        <v>1.5</v>
      </c>
      <c r="P28">
        <f>IF(DE_ress_transv!P28=-1,-1,
DE_ress_transv!P28+IF(AND(INDEX(Data_metier!$G:$G,MATCH(P$1,Data_metier!$B:$B,0))="Non",
INDEX(Data_metier!$G:$G,MATCH($A28,Data_metier!$B:$B,0))="Oui, en amont OU aval"),
0.5,
IF(AND(INDEX(Data_metier!$G:$G,MATCH(P$1,Data_metier!$B:$B,0))="Non",
INDEX(Data_metier!$G:$G,MATCH($A28,Data_metier!$B:$B,0))="Oui, en amont ET aval"),
1,
IF(AND(INDEX(Data_metier!$G:$G,MATCH(P$1,Data_metier!$B:$B,0))="Oui, en amont OU aval",
INDEX(Data_metier!$G:$G,MATCH($A28,Data_metier!$B:$B,0))="Oui, en amont ET aval"),
0.5,
0))))</f>
        <v>1.8333333333333335</v>
      </c>
      <c r="Q28">
        <f>IF(DE_ress_transv!Q28=-1,-1,
DE_ress_transv!Q28+IF(AND(INDEX(Data_metier!$G:$G,MATCH(Q$1,Data_metier!$B:$B,0))="Non",
INDEX(Data_metier!$G:$G,MATCH($A28,Data_metier!$B:$B,0))="Oui, en amont OU aval"),
0.5,
IF(AND(INDEX(Data_metier!$G:$G,MATCH(Q$1,Data_metier!$B:$B,0))="Non",
INDEX(Data_metier!$G:$G,MATCH($A28,Data_metier!$B:$B,0))="Oui, en amont ET aval"),
1,
IF(AND(INDEX(Data_metier!$G:$G,MATCH(Q$1,Data_metier!$B:$B,0))="Oui, en amont OU aval",
INDEX(Data_metier!$G:$G,MATCH($A28,Data_metier!$B:$B,0))="Oui, en amont ET aval"),
0.5,
0))))</f>
        <v>-1</v>
      </c>
      <c r="R28">
        <f>IF(DE_ress_transv!R28=-1,-1,
DE_ress_transv!R28+IF(AND(INDEX(Data_metier!$G:$G,MATCH(R$1,Data_metier!$B:$B,0))="Non",
INDEX(Data_metier!$G:$G,MATCH($A28,Data_metier!$B:$B,0))="Oui, en amont OU aval"),
0.5,
IF(AND(INDEX(Data_metier!$G:$G,MATCH(R$1,Data_metier!$B:$B,0))="Non",
INDEX(Data_metier!$G:$G,MATCH($A28,Data_metier!$B:$B,0))="Oui, en amont ET aval"),
1,
IF(AND(INDEX(Data_metier!$G:$G,MATCH(R$1,Data_metier!$B:$B,0))="Oui, en amont OU aval",
INDEX(Data_metier!$G:$G,MATCH($A28,Data_metier!$B:$B,0))="Oui, en amont ET aval"),
0.5,
0))))</f>
        <v>-1</v>
      </c>
      <c r="S28">
        <f>IF(DE_ress_transv!S28=-1,-1,
DE_ress_transv!S28+IF(AND(INDEX(Data_metier!$G:$G,MATCH(S$1,Data_metier!$B:$B,0))="Non",
INDEX(Data_metier!$G:$G,MATCH($A28,Data_metier!$B:$B,0))="Oui, en amont OU aval"),
0.5,
IF(AND(INDEX(Data_metier!$G:$G,MATCH(S$1,Data_metier!$B:$B,0))="Non",
INDEX(Data_metier!$G:$G,MATCH($A28,Data_metier!$B:$B,0))="Oui, en amont ET aval"),
1,
IF(AND(INDEX(Data_metier!$G:$G,MATCH(S$1,Data_metier!$B:$B,0))="Oui, en amont OU aval",
INDEX(Data_metier!$G:$G,MATCH($A28,Data_metier!$B:$B,0))="Oui, en amont ET aval"),
0.5,
0))))</f>
        <v>1.8333333333333335</v>
      </c>
      <c r="T28">
        <f>IF(DE_ress_transv!T28=-1,-1,
DE_ress_transv!T28+IF(AND(INDEX(Data_metier!$G:$G,MATCH(T$1,Data_metier!$B:$B,0))="Non",
INDEX(Data_metier!$G:$G,MATCH($A28,Data_metier!$B:$B,0))="Oui, en amont OU aval"),
0.5,
IF(AND(INDEX(Data_metier!$G:$G,MATCH(T$1,Data_metier!$B:$B,0))="Non",
INDEX(Data_metier!$G:$G,MATCH($A28,Data_metier!$B:$B,0))="Oui, en amont ET aval"),
1,
IF(AND(INDEX(Data_metier!$G:$G,MATCH(T$1,Data_metier!$B:$B,0))="Oui, en amont OU aval",
INDEX(Data_metier!$G:$G,MATCH($A28,Data_metier!$B:$B,0))="Oui, en amont ET aval"),
0.5,
0))))</f>
        <v>1.6666666666666667</v>
      </c>
      <c r="U28">
        <f>IF(DE_ress_transv!U28=-1,-1,
DE_ress_transv!U28+IF(AND(INDEX(Data_metier!$G:$G,MATCH(U$1,Data_metier!$B:$B,0))="Non",
INDEX(Data_metier!$G:$G,MATCH($A28,Data_metier!$B:$B,0))="Oui, en amont OU aval"),
0.5,
IF(AND(INDEX(Data_metier!$G:$G,MATCH(U$1,Data_metier!$B:$B,0))="Non",
INDEX(Data_metier!$G:$G,MATCH($A28,Data_metier!$B:$B,0))="Oui, en amont ET aval"),
1,
IF(AND(INDEX(Data_metier!$G:$G,MATCH(U$1,Data_metier!$B:$B,0))="Oui, en amont OU aval",
INDEX(Data_metier!$G:$G,MATCH($A28,Data_metier!$B:$B,0))="Oui, en amont ET aval"),
0.5,
0))))</f>
        <v>1.8333333333333335</v>
      </c>
      <c r="V28">
        <f>IF(DE_ress_transv!V28=-1,-1,
DE_ress_transv!V28+IF(AND(INDEX(Data_metier!$G:$G,MATCH(V$1,Data_metier!$B:$B,0))="Non",
INDEX(Data_metier!$G:$G,MATCH($A28,Data_metier!$B:$B,0))="Oui, en amont OU aval"),
0.5,
IF(AND(INDEX(Data_metier!$G:$G,MATCH(V$1,Data_metier!$B:$B,0))="Non",
INDEX(Data_metier!$G:$G,MATCH($A28,Data_metier!$B:$B,0))="Oui, en amont ET aval"),
1,
IF(AND(INDEX(Data_metier!$G:$G,MATCH(V$1,Data_metier!$B:$B,0))="Oui, en amont OU aval",
INDEX(Data_metier!$G:$G,MATCH($A28,Data_metier!$B:$B,0))="Oui, en amont ET aval"),
0.5,
0))))</f>
        <v>0</v>
      </c>
      <c r="W28">
        <f>IF(DE_ress_transv!W28=-1,-1,
DE_ress_transv!W28+IF(AND(INDEX(Data_metier!$G:$G,MATCH(W$1,Data_metier!$B:$B,0))="Non",
INDEX(Data_metier!$G:$G,MATCH($A28,Data_metier!$B:$B,0))="Oui, en amont OU aval"),
0.5,
IF(AND(INDEX(Data_metier!$G:$G,MATCH(W$1,Data_metier!$B:$B,0))="Non",
INDEX(Data_metier!$G:$G,MATCH($A28,Data_metier!$B:$B,0))="Oui, en amont ET aval"),
1,
IF(AND(INDEX(Data_metier!$G:$G,MATCH(W$1,Data_metier!$B:$B,0))="Oui, en amont OU aval",
INDEX(Data_metier!$G:$G,MATCH($A28,Data_metier!$B:$B,0))="Oui, en amont ET aval"),
0.5,
0))))</f>
        <v>0</v>
      </c>
      <c r="X28">
        <f>IF(DE_ress_transv!X28=-1,-1,
DE_ress_transv!X28+IF(AND(INDEX(Data_metier!$G:$G,MATCH(X$1,Data_metier!$B:$B,0))="Non",
INDEX(Data_metier!$G:$G,MATCH($A28,Data_metier!$B:$B,0))="Oui, en amont OU aval"),
0.5,
IF(AND(INDEX(Data_metier!$G:$G,MATCH(X$1,Data_metier!$B:$B,0))="Non",
INDEX(Data_metier!$G:$G,MATCH($A28,Data_metier!$B:$B,0))="Oui, en amont ET aval"),
1,
IF(AND(INDEX(Data_metier!$G:$G,MATCH(X$1,Data_metier!$B:$B,0))="Oui, en amont OU aval",
INDEX(Data_metier!$G:$G,MATCH($A28,Data_metier!$B:$B,0))="Oui, en amont ET aval"),
0.5,
0))))</f>
        <v>-1</v>
      </c>
      <c r="Y28">
        <f>IF(DE_ress_transv!Y28=-1,-1,
DE_ress_transv!Y28+IF(AND(INDEX(Data_metier!$G:$G,MATCH(Y$1,Data_metier!$B:$B,0))="Non",
INDEX(Data_metier!$G:$G,MATCH($A28,Data_metier!$B:$B,0))="Oui, en amont OU aval"),
0.5,
IF(AND(INDEX(Data_metier!$G:$G,MATCH(Y$1,Data_metier!$B:$B,0))="Non",
INDEX(Data_metier!$G:$G,MATCH($A28,Data_metier!$B:$B,0))="Oui, en amont ET aval"),
1,
IF(AND(INDEX(Data_metier!$G:$G,MATCH(Y$1,Data_metier!$B:$B,0))="Oui, en amont OU aval",
INDEX(Data_metier!$G:$G,MATCH($A28,Data_metier!$B:$B,0))="Oui, en amont ET aval"),
0.5,
0))))</f>
        <v>1.8333333333333335</v>
      </c>
      <c r="Z28">
        <f>IF(DE_ress_transv!Z28=-1,-1,
DE_ress_transv!Z28+IF(AND(INDEX(Data_metier!$G:$G,MATCH(Z$1,Data_metier!$B:$B,0))="Non",
INDEX(Data_metier!$G:$G,MATCH($A28,Data_metier!$B:$B,0))="Oui, en amont OU aval"),
0.5,
IF(AND(INDEX(Data_metier!$G:$G,MATCH(Z$1,Data_metier!$B:$B,0))="Non",
INDEX(Data_metier!$G:$G,MATCH($A28,Data_metier!$B:$B,0))="Oui, en amont ET aval"),
1,
IF(AND(INDEX(Data_metier!$G:$G,MATCH(Z$1,Data_metier!$B:$B,0))="Oui, en amont OU aval",
INDEX(Data_metier!$G:$G,MATCH($A28,Data_metier!$B:$B,0))="Oui, en amont ET aval"),
0.5,
0))))</f>
        <v>1.8333333333333335</v>
      </c>
      <c r="AA28">
        <f>IF(DE_ress_transv!AA28=-1,-1,
DE_ress_transv!AA28+IF(AND(INDEX(Data_metier!$G:$G,MATCH(AA$1,Data_metier!$B:$B,0))="Non",
INDEX(Data_metier!$G:$G,MATCH($A28,Data_metier!$B:$B,0))="Oui, en amont OU aval"),
0.5,
IF(AND(INDEX(Data_metier!$G:$G,MATCH(AA$1,Data_metier!$B:$B,0))="Non",
INDEX(Data_metier!$G:$G,MATCH($A28,Data_metier!$B:$B,0))="Oui, en amont ET aval"),
1,
IF(AND(INDEX(Data_metier!$G:$G,MATCH(AA$1,Data_metier!$B:$B,0))="Oui, en amont OU aval",
INDEX(Data_metier!$G:$G,MATCH($A28,Data_metier!$B:$B,0))="Oui, en amont ET aval"),
0.5,
0))))</f>
        <v>1.8333333333333335</v>
      </c>
      <c r="AB28">
        <f>IF(DE_ress_transv!AB28=-1,-1,
DE_ress_transv!AB28+IF(AND(INDEX(Data_metier!$G:$G,MATCH(AB$1,Data_metier!$B:$B,0))="Non",
INDEX(Data_metier!$G:$G,MATCH($A28,Data_metier!$B:$B,0))="Oui, en amont OU aval"),
0.5,
IF(AND(INDEX(Data_metier!$G:$G,MATCH(AB$1,Data_metier!$B:$B,0))="Non",
INDEX(Data_metier!$G:$G,MATCH($A28,Data_metier!$B:$B,0))="Oui, en amont ET aval"),
1,
IF(AND(INDEX(Data_metier!$G:$G,MATCH(AB$1,Data_metier!$B:$B,0))="Oui, en amont OU aval",
INDEX(Data_metier!$G:$G,MATCH($A28,Data_metier!$B:$B,0))="Oui, en amont ET aval"),
0.5,
0))))</f>
        <v>0</v>
      </c>
      <c r="AC28">
        <f>IF(DE_ress_transv!AC28=-1,-1,
DE_ress_transv!AC28+IF(AND(INDEX(Data_metier!$G:$G,MATCH(AC$1,Data_metier!$B:$B,0))="Non",
INDEX(Data_metier!$G:$G,MATCH($A28,Data_metier!$B:$B,0))="Oui, en amont OU aval"),
0.5,
IF(AND(INDEX(Data_metier!$G:$G,MATCH(AC$1,Data_metier!$B:$B,0))="Non",
INDEX(Data_metier!$G:$G,MATCH($A28,Data_metier!$B:$B,0))="Oui, en amont ET aval"),
1,
IF(AND(INDEX(Data_metier!$G:$G,MATCH(AC$1,Data_metier!$B:$B,0))="Oui, en amont OU aval",
INDEX(Data_metier!$G:$G,MATCH($A28,Data_metier!$B:$B,0))="Oui, en amont ET aval"),
0.5,
0))))</f>
        <v>0</v>
      </c>
      <c r="AD28">
        <f>IF(DE_ress_transv!AD28=-1,-1,
DE_ress_transv!AD28+IF(AND(INDEX(Data_metier!$G:$G,MATCH(AD$1,Data_metier!$B:$B,0))="Non",
INDEX(Data_metier!$G:$G,MATCH($A28,Data_metier!$B:$B,0))="Oui, en amont OU aval"),
0.5,
IF(AND(INDEX(Data_metier!$G:$G,MATCH(AD$1,Data_metier!$B:$B,0))="Non",
INDEX(Data_metier!$G:$G,MATCH($A28,Data_metier!$B:$B,0))="Oui, en amont ET aval"),
1,
IF(AND(INDEX(Data_metier!$G:$G,MATCH(AD$1,Data_metier!$B:$B,0))="Oui, en amont OU aval",
INDEX(Data_metier!$G:$G,MATCH($A28,Data_metier!$B:$B,0))="Oui, en amont ET aval"),
0.5,
0))))</f>
        <v>-1</v>
      </c>
    </row>
    <row r="29" spans="1:30">
      <c r="A29" s="55" t="str">
        <v>Mécanicien(ne)-sertisseur(euse)</v>
      </c>
      <c r="B29">
        <f>IF(DE_ress_transv!B29=-1,-1,
DE_ress_transv!B29+IF(AND(INDEX(Data_metier!$G:$G,MATCH(B$1,Data_metier!$B:$B,0))="Non",
INDEX(Data_metier!$G:$G,MATCH($A29,Data_metier!$B:$B,0))="Oui, en amont OU aval"),
0.5,
IF(AND(INDEX(Data_metier!$G:$G,MATCH(B$1,Data_metier!$B:$B,0))="Non",
INDEX(Data_metier!$G:$G,MATCH($A29,Data_metier!$B:$B,0))="Oui, en amont ET aval"),
1,
IF(AND(INDEX(Data_metier!$G:$G,MATCH(B$1,Data_metier!$B:$B,0))="Oui, en amont OU aval",
INDEX(Data_metier!$G:$G,MATCH($A29,Data_metier!$B:$B,0))="Oui, en amont ET aval"),
0.5,
0))))</f>
        <v>0.33333333333333331</v>
      </c>
      <c r="C29">
        <f>IF(DE_ress_transv!C29=-1,-1,
DE_ress_transv!C29+IF(AND(INDEX(Data_metier!$G:$G,MATCH(C$1,Data_metier!$B:$B,0))="Non",
INDEX(Data_metier!$G:$G,MATCH($A29,Data_metier!$B:$B,0))="Oui, en amont OU aval"),
0.5,
IF(AND(INDEX(Data_metier!$G:$G,MATCH(C$1,Data_metier!$B:$B,0))="Non",
INDEX(Data_metier!$G:$G,MATCH($A29,Data_metier!$B:$B,0))="Oui, en amont ET aval"),
1,
IF(AND(INDEX(Data_metier!$G:$G,MATCH(C$1,Data_metier!$B:$B,0))="Oui, en amont OU aval",
INDEX(Data_metier!$G:$G,MATCH($A29,Data_metier!$B:$B,0))="Oui, en amont ET aval"),
0.5,
0))))</f>
        <v>0.5</v>
      </c>
      <c r="D29">
        <f>IF(DE_ress_transv!D29=-1,-1,
DE_ress_transv!D29+IF(AND(INDEX(Data_metier!$G:$G,MATCH(D$1,Data_metier!$B:$B,0))="Non",
INDEX(Data_metier!$G:$G,MATCH($A29,Data_metier!$B:$B,0))="Oui, en amont OU aval"),
0.5,
IF(AND(INDEX(Data_metier!$G:$G,MATCH(D$1,Data_metier!$B:$B,0))="Non",
INDEX(Data_metier!$G:$G,MATCH($A29,Data_metier!$B:$B,0))="Oui, en amont ET aval"),
1,
IF(AND(INDEX(Data_metier!$G:$G,MATCH(D$1,Data_metier!$B:$B,0))="Oui, en amont OU aval",
INDEX(Data_metier!$G:$G,MATCH($A29,Data_metier!$B:$B,0))="Oui, en amont ET aval"),
0.5,
0))))</f>
        <v>1.8333333333333335</v>
      </c>
      <c r="E29">
        <f>IF(DE_ress_transv!E29=-1,-1,
DE_ress_transv!E29+IF(AND(INDEX(Data_metier!$G:$G,MATCH(E$1,Data_metier!$B:$B,0))="Non",
INDEX(Data_metier!$G:$G,MATCH($A29,Data_metier!$B:$B,0))="Oui, en amont OU aval"),
0.5,
IF(AND(INDEX(Data_metier!$G:$G,MATCH(E$1,Data_metier!$B:$B,0))="Non",
INDEX(Data_metier!$G:$G,MATCH($A29,Data_metier!$B:$B,0))="Oui, en amont ET aval"),
1,
IF(AND(INDEX(Data_metier!$G:$G,MATCH(E$1,Data_metier!$B:$B,0))="Oui, en amont OU aval",
INDEX(Data_metier!$G:$G,MATCH($A29,Data_metier!$B:$B,0))="Oui, en amont ET aval"),
0.5,
0))))</f>
        <v>-1</v>
      </c>
      <c r="F29">
        <f>IF(DE_ress_transv!F29=-1,-1,
DE_ress_transv!F29+IF(AND(INDEX(Data_metier!$G:$G,MATCH(F$1,Data_metier!$B:$B,0))="Non",
INDEX(Data_metier!$G:$G,MATCH($A29,Data_metier!$B:$B,0))="Oui, en amont OU aval"),
0.5,
IF(AND(INDEX(Data_metier!$G:$G,MATCH(F$1,Data_metier!$B:$B,0))="Non",
INDEX(Data_metier!$G:$G,MATCH($A29,Data_metier!$B:$B,0))="Oui, en amont ET aval"),
1,
IF(AND(INDEX(Data_metier!$G:$G,MATCH(F$1,Data_metier!$B:$B,0))="Oui, en amont OU aval",
INDEX(Data_metier!$G:$G,MATCH($A29,Data_metier!$B:$B,0))="Oui, en amont ET aval"),
0.5,
0))))</f>
        <v>-1</v>
      </c>
      <c r="G29">
        <f>IF(DE_ress_transv!G29=-1,-1,
DE_ress_transv!G29+IF(AND(INDEX(Data_metier!$G:$G,MATCH(G$1,Data_metier!$B:$B,0))="Non",
INDEX(Data_metier!$G:$G,MATCH($A29,Data_metier!$B:$B,0))="Oui, en amont OU aval"),
0.5,
IF(AND(INDEX(Data_metier!$G:$G,MATCH(G$1,Data_metier!$B:$B,0))="Non",
INDEX(Data_metier!$G:$G,MATCH($A29,Data_metier!$B:$B,0))="Oui, en amont ET aval"),
1,
IF(AND(INDEX(Data_metier!$G:$G,MATCH(G$1,Data_metier!$B:$B,0))="Oui, en amont OU aval",
INDEX(Data_metier!$G:$G,MATCH($A29,Data_metier!$B:$B,0))="Oui, en amont ET aval"),
0.5,
0))))</f>
        <v>-1</v>
      </c>
      <c r="H29">
        <f>IF(DE_ress_transv!H29=-1,-1,
DE_ress_transv!H29+IF(AND(INDEX(Data_metier!$G:$G,MATCH(H$1,Data_metier!$B:$B,0))="Non",
INDEX(Data_metier!$G:$G,MATCH($A29,Data_metier!$B:$B,0))="Oui, en amont OU aval"),
0.5,
IF(AND(INDEX(Data_metier!$G:$G,MATCH(H$1,Data_metier!$B:$B,0))="Non",
INDEX(Data_metier!$G:$G,MATCH($A29,Data_metier!$B:$B,0))="Oui, en amont ET aval"),
1,
IF(AND(INDEX(Data_metier!$G:$G,MATCH(H$1,Data_metier!$B:$B,0))="Oui, en amont OU aval",
INDEX(Data_metier!$G:$G,MATCH($A29,Data_metier!$B:$B,0))="Oui, en amont ET aval"),
0.5,
0))))</f>
        <v>-1</v>
      </c>
      <c r="I29">
        <f>IF(DE_ress_transv!I29=-1,-1,
DE_ress_transv!I29+IF(AND(INDEX(Data_metier!$G:$G,MATCH(I$1,Data_metier!$B:$B,0))="Non",
INDEX(Data_metier!$G:$G,MATCH($A29,Data_metier!$B:$B,0))="Oui, en amont OU aval"),
0.5,
IF(AND(INDEX(Data_metier!$G:$G,MATCH(I$1,Data_metier!$B:$B,0))="Non",
INDEX(Data_metier!$G:$G,MATCH($A29,Data_metier!$B:$B,0))="Oui, en amont ET aval"),
1,
IF(AND(INDEX(Data_metier!$G:$G,MATCH(I$1,Data_metier!$B:$B,0))="Oui, en amont OU aval",
INDEX(Data_metier!$G:$G,MATCH($A29,Data_metier!$B:$B,0))="Oui, en amont ET aval"),
0.5,
0))))</f>
        <v>1.8333333333333335</v>
      </c>
      <c r="J29">
        <f>IF(DE_ress_transv!J29=-1,-1,
DE_ress_transv!J29+IF(AND(INDEX(Data_metier!$G:$G,MATCH(J$1,Data_metier!$B:$B,0))="Non",
INDEX(Data_metier!$G:$G,MATCH($A29,Data_metier!$B:$B,0))="Oui, en amont OU aval"),
0.5,
IF(AND(INDEX(Data_metier!$G:$G,MATCH(J$1,Data_metier!$B:$B,0))="Non",
INDEX(Data_metier!$G:$G,MATCH($A29,Data_metier!$B:$B,0))="Oui, en amont ET aval"),
1,
IF(AND(INDEX(Data_metier!$G:$G,MATCH(J$1,Data_metier!$B:$B,0))="Oui, en amont OU aval",
INDEX(Data_metier!$G:$G,MATCH($A29,Data_metier!$B:$B,0))="Oui, en amont ET aval"),
0.5,
0))))</f>
        <v>-1</v>
      </c>
      <c r="K29">
        <f>IF(DE_ress_transv!K29=-1,-1,
DE_ress_transv!K29+IF(AND(INDEX(Data_metier!$G:$G,MATCH(K$1,Data_metier!$B:$B,0))="Non",
INDEX(Data_metier!$G:$G,MATCH($A29,Data_metier!$B:$B,0))="Oui, en amont OU aval"),
0.5,
IF(AND(INDEX(Data_metier!$G:$G,MATCH(K$1,Data_metier!$B:$B,0))="Non",
INDEX(Data_metier!$G:$G,MATCH($A29,Data_metier!$B:$B,0))="Oui, en amont ET aval"),
1,
IF(AND(INDEX(Data_metier!$G:$G,MATCH(K$1,Data_metier!$B:$B,0))="Oui, en amont OU aval",
INDEX(Data_metier!$G:$G,MATCH($A29,Data_metier!$B:$B,0))="Oui, en amont ET aval"),
0.5,
0))))</f>
        <v>-1</v>
      </c>
      <c r="L29">
        <f>IF(DE_ress_transv!L29=-1,-1,
DE_ress_transv!L29+IF(AND(INDEX(Data_metier!$G:$G,MATCH(L$1,Data_metier!$B:$B,0))="Non",
INDEX(Data_metier!$G:$G,MATCH($A29,Data_metier!$B:$B,0))="Oui, en amont OU aval"),
0.5,
IF(AND(INDEX(Data_metier!$G:$G,MATCH(L$1,Data_metier!$B:$B,0))="Non",
INDEX(Data_metier!$G:$G,MATCH($A29,Data_metier!$B:$B,0))="Oui, en amont ET aval"),
1,
IF(AND(INDEX(Data_metier!$G:$G,MATCH(L$1,Data_metier!$B:$B,0))="Oui, en amont OU aval",
INDEX(Data_metier!$G:$G,MATCH($A29,Data_metier!$B:$B,0))="Oui, en amont ET aval"),
0.5,
0))))</f>
        <v>1.5</v>
      </c>
      <c r="M29">
        <f>IF(DE_ress_transv!M29=-1,-1,
DE_ress_transv!M29+IF(AND(INDEX(Data_metier!$G:$G,MATCH(M$1,Data_metier!$B:$B,0))="Non",
INDEX(Data_metier!$G:$G,MATCH($A29,Data_metier!$B:$B,0))="Oui, en amont OU aval"),
0.5,
IF(AND(INDEX(Data_metier!$G:$G,MATCH(M$1,Data_metier!$B:$B,0))="Non",
INDEX(Data_metier!$G:$G,MATCH($A29,Data_metier!$B:$B,0))="Oui, en amont ET aval"),
1,
IF(AND(INDEX(Data_metier!$G:$G,MATCH(M$1,Data_metier!$B:$B,0))="Oui, en amont OU aval",
INDEX(Data_metier!$G:$G,MATCH($A29,Data_metier!$B:$B,0))="Oui, en amont ET aval"),
0.5,
0))))</f>
        <v>0.66666666666666663</v>
      </c>
      <c r="N29">
        <f>IF(DE_ress_transv!N29=-1,-1,
DE_ress_transv!N29+IF(AND(INDEX(Data_metier!$G:$G,MATCH(N$1,Data_metier!$B:$B,0))="Non",
INDEX(Data_metier!$G:$G,MATCH($A29,Data_metier!$B:$B,0))="Oui, en amont OU aval"),
0.5,
IF(AND(INDEX(Data_metier!$G:$G,MATCH(N$1,Data_metier!$B:$B,0))="Non",
INDEX(Data_metier!$G:$G,MATCH($A29,Data_metier!$B:$B,0))="Oui, en amont ET aval"),
1,
IF(AND(INDEX(Data_metier!$G:$G,MATCH(N$1,Data_metier!$B:$B,0))="Oui, en amont OU aval",
INDEX(Data_metier!$G:$G,MATCH($A29,Data_metier!$B:$B,0))="Oui, en amont ET aval"),
0.5,
0))))</f>
        <v>-1</v>
      </c>
      <c r="O29">
        <f>IF(DE_ress_transv!O29=-1,-1,
DE_ress_transv!O29+IF(AND(INDEX(Data_metier!$G:$G,MATCH(O$1,Data_metier!$B:$B,0))="Non",
INDEX(Data_metier!$G:$G,MATCH($A29,Data_metier!$B:$B,0))="Oui, en amont OU aval"),
0.5,
IF(AND(INDEX(Data_metier!$G:$G,MATCH(O$1,Data_metier!$B:$B,0))="Non",
INDEX(Data_metier!$G:$G,MATCH($A29,Data_metier!$B:$B,0))="Oui, en amont ET aval"),
1,
IF(AND(INDEX(Data_metier!$G:$G,MATCH(O$1,Data_metier!$B:$B,0))="Oui, en amont OU aval",
INDEX(Data_metier!$G:$G,MATCH($A29,Data_metier!$B:$B,0))="Oui, en amont ET aval"),
0.5,
0))))</f>
        <v>1.5</v>
      </c>
      <c r="P29">
        <f>IF(DE_ress_transv!P29=-1,-1,
DE_ress_transv!P29+IF(AND(INDEX(Data_metier!$G:$G,MATCH(P$1,Data_metier!$B:$B,0))="Non",
INDEX(Data_metier!$G:$G,MATCH($A29,Data_metier!$B:$B,0))="Oui, en amont OU aval"),
0.5,
IF(AND(INDEX(Data_metier!$G:$G,MATCH(P$1,Data_metier!$B:$B,0))="Non",
INDEX(Data_metier!$G:$G,MATCH($A29,Data_metier!$B:$B,0))="Oui, en amont ET aval"),
1,
IF(AND(INDEX(Data_metier!$G:$G,MATCH(P$1,Data_metier!$B:$B,0))="Oui, en amont OU aval",
INDEX(Data_metier!$G:$G,MATCH($A29,Data_metier!$B:$B,0))="Oui, en amont ET aval"),
0.5,
0))))</f>
        <v>1.8333333333333335</v>
      </c>
      <c r="Q29">
        <f>IF(DE_ress_transv!Q29=-1,-1,
DE_ress_transv!Q29+IF(AND(INDEX(Data_metier!$G:$G,MATCH(Q$1,Data_metier!$B:$B,0))="Non",
INDEX(Data_metier!$G:$G,MATCH($A29,Data_metier!$B:$B,0))="Oui, en amont OU aval"),
0.5,
IF(AND(INDEX(Data_metier!$G:$G,MATCH(Q$1,Data_metier!$B:$B,0))="Non",
INDEX(Data_metier!$G:$G,MATCH($A29,Data_metier!$B:$B,0))="Oui, en amont ET aval"),
1,
IF(AND(INDEX(Data_metier!$G:$G,MATCH(Q$1,Data_metier!$B:$B,0))="Oui, en amont OU aval",
INDEX(Data_metier!$G:$G,MATCH($A29,Data_metier!$B:$B,0))="Oui, en amont ET aval"),
0.5,
0))))</f>
        <v>-1</v>
      </c>
      <c r="R29">
        <f>IF(DE_ress_transv!R29=-1,-1,
DE_ress_transv!R29+IF(AND(INDEX(Data_metier!$G:$G,MATCH(R$1,Data_metier!$B:$B,0))="Non",
INDEX(Data_metier!$G:$G,MATCH($A29,Data_metier!$B:$B,0))="Oui, en amont OU aval"),
0.5,
IF(AND(INDEX(Data_metier!$G:$G,MATCH(R$1,Data_metier!$B:$B,0))="Non",
INDEX(Data_metier!$G:$G,MATCH($A29,Data_metier!$B:$B,0))="Oui, en amont ET aval"),
1,
IF(AND(INDEX(Data_metier!$G:$G,MATCH(R$1,Data_metier!$B:$B,0))="Oui, en amont OU aval",
INDEX(Data_metier!$G:$G,MATCH($A29,Data_metier!$B:$B,0))="Oui, en amont ET aval"),
0.5,
0))))</f>
        <v>-1</v>
      </c>
      <c r="S29">
        <f>IF(DE_ress_transv!S29=-1,-1,
DE_ress_transv!S29+IF(AND(INDEX(Data_metier!$G:$G,MATCH(S$1,Data_metier!$B:$B,0))="Non",
INDEX(Data_metier!$G:$G,MATCH($A29,Data_metier!$B:$B,0))="Oui, en amont OU aval"),
0.5,
IF(AND(INDEX(Data_metier!$G:$G,MATCH(S$1,Data_metier!$B:$B,0))="Non",
INDEX(Data_metier!$G:$G,MATCH($A29,Data_metier!$B:$B,0))="Oui, en amont ET aval"),
1,
IF(AND(INDEX(Data_metier!$G:$G,MATCH(S$1,Data_metier!$B:$B,0))="Oui, en amont OU aval",
INDEX(Data_metier!$G:$G,MATCH($A29,Data_metier!$B:$B,0))="Oui, en amont ET aval"),
0.5,
0))))</f>
        <v>1.8333333333333335</v>
      </c>
      <c r="T29">
        <f>IF(DE_ress_transv!T29=-1,-1,
DE_ress_transv!T29+IF(AND(INDEX(Data_metier!$G:$G,MATCH(T$1,Data_metier!$B:$B,0))="Non",
INDEX(Data_metier!$G:$G,MATCH($A29,Data_metier!$B:$B,0))="Oui, en amont OU aval"),
0.5,
IF(AND(INDEX(Data_metier!$G:$G,MATCH(T$1,Data_metier!$B:$B,0))="Non",
INDEX(Data_metier!$G:$G,MATCH($A29,Data_metier!$B:$B,0))="Oui, en amont ET aval"),
1,
IF(AND(INDEX(Data_metier!$G:$G,MATCH(T$1,Data_metier!$B:$B,0))="Oui, en amont OU aval",
INDEX(Data_metier!$G:$G,MATCH($A29,Data_metier!$B:$B,0))="Oui, en amont ET aval"),
0.5,
0))))</f>
        <v>1.6666666666666667</v>
      </c>
      <c r="U29">
        <f>IF(DE_ress_transv!U29=-1,-1,
DE_ress_transv!U29+IF(AND(INDEX(Data_metier!$G:$G,MATCH(U$1,Data_metier!$B:$B,0))="Non",
INDEX(Data_metier!$G:$G,MATCH($A29,Data_metier!$B:$B,0))="Oui, en amont OU aval"),
0.5,
IF(AND(INDEX(Data_metier!$G:$G,MATCH(U$1,Data_metier!$B:$B,0))="Non",
INDEX(Data_metier!$G:$G,MATCH($A29,Data_metier!$B:$B,0))="Oui, en amont ET aval"),
1,
IF(AND(INDEX(Data_metier!$G:$G,MATCH(U$1,Data_metier!$B:$B,0))="Oui, en amont OU aval",
INDEX(Data_metier!$G:$G,MATCH($A29,Data_metier!$B:$B,0))="Oui, en amont ET aval"),
0.5,
0))))</f>
        <v>1.8333333333333335</v>
      </c>
      <c r="V29">
        <f>IF(DE_ress_transv!V29=-1,-1,
DE_ress_transv!V29+IF(AND(INDEX(Data_metier!$G:$G,MATCH(V$1,Data_metier!$B:$B,0))="Non",
INDEX(Data_metier!$G:$G,MATCH($A29,Data_metier!$B:$B,0))="Oui, en amont OU aval"),
0.5,
IF(AND(INDEX(Data_metier!$G:$G,MATCH(V$1,Data_metier!$B:$B,0))="Non",
INDEX(Data_metier!$G:$G,MATCH($A29,Data_metier!$B:$B,0))="Oui, en amont ET aval"),
1,
IF(AND(INDEX(Data_metier!$G:$G,MATCH(V$1,Data_metier!$B:$B,0))="Oui, en amont OU aval",
INDEX(Data_metier!$G:$G,MATCH($A29,Data_metier!$B:$B,0))="Oui, en amont ET aval"),
0.5,
0))))</f>
        <v>0</v>
      </c>
      <c r="W29">
        <f>IF(DE_ress_transv!W29=-1,-1,
DE_ress_transv!W29+IF(AND(INDEX(Data_metier!$G:$G,MATCH(W$1,Data_metier!$B:$B,0))="Non",
INDEX(Data_metier!$G:$G,MATCH($A29,Data_metier!$B:$B,0))="Oui, en amont OU aval"),
0.5,
IF(AND(INDEX(Data_metier!$G:$G,MATCH(W$1,Data_metier!$B:$B,0))="Non",
INDEX(Data_metier!$G:$G,MATCH($A29,Data_metier!$B:$B,0))="Oui, en amont ET aval"),
1,
IF(AND(INDEX(Data_metier!$G:$G,MATCH(W$1,Data_metier!$B:$B,0))="Oui, en amont OU aval",
INDEX(Data_metier!$G:$G,MATCH($A29,Data_metier!$B:$B,0))="Oui, en amont ET aval"),
0.5,
0))))</f>
        <v>0</v>
      </c>
      <c r="X29">
        <f>IF(DE_ress_transv!X29=-1,-1,
DE_ress_transv!X29+IF(AND(INDEX(Data_metier!$G:$G,MATCH(X$1,Data_metier!$B:$B,0))="Non",
INDEX(Data_metier!$G:$G,MATCH($A29,Data_metier!$B:$B,0))="Oui, en amont OU aval"),
0.5,
IF(AND(INDEX(Data_metier!$G:$G,MATCH(X$1,Data_metier!$B:$B,0))="Non",
INDEX(Data_metier!$G:$G,MATCH($A29,Data_metier!$B:$B,0))="Oui, en amont ET aval"),
1,
IF(AND(INDEX(Data_metier!$G:$G,MATCH(X$1,Data_metier!$B:$B,0))="Oui, en amont OU aval",
INDEX(Data_metier!$G:$G,MATCH($A29,Data_metier!$B:$B,0))="Oui, en amont ET aval"),
0.5,
0))))</f>
        <v>-1</v>
      </c>
      <c r="Y29">
        <f>IF(DE_ress_transv!Y29=-1,-1,
DE_ress_transv!Y29+IF(AND(INDEX(Data_metier!$G:$G,MATCH(Y$1,Data_metier!$B:$B,0))="Non",
INDEX(Data_metier!$G:$G,MATCH($A29,Data_metier!$B:$B,0))="Oui, en amont OU aval"),
0.5,
IF(AND(INDEX(Data_metier!$G:$G,MATCH(Y$1,Data_metier!$B:$B,0))="Non",
INDEX(Data_metier!$G:$G,MATCH($A29,Data_metier!$B:$B,0))="Oui, en amont ET aval"),
1,
IF(AND(INDEX(Data_metier!$G:$G,MATCH(Y$1,Data_metier!$B:$B,0))="Oui, en amont OU aval",
INDEX(Data_metier!$G:$G,MATCH($A29,Data_metier!$B:$B,0))="Oui, en amont ET aval"),
0.5,
0))))</f>
        <v>1.8333333333333335</v>
      </c>
      <c r="Z29">
        <f>IF(DE_ress_transv!Z29=-1,-1,
DE_ress_transv!Z29+IF(AND(INDEX(Data_metier!$G:$G,MATCH(Z$1,Data_metier!$B:$B,0))="Non",
INDEX(Data_metier!$G:$G,MATCH($A29,Data_metier!$B:$B,0))="Oui, en amont OU aval"),
0.5,
IF(AND(INDEX(Data_metier!$G:$G,MATCH(Z$1,Data_metier!$B:$B,0))="Non",
INDEX(Data_metier!$G:$G,MATCH($A29,Data_metier!$B:$B,0))="Oui, en amont ET aval"),
1,
IF(AND(INDEX(Data_metier!$G:$G,MATCH(Z$1,Data_metier!$B:$B,0))="Oui, en amont OU aval",
INDEX(Data_metier!$G:$G,MATCH($A29,Data_metier!$B:$B,0))="Oui, en amont ET aval"),
0.5,
0))))</f>
        <v>1.8333333333333335</v>
      </c>
      <c r="AA29">
        <f>IF(DE_ress_transv!AA29=-1,-1,
DE_ress_transv!AA29+IF(AND(INDEX(Data_metier!$G:$G,MATCH(AA$1,Data_metier!$B:$B,0))="Non",
INDEX(Data_metier!$G:$G,MATCH($A29,Data_metier!$B:$B,0))="Oui, en amont OU aval"),
0.5,
IF(AND(INDEX(Data_metier!$G:$G,MATCH(AA$1,Data_metier!$B:$B,0))="Non",
INDEX(Data_metier!$G:$G,MATCH($A29,Data_metier!$B:$B,0))="Oui, en amont ET aval"),
1,
IF(AND(INDEX(Data_metier!$G:$G,MATCH(AA$1,Data_metier!$B:$B,0))="Oui, en amont OU aval",
INDEX(Data_metier!$G:$G,MATCH($A29,Data_metier!$B:$B,0))="Oui, en amont ET aval"),
0.5,
0))))</f>
        <v>1.8333333333333335</v>
      </c>
      <c r="AB29">
        <f>IF(DE_ress_transv!AB29=-1,-1,
DE_ress_transv!AB29+IF(AND(INDEX(Data_metier!$G:$G,MATCH(AB$1,Data_metier!$B:$B,0))="Non",
INDEX(Data_metier!$G:$G,MATCH($A29,Data_metier!$B:$B,0))="Oui, en amont OU aval"),
0.5,
IF(AND(INDEX(Data_metier!$G:$G,MATCH(AB$1,Data_metier!$B:$B,0))="Non",
INDEX(Data_metier!$G:$G,MATCH($A29,Data_metier!$B:$B,0))="Oui, en amont ET aval"),
1,
IF(AND(INDEX(Data_metier!$G:$G,MATCH(AB$1,Data_metier!$B:$B,0))="Oui, en amont OU aval",
INDEX(Data_metier!$G:$G,MATCH($A29,Data_metier!$B:$B,0))="Oui, en amont ET aval"),
0.5,
0))))</f>
        <v>0</v>
      </c>
      <c r="AC29">
        <f>IF(DE_ress_transv!AC29=-1,-1,
DE_ress_transv!AC29+IF(AND(INDEX(Data_metier!$G:$G,MATCH(AC$1,Data_metier!$B:$B,0))="Non",
INDEX(Data_metier!$G:$G,MATCH($A29,Data_metier!$B:$B,0))="Oui, en amont OU aval"),
0.5,
IF(AND(INDEX(Data_metier!$G:$G,MATCH(AC$1,Data_metier!$B:$B,0))="Non",
INDEX(Data_metier!$G:$G,MATCH($A29,Data_metier!$B:$B,0))="Oui, en amont ET aval"),
1,
IF(AND(INDEX(Data_metier!$G:$G,MATCH(AC$1,Data_metier!$B:$B,0))="Oui, en amont OU aval",
INDEX(Data_metier!$G:$G,MATCH($A29,Data_metier!$B:$B,0))="Oui, en amont ET aval"),
0.5,
0))))</f>
        <v>0</v>
      </c>
      <c r="AD29">
        <f>IF(DE_ress_transv!AD29=-1,-1,
DE_ress_transv!AD29+IF(AND(INDEX(Data_metier!$G:$G,MATCH(AD$1,Data_metier!$B:$B,0))="Non",
INDEX(Data_metier!$G:$G,MATCH($A29,Data_metier!$B:$B,0))="Oui, en amont OU aval"),
0.5,
IF(AND(INDEX(Data_metier!$G:$G,MATCH(AD$1,Data_metier!$B:$B,0))="Non",
INDEX(Data_metier!$G:$G,MATCH($A29,Data_metier!$B:$B,0))="Oui, en amont ET aval"),
1,
IF(AND(INDEX(Data_metier!$G:$G,MATCH(AD$1,Data_metier!$B:$B,0))="Oui, en amont OU aval",
INDEX(Data_metier!$G:$G,MATCH($A29,Data_metier!$B:$B,0))="Oui, en amont ET aval"),
0.5,
0))))</f>
        <v>-1</v>
      </c>
    </row>
    <row r="30" spans="1:30">
      <c r="A30" s="55" t="str">
        <v>Electromécanicien(ne) de maintenance industrielle</v>
      </c>
      <c r="B30">
        <f>IF(DE_ress_transv!B30=-1,-1,
DE_ress_transv!B30+IF(AND(INDEX(Data_metier!$G:$G,MATCH(B$1,Data_metier!$B:$B,0))="Non",
INDEX(Data_metier!$G:$G,MATCH($A30,Data_metier!$B:$B,0))="Oui, en amont OU aval"),
0.5,
IF(AND(INDEX(Data_metier!$G:$G,MATCH(B$1,Data_metier!$B:$B,0))="Non",
INDEX(Data_metier!$G:$G,MATCH($A30,Data_metier!$B:$B,0))="Oui, en amont ET aval"),
1,
IF(AND(INDEX(Data_metier!$G:$G,MATCH(B$1,Data_metier!$B:$B,0))="Oui, en amont OU aval",
INDEX(Data_metier!$G:$G,MATCH($A30,Data_metier!$B:$B,0))="Oui, en amont ET aval"),
0.5,
0))))</f>
        <v>1.3333333333333335</v>
      </c>
      <c r="C30">
        <f>IF(DE_ress_transv!C30=-1,-1,
DE_ress_transv!C30+IF(AND(INDEX(Data_metier!$G:$G,MATCH(C$1,Data_metier!$B:$B,0))="Non",
INDEX(Data_metier!$G:$G,MATCH($A30,Data_metier!$B:$B,0))="Oui, en amont OU aval"),
0.5,
IF(AND(INDEX(Data_metier!$G:$G,MATCH(C$1,Data_metier!$B:$B,0))="Non",
INDEX(Data_metier!$G:$G,MATCH($A30,Data_metier!$B:$B,0))="Oui, en amont ET aval"),
1,
IF(AND(INDEX(Data_metier!$G:$G,MATCH(C$1,Data_metier!$B:$B,0))="Oui, en amont OU aval",
INDEX(Data_metier!$G:$G,MATCH($A30,Data_metier!$B:$B,0))="Oui, en amont ET aval"),
0.5,
0))))</f>
        <v>1.5</v>
      </c>
      <c r="D30">
        <f>IF(DE_ress_transv!D30=-1,-1,
DE_ress_transv!D30+IF(AND(INDEX(Data_metier!$G:$G,MATCH(D$1,Data_metier!$B:$B,0))="Non",
INDEX(Data_metier!$G:$G,MATCH($A30,Data_metier!$B:$B,0))="Oui, en amont OU aval"),
0.5,
IF(AND(INDEX(Data_metier!$G:$G,MATCH(D$1,Data_metier!$B:$B,0))="Non",
INDEX(Data_metier!$G:$G,MATCH($A30,Data_metier!$B:$B,0))="Oui, en amont ET aval"),
1,
IF(AND(INDEX(Data_metier!$G:$G,MATCH(D$1,Data_metier!$B:$B,0))="Oui, en amont OU aval",
INDEX(Data_metier!$G:$G,MATCH($A30,Data_metier!$B:$B,0))="Oui, en amont ET aval"),
0.5,
0))))</f>
        <v>2.833333333333333</v>
      </c>
      <c r="E30">
        <f>IF(DE_ress_transv!E30=-1,-1,
DE_ress_transv!E30+IF(AND(INDEX(Data_metier!$G:$G,MATCH(E$1,Data_metier!$B:$B,0))="Non",
INDEX(Data_metier!$G:$G,MATCH($A30,Data_metier!$B:$B,0))="Oui, en amont OU aval"),
0.5,
IF(AND(INDEX(Data_metier!$G:$G,MATCH(E$1,Data_metier!$B:$B,0))="Non",
INDEX(Data_metier!$G:$G,MATCH($A30,Data_metier!$B:$B,0))="Oui, en amont ET aval"),
1,
IF(AND(INDEX(Data_metier!$G:$G,MATCH(E$1,Data_metier!$B:$B,0))="Oui, en amont OU aval",
INDEX(Data_metier!$G:$G,MATCH($A30,Data_metier!$B:$B,0))="Oui, en amont ET aval"),
0.5,
0))))</f>
        <v>-1</v>
      </c>
      <c r="F30">
        <f>IF(DE_ress_transv!F30=-1,-1,
DE_ress_transv!F30+IF(AND(INDEX(Data_metier!$G:$G,MATCH(F$1,Data_metier!$B:$B,0))="Non",
INDEX(Data_metier!$G:$G,MATCH($A30,Data_metier!$B:$B,0))="Oui, en amont OU aval"),
0.5,
IF(AND(INDEX(Data_metier!$G:$G,MATCH(F$1,Data_metier!$B:$B,0))="Non",
INDEX(Data_metier!$G:$G,MATCH($A30,Data_metier!$B:$B,0))="Oui, en amont ET aval"),
1,
IF(AND(INDEX(Data_metier!$G:$G,MATCH(F$1,Data_metier!$B:$B,0))="Oui, en amont OU aval",
INDEX(Data_metier!$G:$G,MATCH($A30,Data_metier!$B:$B,0))="Oui, en amont ET aval"),
0.5,
0))))</f>
        <v>-1</v>
      </c>
      <c r="G30">
        <f>IF(DE_ress_transv!G30=-1,-1,
DE_ress_transv!G30+IF(AND(INDEX(Data_metier!$G:$G,MATCH(G$1,Data_metier!$B:$B,0))="Non",
INDEX(Data_metier!$G:$G,MATCH($A30,Data_metier!$B:$B,0))="Oui, en amont OU aval"),
0.5,
IF(AND(INDEX(Data_metier!$G:$G,MATCH(G$1,Data_metier!$B:$B,0))="Non",
INDEX(Data_metier!$G:$G,MATCH($A30,Data_metier!$B:$B,0))="Oui, en amont ET aval"),
1,
IF(AND(INDEX(Data_metier!$G:$G,MATCH(G$1,Data_metier!$B:$B,0))="Oui, en amont OU aval",
INDEX(Data_metier!$G:$G,MATCH($A30,Data_metier!$B:$B,0))="Oui, en amont ET aval"),
0.5,
0))))</f>
        <v>-1</v>
      </c>
      <c r="H30">
        <f>IF(DE_ress_transv!H30=-1,-1,
DE_ress_transv!H30+IF(AND(INDEX(Data_metier!$G:$G,MATCH(H$1,Data_metier!$B:$B,0))="Non",
INDEX(Data_metier!$G:$G,MATCH($A30,Data_metier!$B:$B,0))="Oui, en amont OU aval"),
0.5,
IF(AND(INDEX(Data_metier!$G:$G,MATCH(H$1,Data_metier!$B:$B,0))="Non",
INDEX(Data_metier!$G:$G,MATCH($A30,Data_metier!$B:$B,0))="Oui, en amont ET aval"),
1,
IF(AND(INDEX(Data_metier!$G:$G,MATCH(H$1,Data_metier!$B:$B,0))="Oui, en amont OU aval",
INDEX(Data_metier!$G:$G,MATCH($A30,Data_metier!$B:$B,0))="Oui, en amont ET aval"),
0.5,
0))))</f>
        <v>-1</v>
      </c>
      <c r="I30">
        <f>IF(DE_ress_transv!I30=-1,-1,
DE_ress_transv!I30+IF(AND(INDEX(Data_metier!$G:$G,MATCH(I$1,Data_metier!$B:$B,0))="Non",
INDEX(Data_metier!$G:$G,MATCH($A30,Data_metier!$B:$B,0))="Oui, en amont OU aval"),
0.5,
IF(AND(INDEX(Data_metier!$G:$G,MATCH(I$1,Data_metier!$B:$B,0))="Non",
INDEX(Data_metier!$G:$G,MATCH($A30,Data_metier!$B:$B,0))="Oui, en amont ET aval"),
1,
IF(AND(INDEX(Data_metier!$G:$G,MATCH(I$1,Data_metier!$B:$B,0))="Oui, en amont OU aval",
INDEX(Data_metier!$G:$G,MATCH($A30,Data_metier!$B:$B,0))="Oui, en amont ET aval"),
0.5,
0))))</f>
        <v>2.833333333333333</v>
      </c>
      <c r="J30">
        <f>IF(DE_ress_transv!J30=-1,-1,
DE_ress_transv!J30+IF(AND(INDEX(Data_metier!$G:$G,MATCH(J$1,Data_metier!$B:$B,0))="Non",
INDEX(Data_metier!$G:$G,MATCH($A30,Data_metier!$B:$B,0))="Oui, en amont OU aval"),
0.5,
IF(AND(INDEX(Data_metier!$G:$G,MATCH(J$1,Data_metier!$B:$B,0))="Non",
INDEX(Data_metier!$G:$G,MATCH($A30,Data_metier!$B:$B,0))="Oui, en amont ET aval"),
1,
IF(AND(INDEX(Data_metier!$G:$G,MATCH(J$1,Data_metier!$B:$B,0))="Oui, en amont OU aval",
INDEX(Data_metier!$G:$G,MATCH($A30,Data_metier!$B:$B,0))="Oui, en amont ET aval"),
0.5,
0))))</f>
        <v>-1</v>
      </c>
      <c r="K30">
        <f>IF(DE_ress_transv!K30=-1,-1,
DE_ress_transv!K30+IF(AND(INDEX(Data_metier!$G:$G,MATCH(K$1,Data_metier!$B:$B,0))="Non",
INDEX(Data_metier!$G:$G,MATCH($A30,Data_metier!$B:$B,0))="Oui, en amont OU aval"),
0.5,
IF(AND(INDEX(Data_metier!$G:$G,MATCH(K$1,Data_metier!$B:$B,0))="Non",
INDEX(Data_metier!$G:$G,MATCH($A30,Data_metier!$B:$B,0))="Oui, en amont ET aval"),
1,
IF(AND(INDEX(Data_metier!$G:$G,MATCH(K$1,Data_metier!$B:$B,0))="Oui, en amont OU aval",
INDEX(Data_metier!$G:$G,MATCH($A30,Data_metier!$B:$B,0))="Oui, en amont ET aval"),
0.5,
0))))</f>
        <v>-1</v>
      </c>
      <c r="L30">
        <f>IF(DE_ress_transv!L30=-1,-1,
DE_ress_transv!L30+IF(AND(INDEX(Data_metier!$G:$G,MATCH(L$1,Data_metier!$B:$B,0))="Non",
INDEX(Data_metier!$G:$G,MATCH($A30,Data_metier!$B:$B,0))="Oui, en amont OU aval"),
0.5,
IF(AND(INDEX(Data_metier!$G:$G,MATCH(L$1,Data_metier!$B:$B,0))="Non",
INDEX(Data_metier!$G:$G,MATCH($A30,Data_metier!$B:$B,0))="Oui, en amont ET aval"),
1,
IF(AND(INDEX(Data_metier!$G:$G,MATCH(L$1,Data_metier!$B:$B,0))="Oui, en amont OU aval",
INDEX(Data_metier!$G:$G,MATCH($A30,Data_metier!$B:$B,0))="Oui, en amont ET aval"),
0.5,
0))))</f>
        <v>2.5</v>
      </c>
      <c r="M30">
        <f>IF(DE_ress_transv!M30=-1,-1,
DE_ress_transv!M30+IF(AND(INDEX(Data_metier!$G:$G,MATCH(M$1,Data_metier!$B:$B,0))="Non",
INDEX(Data_metier!$G:$G,MATCH($A30,Data_metier!$B:$B,0))="Oui, en amont OU aval"),
0.5,
IF(AND(INDEX(Data_metier!$G:$G,MATCH(M$1,Data_metier!$B:$B,0))="Non",
INDEX(Data_metier!$G:$G,MATCH($A30,Data_metier!$B:$B,0))="Oui, en amont ET aval"),
1,
IF(AND(INDEX(Data_metier!$G:$G,MATCH(M$1,Data_metier!$B:$B,0))="Oui, en amont OU aval",
INDEX(Data_metier!$G:$G,MATCH($A30,Data_metier!$B:$B,0))="Oui, en amont ET aval"),
0.5,
0))))</f>
        <v>1.6666666666666667</v>
      </c>
      <c r="N30">
        <f>IF(DE_ress_transv!N30=-1,-1,
DE_ress_transv!N30+IF(AND(INDEX(Data_metier!$G:$G,MATCH(N$1,Data_metier!$B:$B,0))="Non",
INDEX(Data_metier!$G:$G,MATCH($A30,Data_metier!$B:$B,0))="Oui, en amont OU aval"),
0.5,
IF(AND(INDEX(Data_metier!$G:$G,MATCH(N$1,Data_metier!$B:$B,0))="Non",
INDEX(Data_metier!$G:$G,MATCH($A30,Data_metier!$B:$B,0))="Oui, en amont ET aval"),
1,
IF(AND(INDEX(Data_metier!$G:$G,MATCH(N$1,Data_metier!$B:$B,0))="Oui, en amont OU aval",
INDEX(Data_metier!$G:$G,MATCH($A30,Data_metier!$B:$B,0))="Oui, en amont ET aval"),
0.5,
0))))</f>
        <v>-1</v>
      </c>
      <c r="O30">
        <f>IF(DE_ress_transv!O30=-1,-1,
DE_ress_transv!O30+IF(AND(INDEX(Data_metier!$G:$G,MATCH(O$1,Data_metier!$B:$B,0))="Non",
INDEX(Data_metier!$G:$G,MATCH($A30,Data_metier!$B:$B,0))="Oui, en amont OU aval"),
0.5,
IF(AND(INDEX(Data_metier!$G:$G,MATCH(O$1,Data_metier!$B:$B,0))="Non",
INDEX(Data_metier!$G:$G,MATCH($A30,Data_metier!$B:$B,0))="Oui, en amont ET aval"),
1,
IF(AND(INDEX(Data_metier!$G:$G,MATCH(O$1,Data_metier!$B:$B,0))="Oui, en amont OU aval",
INDEX(Data_metier!$G:$G,MATCH($A30,Data_metier!$B:$B,0))="Oui, en amont ET aval"),
0.5,
0))))</f>
        <v>2.5</v>
      </c>
      <c r="P30">
        <f>IF(DE_ress_transv!P30=-1,-1,
DE_ress_transv!P30+IF(AND(INDEX(Data_metier!$G:$G,MATCH(P$1,Data_metier!$B:$B,0))="Non",
INDEX(Data_metier!$G:$G,MATCH($A30,Data_metier!$B:$B,0))="Oui, en amont OU aval"),
0.5,
IF(AND(INDEX(Data_metier!$G:$G,MATCH(P$1,Data_metier!$B:$B,0))="Non",
INDEX(Data_metier!$G:$G,MATCH($A30,Data_metier!$B:$B,0))="Oui, en amont ET aval"),
1,
IF(AND(INDEX(Data_metier!$G:$G,MATCH(P$1,Data_metier!$B:$B,0))="Oui, en amont OU aval",
INDEX(Data_metier!$G:$G,MATCH($A30,Data_metier!$B:$B,0))="Oui, en amont ET aval"),
0.5,
0))))</f>
        <v>2.833333333333333</v>
      </c>
      <c r="Q30">
        <f>IF(DE_ress_transv!Q30=-1,-1,
DE_ress_transv!Q30+IF(AND(INDEX(Data_metier!$G:$G,MATCH(Q$1,Data_metier!$B:$B,0))="Non",
INDEX(Data_metier!$G:$G,MATCH($A30,Data_metier!$B:$B,0))="Oui, en amont OU aval"),
0.5,
IF(AND(INDEX(Data_metier!$G:$G,MATCH(Q$1,Data_metier!$B:$B,0))="Non",
INDEX(Data_metier!$G:$G,MATCH($A30,Data_metier!$B:$B,0))="Oui, en amont ET aval"),
1,
IF(AND(INDEX(Data_metier!$G:$G,MATCH(Q$1,Data_metier!$B:$B,0))="Oui, en amont OU aval",
INDEX(Data_metier!$G:$G,MATCH($A30,Data_metier!$B:$B,0))="Oui, en amont ET aval"),
0.5,
0))))</f>
        <v>-1</v>
      </c>
      <c r="R30">
        <f>IF(DE_ress_transv!R30=-1,-1,
DE_ress_transv!R30+IF(AND(INDEX(Data_metier!$G:$G,MATCH(R$1,Data_metier!$B:$B,0))="Non",
INDEX(Data_metier!$G:$G,MATCH($A30,Data_metier!$B:$B,0))="Oui, en amont OU aval"),
0.5,
IF(AND(INDEX(Data_metier!$G:$G,MATCH(R$1,Data_metier!$B:$B,0))="Non",
INDEX(Data_metier!$G:$G,MATCH($A30,Data_metier!$B:$B,0))="Oui, en amont ET aval"),
1,
IF(AND(INDEX(Data_metier!$G:$G,MATCH(R$1,Data_metier!$B:$B,0))="Oui, en amont OU aval",
INDEX(Data_metier!$G:$G,MATCH($A30,Data_metier!$B:$B,0))="Oui, en amont ET aval"),
0.5,
0))))</f>
        <v>-1</v>
      </c>
      <c r="S30">
        <f>IF(DE_ress_transv!S30=-1,-1,
DE_ress_transv!S30+IF(AND(INDEX(Data_metier!$G:$G,MATCH(S$1,Data_metier!$B:$B,0))="Non",
INDEX(Data_metier!$G:$G,MATCH($A30,Data_metier!$B:$B,0))="Oui, en amont OU aval"),
0.5,
IF(AND(INDEX(Data_metier!$G:$G,MATCH(S$1,Data_metier!$B:$B,0))="Non",
INDEX(Data_metier!$G:$G,MATCH($A30,Data_metier!$B:$B,0))="Oui, en amont ET aval"),
1,
IF(AND(INDEX(Data_metier!$G:$G,MATCH(S$1,Data_metier!$B:$B,0))="Oui, en amont OU aval",
INDEX(Data_metier!$G:$G,MATCH($A30,Data_metier!$B:$B,0))="Oui, en amont ET aval"),
0.5,
0))))</f>
        <v>2.833333333333333</v>
      </c>
      <c r="T30">
        <f>IF(DE_ress_transv!T30=-1,-1,
DE_ress_transv!T30+IF(AND(INDEX(Data_metier!$G:$G,MATCH(T$1,Data_metier!$B:$B,0))="Non",
INDEX(Data_metier!$G:$G,MATCH($A30,Data_metier!$B:$B,0))="Oui, en amont OU aval"),
0.5,
IF(AND(INDEX(Data_metier!$G:$G,MATCH(T$1,Data_metier!$B:$B,0))="Non",
INDEX(Data_metier!$G:$G,MATCH($A30,Data_metier!$B:$B,0))="Oui, en amont ET aval"),
1,
IF(AND(INDEX(Data_metier!$G:$G,MATCH(T$1,Data_metier!$B:$B,0))="Oui, en amont OU aval",
INDEX(Data_metier!$G:$G,MATCH($A30,Data_metier!$B:$B,0))="Oui, en amont ET aval"),
0.5,
0))))</f>
        <v>2.6666666666666665</v>
      </c>
      <c r="U30">
        <f>IF(DE_ress_transv!U30=-1,-1,
DE_ress_transv!U30+IF(AND(INDEX(Data_metier!$G:$G,MATCH(U$1,Data_metier!$B:$B,0))="Non",
INDEX(Data_metier!$G:$G,MATCH($A30,Data_metier!$B:$B,0))="Oui, en amont OU aval"),
0.5,
IF(AND(INDEX(Data_metier!$G:$G,MATCH(U$1,Data_metier!$B:$B,0))="Non",
INDEX(Data_metier!$G:$G,MATCH($A30,Data_metier!$B:$B,0))="Oui, en amont ET aval"),
1,
IF(AND(INDEX(Data_metier!$G:$G,MATCH(U$1,Data_metier!$B:$B,0))="Oui, en amont OU aval",
INDEX(Data_metier!$G:$G,MATCH($A30,Data_metier!$B:$B,0))="Oui, en amont ET aval"),
0.5,
0))))</f>
        <v>2.833333333333333</v>
      </c>
      <c r="V30">
        <f>IF(DE_ress_transv!V30=-1,-1,
DE_ress_transv!V30+IF(AND(INDEX(Data_metier!$G:$G,MATCH(V$1,Data_metier!$B:$B,0))="Non",
INDEX(Data_metier!$G:$G,MATCH($A30,Data_metier!$B:$B,0))="Oui, en amont OU aval"),
0.5,
IF(AND(INDEX(Data_metier!$G:$G,MATCH(V$1,Data_metier!$B:$B,0))="Non",
INDEX(Data_metier!$G:$G,MATCH($A30,Data_metier!$B:$B,0))="Oui, en amont ET aval"),
1,
IF(AND(INDEX(Data_metier!$G:$G,MATCH(V$1,Data_metier!$B:$B,0))="Oui, en amont OU aval",
INDEX(Data_metier!$G:$G,MATCH($A30,Data_metier!$B:$B,0))="Oui, en amont ET aval"),
0.5,
0))))</f>
        <v>1</v>
      </c>
      <c r="W30">
        <f>IF(DE_ress_transv!W30=-1,-1,
DE_ress_transv!W30+IF(AND(INDEX(Data_metier!$G:$G,MATCH(W$1,Data_metier!$B:$B,0))="Non",
INDEX(Data_metier!$G:$G,MATCH($A30,Data_metier!$B:$B,0))="Oui, en amont OU aval"),
0.5,
IF(AND(INDEX(Data_metier!$G:$G,MATCH(W$1,Data_metier!$B:$B,0))="Non",
INDEX(Data_metier!$G:$G,MATCH($A30,Data_metier!$B:$B,0))="Oui, en amont ET aval"),
1,
IF(AND(INDEX(Data_metier!$G:$G,MATCH(W$1,Data_metier!$B:$B,0))="Oui, en amont OU aval",
INDEX(Data_metier!$G:$G,MATCH($A30,Data_metier!$B:$B,0))="Oui, en amont ET aval"),
0.5,
0))))</f>
        <v>1</v>
      </c>
      <c r="X30">
        <f>IF(DE_ress_transv!X30=-1,-1,
DE_ress_transv!X30+IF(AND(INDEX(Data_metier!$G:$G,MATCH(X$1,Data_metier!$B:$B,0))="Non",
INDEX(Data_metier!$G:$G,MATCH($A30,Data_metier!$B:$B,0))="Oui, en amont OU aval"),
0.5,
IF(AND(INDEX(Data_metier!$G:$G,MATCH(X$1,Data_metier!$B:$B,0))="Non",
INDEX(Data_metier!$G:$G,MATCH($A30,Data_metier!$B:$B,0))="Oui, en amont ET aval"),
1,
IF(AND(INDEX(Data_metier!$G:$G,MATCH(X$1,Data_metier!$B:$B,0))="Oui, en amont OU aval",
INDEX(Data_metier!$G:$G,MATCH($A30,Data_metier!$B:$B,0))="Oui, en amont ET aval"),
0.5,
0))))</f>
        <v>-1</v>
      </c>
      <c r="Y30">
        <f>IF(DE_ress_transv!Y30=-1,-1,
DE_ress_transv!Y30+IF(AND(INDEX(Data_metier!$G:$G,MATCH(Y$1,Data_metier!$B:$B,0))="Non",
INDEX(Data_metier!$G:$G,MATCH($A30,Data_metier!$B:$B,0))="Oui, en amont OU aval"),
0.5,
IF(AND(INDEX(Data_metier!$G:$G,MATCH(Y$1,Data_metier!$B:$B,0))="Non",
INDEX(Data_metier!$G:$G,MATCH($A30,Data_metier!$B:$B,0))="Oui, en amont ET aval"),
1,
IF(AND(INDEX(Data_metier!$G:$G,MATCH(Y$1,Data_metier!$B:$B,0))="Oui, en amont OU aval",
INDEX(Data_metier!$G:$G,MATCH($A30,Data_metier!$B:$B,0))="Oui, en amont ET aval"),
0.5,
0))))</f>
        <v>2.833333333333333</v>
      </c>
      <c r="Z30">
        <f>IF(DE_ress_transv!Z30=-1,-1,
DE_ress_transv!Z30+IF(AND(INDEX(Data_metier!$G:$G,MATCH(Z$1,Data_metier!$B:$B,0))="Non",
INDEX(Data_metier!$G:$G,MATCH($A30,Data_metier!$B:$B,0))="Oui, en amont OU aval"),
0.5,
IF(AND(INDEX(Data_metier!$G:$G,MATCH(Z$1,Data_metier!$B:$B,0))="Non",
INDEX(Data_metier!$G:$G,MATCH($A30,Data_metier!$B:$B,0))="Oui, en amont ET aval"),
1,
IF(AND(INDEX(Data_metier!$G:$G,MATCH(Z$1,Data_metier!$B:$B,0))="Oui, en amont OU aval",
INDEX(Data_metier!$G:$G,MATCH($A30,Data_metier!$B:$B,0))="Oui, en amont ET aval"),
0.5,
0))))</f>
        <v>2.833333333333333</v>
      </c>
      <c r="AA30">
        <f>IF(DE_ress_transv!AA30=-1,-1,
DE_ress_transv!AA30+IF(AND(INDEX(Data_metier!$G:$G,MATCH(AA$1,Data_metier!$B:$B,0))="Non",
INDEX(Data_metier!$G:$G,MATCH($A30,Data_metier!$B:$B,0))="Oui, en amont OU aval"),
0.5,
IF(AND(INDEX(Data_metier!$G:$G,MATCH(AA$1,Data_metier!$B:$B,0))="Non",
INDEX(Data_metier!$G:$G,MATCH($A30,Data_metier!$B:$B,0))="Oui, en amont ET aval"),
1,
IF(AND(INDEX(Data_metier!$G:$G,MATCH(AA$1,Data_metier!$B:$B,0))="Oui, en amont OU aval",
INDEX(Data_metier!$G:$G,MATCH($A30,Data_metier!$B:$B,0))="Oui, en amont ET aval"),
0.5,
0))))</f>
        <v>2.833333333333333</v>
      </c>
      <c r="AB30">
        <f>IF(DE_ress_transv!AB30=-1,-1,
DE_ress_transv!AB30+IF(AND(INDEX(Data_metier!$G:$G,MATCH(AB$1,Data_metier!$B:$B,0))="Non",
INDEX(Data_metier!$G:$G,MATCH($A30,Data_metier!$B:$B,0))="Oui, en amont OU aval"),
0.5,
IF(AND(INDEX(Data_metier!$G:$G,MATCH(AB$1,Data_metier!$B:$B,0))="Non",
INDEX(Data_metier!$G:$G,MATCH($A30,Data_metier!$B:$B,0))="Oui, en amont ET aval"),
1,
IF(AND(INDEX(Data_metier!$G:$G,MATCH(AB$1,Data_metier!$B:$B,0))="Oui, en amont OU aval",
INDEX(Data_metier!$G:$G,MATCH($A30,Data_metier!$B:$B,0))="Oui, en amont ET aval"),
0.5,
0))))</f>
        <v>1</v>
      </c>
      <c r="AC30">
        <f>IF(DE_ress_transv!AC30=-1,-1,
DE_ress_transv!AC30+IF(AND(INDEX(Data_metier!$G:$G,MATCH(AC$1,Data_metier!$B:$B,0))="Non",
INDEX(Data_metier!$G:$G,MATCH($A30,Data_metier!$B:$B,0))="Oui, en amont OU aval"),
0.5,
IF(AND(INDEX(Data_metier!$G:$G,MATCH(AC$1,Data_metier!$B:$B,0))="Non",
INDEX(Data_metier!$G:$G,MATCH($A30,Data_metier!$B:$B,0))="Oui, en amont ET aval"),
1,
IF(AND(INDEX(Data_metier!$G:$G,MATCH(AC$1,Data_metier!$B:$B,0))="Oui, en amont OU aval",
INDEX(Data_metier!$G:$G,MATCH($A30,Data_metier!$B:$B,0))="Oui, en amont ET aval"),
0.5,
0))))</f>
        <v>1</v>
      </c>
      <c r="AD30">
        <f>IF(DE_ress_transv!AD30=-1,-1,
DE_ress_transv!AD30+IF(AND(INDEX(Data_metier!$G:$G,MATCH(AD$1,Data_metier!$B:$B,0))="Non",
INDEX(Data_metier!$G:$G,MATCH($A30,Data_metier!$B:$B,0))="Oui, en amont OU aval"),
0.5,
IF(AND(INDEX(Data_metier!$G:$G,MATCH(AD$1,Data_metier!$B:$B,0))="Non",
INDEX(Data_metier!$G:$G,MATCH($A30,Data_metier!$B:$B,0))="Oui, en amont ET aval"),
1,
IF(AND(INDEX(Data_metier!$G:$G,MATCH(AD$1,Data_metier!$B:$B,0))="Oui, en amont OU aval",
INDEX(Data_metier!$G:$G,MATCH($A30,Data_metier!$B:$B,0))="Oui, en amont ET aval"),
0.5,
0))))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0C98B-0CDB-40D5-9B3D-78E1522820DF}">
  <sheetPr codeName="Feuil1">
    <tabColor theme="5" tint="0.59999389629810485"/>
  </sheetPr>
  <dimension ref="A1:AE43"/>
  <sheetViews>
    <sheetView zoomScale="109" zoomScaleNormal="110" workbookViewId="0">
      <pane xSplit="1" ySplit="1" topLeftCell="B2" activePane="bottomRight" state="frozen"/>
      <selection pane="bottomRight" activeCell="D4" sqref="D4"/>
      <selection pane="bottomLeft" activeCell="A2" sqref="A2"/>
      <selection pane="topRight" activeCell="B1" sqref="B1"/>
    </sheetView>
  </sheetViews>
  <sheetFormatPr defaultColWidth="11.42578125" defaultRowHeight="15"/>
  <cols>
    <col min="1" max="1" width="34.28515625" style="55" customWidth="1"/>
    <col min="3" max="3" width="15.5703125" bestFit="1" customWidth="1"/>
  </cols>
  <sheetData>
    <row r="1" spans="1:31" s="55" customFormat="1">
      <c r="A1" s="56" t="s">
        <v>58</v>
      </c>
      <c r="C1" s="55" t="str" cm="1">
        <f t="array" ref="C1:AE1">TRANSPOSE(Tableau1[INT_METIER])</f>
        <v>Caviste</v>
      </c>
      <c r="D1" s="55" t="str">
        <v>Agent de silo</v>
      </c>
      <c r="E1" s="55" t="str">
        <v>Opérateur(trice) logistique</v>
      </c>
      <c r="F1" s="55" t="str">
        <v>Manager(euse) logistique</v>
      </c>
      <c r="G1" s="55" t="str">
        <v>Maître(sse) de chai</v>
      </c>
      <c r="H1" s="55" t="str">
        <v>Superviseur(se) de production (fabrication / conditionnement)</v>
      </c>
      <c r="I1" s="55" t="str">
        <v>Spécialiste planning / ordonnancement</v>
      </c>
      <c r="J1" s="55" t="str">
        <v>Opérateur(trice) logistique</v>
      </c>
      <c r="K1" s="55" t="str">
        <v>Logisticien(ne) approvisionneur(se)</v>
      </c>
      <c r="L1" s="55" t="str">
        <v>Responsable de production de produits alimentaires (fabrication / conditionnement)</v>
      </c>
      <c r="M1" s="55" t="str">
        <v>Chauffeur(se) livreur(se)</v>
      </c>
      <c r="N1" s="55" t="str">
        <v>Régleur(se)</v>
      </c>
      <c r="O1" s="55" t="str">
        <v>Spécialiste procédés et installations de production alimentaire</v>
      </c>
      <c r="P1" s="55" t="str">
        <v>Conducteur(trice) de livraison et de collecte</v>
      </c>
      <c r="Q1" s="55" t="str">
        <v>Opérateur(trice) hygiène / sanitation</v>
      </c>
      <c r="R1" s="55" t="str">
        <v>Chef(fe) de silo</v>
      </c>
      <c r="S1" s="55" t="str">
        <v>Acheteur(se) / négociateur(trice) de matières premières</v>
      </c>
      <c r="T1" s="55" t="str">
        <v>Opérateur(trice) de production alimentaire</v>
      </c>
      <c r="U1" s="55" t="str">
        <v>Conducteur(trice) de machine(s) de production alimentaire (fabrication / conditionnement)</v>
      </c>
      <c r="V1" s="55" t="str">
        <v>Boulanger(ère)/pâtissier(ère) industriel(le)</v>
      </c>
      <c r="W1" s="55" t="str">
        <v>Conducteur(trice) de ligne(s)de production alimentaire (fabrication/conditionnement)</v>
      </c>
      <c r="X1" s="55" t="str">
        <v>Conducteur(trice) de process de production alimentaire</v>
      </c>
      <c r="Y1" s="55" t="str">
        <v>Responsable de plateforme/ d’exploitation logistique</v>
      </c>
      <c r="Z1" s="55" t="str">
        <v>Opérateur(trice) de transformation des viandes</v>
      </c>
      <c r="AA1" s="55" t="str">
        <v>Fromager(ère) industriel(le)</v>
      </c>
      <c r="AB1" s="55" t="str">
        <v>Opérateur(trice) de préparation de poissons et de produits de la mer</v>
      </c>
      <c r="AC1" s="55" t="str">
        <v>Mécanicien(ne) de maintenance industrielle</v>
      </c>
      <c r="AD1" s="55" t="str">
        <v>Mécanicien(ne)-sertisseur(euse)</v>
      </c>
      <c r="AE1" s="55" t="str">
        <v>Electromécanicien(ne) de maintenance industrielle</v>
      </c>
    </row>
    <row r="2" spans="1:31">
      <c r="A2" s="55" t="str">
        <f>_xlfn.XLOOKUP(B2,[1]Formacode!A:A,[1]Formacode!B:B,0,1)</f>
        <v>Bonnes pratiques hygiène agroalimentaire</v>
      </c>
      <c r="B2">
        <v>21547</v>
      </c>
      <c r="C2">
        <v>2</v>
      </c>
      <c r="D2">
        <v>2</v>
      </c>
      <c r="J2">
        <v>2</v>
      </c>
      <c r="N2">
        <v>2</v>
      </c>
      <c r="O2">
        <v>2</v>
      </c>
      <c r="Q2">
        <v>2</v>
      </c>
      <c r="R2">
        <v>2</v>
      </c>
      <c r="T2">
        <v>2</v>
      </c>
      <c r="U2">
        <v>2</v>
      </c>
      <c r="V2">
        <v>2</v>
      </c>
      <c r="W2">
        <v>2</v>
      </c>
      <c r="X2">
        <v>2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</row>
    <row r="3" spans="1:31">
      <c r="A3" s="55" t="str">
        <f>_xlfn.XLOOKUP(B3,[1]Formacode!A:A,[1]Formacode!B:B,0,1)</f>
        <v>Vinification œnologie</v>
      </c>
      <c r="B3">
        <v>21510</v>
      </c>
      <c r="C3">
        <v>2</v>
      </c>
      <c r="G3">
        <v>3</v>
      </c>
    </row>
    <row r="4" spans="1:31">
      <c r="A4" s="55" t="str">
        <f>_xlfn.XLOOKUP(B4,[1]Formacode!A:A,[1]Formacode!B:B,0,1)</f>
        <v>Chimie</v>
      </c>
      <c r="B4">
        <v>11554</v>
      </c>
      <c r="C4">
        <v>1</v>
      </c>
      <c r="G4">
        <v>2</v>
      </c>
    </row>
    <row r="5" spans="1:31">
      <c r="A5" s="55" t="str">
        <f>_xlfn.XLOOKUP(B5,[1]Formacode!A:A,[1]Formacode!B:B,0,1)</f>
        <v>Physique</v>
      </c>
      <c r="B5">
        <v>11454</v>
      </c>
      <c r="C5">
        <v>1</v>
      </c>
      <c r="G5">
        <v>2</v>
      </c>
      <c r="H5">
        <v>1</v>
      </c>
      <c r="L5">
        <v>2</v>
      </c>
      <c r="O5">
        <v>2</v>
      </c>
    </row>
    <row r="6" spans="1:31">
      <c r="A6" s="55" t="str">
        <f>_xlfn.XLOOKUP(B6,[1]Formacode!A:A,[1]Formacode!B:B,0,1)</f>
        <v>Conduite installation industrielle</v>
      </c>
      <c r="B6">
        <v>31620</v>
      </c>
      <c r="C6">
        <v>2</v>
      </c>
      <c r="D6">
        <v>2</v>
      </c>
      <c r="G6">
        <v>2</v>
      </c>
      <c r="H6">
        <v>2</v>
      </c>
      <c r="O6">
        <v>3</v>
      </c>
      <c r="R6">
        <v>2</v>
      </c>
      <c r="T6">
        <v>1</v>
      </c>
      <c r="U6">
        <v>2</v>
      </c>
      <c r="V6">
        <v>1</v>
      </c>
      <c r="W6">
        <v>2</v>
      </c>
      <c r="X6">
        <v>2</v>
      </c>
    </row>
    <row r="7" spans="1:31">
      <c r="A7" s="55" t="str">
        <f>_xlfn.XLOOKUP(B7,[1]Formacode!A:A,[1]Formacode!B:B,0,1)</f>
        <v>Contrôle qualité</v>
      </c>
      <c r="B7">
        <v>31436</v>
      </c>
      <c r="C7">
        <v>2</v>
      </c>
      <c r="D7">
        <v>2</v>
      </c>
      <c r="E7">
        <v>1</v>
      </c>
      <c r="F7">
        <v>2</v>
      </c>
      <c r="G7">
        <v>2</v>
      </c>
      <c r="H7">
        <v>2</v>
      </c>
      <c r="J7">
        <v>2</v>
      </c>
      <c r="L7">
        <v>3</v>
      </c>
      <c r="M7">
        <v>1</v>
      </c>
      <c r="N7">
        <v>2</v>
      </c>
      <c r="O7">
        <v>2</v>
      </c>
      <c r="P7">
        <v>1</v>
      </c>
      <c r="R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3</v>
      </c>
      <c r="Z7">
        <v>2</v>
      </c>
      <c r="AA7">
        <v>2</v>
      </c>
      <c r="AB7">
        <v>2</v>
      </c>
    </row>
    <row r="8" spans="1:31">
      <c r="A8" s="55" t="str">
        <f>_xlfn.XLOOKUP(B8,[1]Formacode!A:A,[1]Formacode!B:B,0,1)</f>
        <v>Règlementation hygiène agroalimentaire</v>
      </c>
      <c r="B8">
        <v>21572</v>
      </c>
      <c r="C8">
        <v>1</v>
      </c>
      <c r="D8">
        <v>1</v>
      </c>
      <c r="G8">
        <v>2</v>
      </c>
      <c r="H8">
        <v>2</v>
      </c>
      <c r="I8">
        <v>2</v>
      </c>
      <c r="J8">
        <v>1</v>
      </c>
      <c r="K8">
        <v>2</v>
      </c>
      <c r="N8">
        <v>1</v>
      </c>
      <c r="O8">
        <v>2</v>
      </c>
      <c r="P8">
        <v>1</v>
      </c>
      <c r="Q8">
        <v>1</v>
      </c>
      <c r="R8">
        <v>2</v>
      </c>
      <c r="S8">
        <v>3</v>
      </c>
      <c r="T8">
        <v>1</v>
      </c>
      <c r="U8">
        <v>1</v>
      </c>
      <c r="V8">
        <v>1</v>
      </c>
      <c r="W8">
        <v>1</v>
      </c>
      <c r="X8">
        <v>1</v>
      </c>
      <c r="Y8">
        <v>3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>
      <c r="A9" s="55" t="str">
        <f>_xlfn.XLOOKUP(B9,[1]Formacode!A:A,[1]Formacode!B:B,0,1)</f>
        <v>Manutention</v>
      </c>
      <c r="B9">
        <v>31754</v>
      </c>
      <c r="C9">
        <v>2</v>
      </c>
      <c r="D9">
        <v>2</v>
      </c>
      <c r="E9">
        <v>2</v>
      </c>
      <c r="J9">
        <v>2</v>
      </c>
      <c r="M9">
        <v>2</v>
      </c>
      <c r="P9">
        <v>2</v>
      </c>
      <c r="Q9">
        <v>2</v>
      </c>
      <c r="R9">
        <v>2</v>
      </c>
      <c r="T9">
        <v>2</v>
      </c>
      <c r="U9">
        <v>2</v>
      </c>
      <c r="V9">
        <v>2</v>
      </c>
      <c r="W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</row>
    <row r="10" spans="1:31">
      <c r="A10" s="55" t="str">
        <f>_xlfn.XLOOKUP(B10,[1]Formacode!A:A,[1]Formacode!B:B,0,1)</f>
        <v>Management opérationnel</v>
      </c>
      <c r="B10">
        <v>32110</v>
      </c>
      <c r="C10">
        <v>1</v>
      </c>
      <c r="F10">
        <v>2</v>
      </c>
      <c r="G10">
        <v>2</v>
      </c>
      <c r="H10">
        <v>2</v>
      </c>
      <c r="L10">
        <v>3</v>
      </c>
      <c r="R10">
        <v>1</v>
      </c>
      <c r="W10">
        <v>1</v>
      </c>
      <c r="X10">
        <v>1</v>
      </c>
      <c r="Y10">
        <v>3</v>
      </c>
    </row>
    <row r="11" spans="1:31">
      <c r="A11" s="55" t="str">
        <f>_xlfn.XLOOKUP(B11,[1]Formacode!A:A,[1]Formacode!B:B,0,1)</f>
        <v>Expedition</v>
      </c>
      <c r="B11">
        <v>31743</v>
      </c>
      <c r="D11">
        <v>2</v>
      </c>
      <c r="E11">
        <v>2</v>
      </c>
      <c r="F11">
        <v>3</v>
      </c>
      <c r="J11">
        <v>2</v>
      </c>
      <c r="R11">
        <v>2</v>
      </c>
      <c r="Y11">
        <v>3</v>
      </c>
    </row>
    <row r="12" spans="1:31">
      <c r="A12" s="55" t="str">
        <f>_xlfn.XLOOKUP(B12,[1]Formacode!A:A,[1]Formacode!B:B,0,1)</f>
        <v>Sciences naturelles</v>
      </c>
      <c r="B12">
        <v>12054</v>
      </c>
      <c r="D12">
        <v>1</v>
      </c>
      <c r="H12">
        <v>1</v>
      </c>
      <c r="I12">
        <v>2</v>
      </c>
      <c r="L12">
        <v>2</v>
      </c>
      <c r="O12">
        <v>2</v>
      </c>
      <c r="R12">
        <v>1</v>
      </c>
    </row>
    <row r="13" spans="1:31">
      <c r="A13" s="55" t="str">
        <f>_xlfn.XLOOKUP(B13,[1]Formacode!A:A,[1]Formacode!B:B,0,1)</f>
        <v>Maintenance industrielle</v>
      </c>
      <c r="B13">
        <v>31624</v>
      </c>
      <c r="D13">
        <v>1</v>
      </c>
      <c r="H13">
        <v>1</v>
      </c>
      <c r="N13">
        <v>1</v>
      </c>
      <c r="Q13">
        <v>1</v>
      </c>
      <c r="R13">
        <v>1</v>
      </c>
      <c r="U13">
        <v>1</v>
      </c>
      <c r="W13">
        <v>1</v>
      </c>
      <c r="X13">
        <v>1</v>
      </c>
      <c r="AC13">
        <v>2</v>
      </c>
      <c r="AD13">
        <v>2</v>
      </c>
      <c r="AE13">
        <v>2</v>
      </c>
    </row>
    <row r="14" spans="1:31">
      <c r="A14" s="55" t="str">
        <f>_xlfn.XLOOKUP(B14,[1]Formacode!A:A,[1]Formacode!B:B,0,1)</f>
        <v>Entretien vente</v>
      </c>
      <c r="B14">
        <v>34592</v>
      </c>
      <c r="D14">
        <v>1</v>
      </c>
      <c r="R14">
        <v>1</v>
      </c>
    </row>
    <row r="15" spans="1:31">
      <c r="A15" s="55" t="str">
        <f>_xlfn.XLOOKUP(B15,[1]Formacode!A:A,[1]Formacode!B:B,0,1)</f>
        <v>Entretien mecanique</v>
      </c>
      <c r="B15">
        <v>23684</v>
      </c>
      <c r="D15">
        <v>1</v>
      </c>
      <c r="G15">
        <v>1</v>
      </c>
      <c r="N15">
        <v>2</v>
      </c>
      <c r="Q15">
        <v>1</v>
      </c>
      <c r="U15">
        <v>1</v>
      </c>
      <c r="W15">
        <v>1</v>
      </c>
      <c r="X15">
        <v>1</v>
      </c>
      <c r="AC15">
        <v>3</v>
      </c>
      <c r="AD15">
        <v>3</v>
      </c>
      <c r="AE15">
        <v>2</v>
      </c>
    </row>
    <row r="16" spans="1:31">
      <c r="A16" s="55" t="str">
        <f>_xlfn.XLOOKUP(B16,[1]Formacode!A:A,[1]Formacode!B:B,0,1)</f>
        <v>Gestion stock</v>
      </c>
      <c r="B16">
        <v>31663</v>
      </c>
      <c r="E16">
        <v>1</v>
      </c>
      <c r="F16">
        <v>2</v>
      </c>
      <c r="J16">
        <v>1</v>
      </c>
      <c r="K16">
        <v>2</v>
      </c>
      <c r="Y16">
        <v>3</v>
      </c>
    </row>
    <row r="17" spans="1:31">
      <c r="A17" s="55" t="str">
        <f>_xlfn.XLOOKUP(B17,[1]Formacode!A:A,[1]Formacode!B:B,0,1)</f>
        <v>Entreposage stockage</v>
      </c>
      <c r="B17">
        <v>31721</v>
      </c>
      <c r="E17">
        <v>2</v>
      </c>
      <c r="F17">
        <v>3</v>
      </c>
      <c r="J17">
        <v>2</v>
      </c>
      <c r="Y17">
        <v>3</v>
      </c>
    </row>
    <row r="18" spans="1:31">
      <c r="A18" s="55" t="str">
        <f>_xlfn.XLOOKUP(B18,[1]Formacode!A:A,[1]Formacode!B:B,0,1)</f>
        <v>Chariot automoteur</v>
      </c>
      <c r="B18">
        <v>31768</v>
      </c>
      <c r="E18">
        <v>2</v>
      </c>
      <c r="J18">
        <v>2</v>
      </c>
    </row>
    <row r="19" spans="1:31">
      <c r="A19" s="55" t="str">
        <f>_xlfn.XLOOKUP(B19,[1]Formacode!A:A,[1]Formacode!B:B,0,1)</f>
        <v>Economie</v>
      </c>
      <c r="B19">
        <v>13154</v>
      </c>
      <c r="F19">
        <v>1</v>
      </c>
      <c r="H19">
        <v>1</v>
      </c>
      <c r="I19">
        <v>2</v>
      </c>
      <c r="K19">
        <v>2</v>
      </c>
      <c r="L19">
        <v>2</v>
      </c>
      <c r="S19">
        <v>2</v>
      </c>
      <c r="Y19">
        <v>2</v>
      </c>
    </row>
    <row r="20" spans="1:31">
      <c r="A20" s="55" t="str">
        <f>_xlfn.XLOOKUP(B20,[1]Formacode!A:A,[1]Formacode!B:B,0,1)</f>
        <v>Mathématiques</v>
      </c>
      <c r="B20">
        <v>11054</v>
      </c>
      <c r="F20">
        <v>2</v>
      </c>
      <c r="K20">
        <v>2</v>
      </c>
      <c r="Y20">
        <v>2</v>
      </c>
    </row>
    <row r="21" spans="1:31">
      <c r="A21" s="55" t="str">
        <f>_xlfn.XLOOKUP(B21,[1]Formacode!A:A,[1]Formacode!B:B,0,1)</f>
        <v>Gestion performance</v>
      </c>
      <c r="B21">
        <v>32079</v>
      </c>
      <c r="F21">
        <v>2</v>
      </c>
      <c r="G21">
        <v>2</v>
      </c>
      <c r="H21">
        <v>2</v>
      </c>
      <c r="I21">
        <v>2</v>
      </c>
      <c r="K21">
        <v>1</v>
      </c>
      <c r="L21">
        <v>3</v>
      </c>
      <c r="O21">
        <v>2</v>
      </c>
      <c r="R21">
        <v>2</v>
      </c>
      <c r="S21">
        <v>2</v>
      </c>
      <c r="Y21">
        <v>1</v>
      </c>
    </row>
    <row r="22" spans="1:31">
      <c r="A22" s="55" t="str">
        <f>_xlfn.XLOOKUP(B22,[1]Formacode!A:A,[1]Formacode!B:B,0,1)</f>
        <v>Informatique industrielle</v>
      </c>
      <c r="B22">
        <v>31058</v>
      </c>
      <c r="F22">
        <v>1</v>
      </c>
      <c r="H22">
        <v>1</v>
      </c>
      <c r="K22">
        <v>2</v>
      </c>
      <c r="L22">
        <v>2</v>
      </c>
      <c r="O22">
        <v>2</v>
      </c>
      <c r="X22">
        <v>1</v>
      </c>
      <c r="Y22">
        <v>2</v>
      </c>
      <c r="AC22">
        <v>1</v>
      </c>
      <c r="AD22">
        <v>1</v>
      </c>
      <c r="AE22">
        <v>1</v>
      </c>
    </row>
    <row r="23" spans="1:31">
      <c r="A23" s="55" t="str">
        <f>_xlfn.XLOOKUP(B23,[1]Formacode!A:A,[1]Formacode!B:B,0,1)</f>
        <v>Droit</v>
      </c>
      <c r="B23">
        <v>13254</v>
      </c>
      <c r="F23">
        <v>1</v>
      </c>
      <c r="H23">
        <v>1</v>
      </c>
      <c r="I23">
        <v>2</v>
      </c>
      <c r="L23">
        <v>2</v>
      </c>
      <c r="S23">
        <v>2</v>
      </c>
      <c r="Y23">
        <v>2</v>
      </c>
    </row>
    <row r="24" spans="1:31">
      <c r="A24" s="55" t="str">
        <f>_xlfn.XLOOKUP(B24,[1]Formacode!A:A,[1]Formacode!B:B,0,1)</f>
        <v>Gestion production</v>
      </c>
      <c r="B24">
        <v>31652</v>
      </c>
      <c r="H24">
        <v>2</v>
      </c>
      <c r="I24">
        <v>3</v>
      </c>
      <c r="K24">
        <v>1</v>
      </c>
      <c r="L24">
        <v>3</v>
      </c>
      <c r="O24">
        <v>1</v>
      </c>
    </row>
    <row r="25" spans="1:31">
      <c r="A25" s="55" t="str">
        <f>_xlfn.XLOOKUP(B25,[1]Formacode!A:A,[1]Formacode!B:B,0,1)</f>
        <v>Ordonnancement</v>
      </c>
      <c r="B25">
        <v>31662</v>
      </c>
      <c r="I25">
        <v>2</v>
      </c>
    </row>
    <row r="26" spans="1:31">
      <c r="A26" s="55" t="str">
        <f>_xlfn.XLOOKUP(B26,[1]Formacode!A:A,[1]Formacode!B:B,0,1)</f>
        <v>Approvisionnement</v>
      </c>
      <c r="B26">
        <v>31660</v>
      </c>
      <c r="I26">
        <v>1</v>
      </c>
      <c r="K26">
        <v>2</v>
      </c>
      <c r="R26">
        <v>2</v>
      </c>
    </row>
    <row r="27" spans="1:31">
      <c r="A27" s="55" t="str">
        <f>_xlfn.XLOOKUP(B27,[1]Formacode!A:A,[1]Formacode!B:B,0,1)</f>
        <v>Langues</v>
      </c>
      <c r="B27">
        <v>15254</v>
      </c>
      <c r="K27">
        <v>2</v>
      </c>
      <c r="S27">
        <v>2</v>
      </c>
    </row>
    <row r="28" spans="1:31">
      <c r="A28" s="55" t="str">
        <f>_xlfn.XLOOKUP(B28,[1]Formacode!A:A,[1]Formacode!B:B,0,1)</f>
        <v>Qualité achats</v>
      </c>
      <c r="B28">
        <v>34005</v>
      </c>
      <c r="K28">
        <v>1</v>
      </c>
      <c r="S28">
        <v>2</v>
      </c>
    </row>
    <row r="29" spans="1:31">
      <c r="A29" s="55" t="str">
        <f>_xlfn.XLOOKUP(B29,[1]Formacode!A:A,[1]Formacode!B:B,0,1)</f>
        <v>Génie des procédés</v>
      </c>
      <c r="B29">
        <v>31608</v>
      </c>
      <c r="L29">
        <v>3</v>
      </c>
      <c r="O29">
        <v>3</v>
      </c>
      <c r="X29">
        <v>2</v>
      </c>
    </row>
    <row r="30" spans="1:31">
      <c r="A30" s="55" t="str">
        <f>_xlfn.XLOOKUP(B30,[1]Formacode!A:A,[1]Formacode!B:B,0,1)</f>
        <v>Livraison</v>
      </c>
      <c r="B30">
        <v>31807</v>
      </c>
      <c r="M30">
        <v>2</v>
      </c>
      <c r="P30">
        <v>2</v>
      </c>
    </row>
    <row r="31" spans="1:31">
      <c r="A31" s="55" t="str">
        <f>_xlfn.XLOOKUP(B31,[1]Formacode!A:A,[1]Formacode!B:B,0,1)</f>
        <v>Transport routier</v>
      </c>
      <c r="B31">
        <v>31833</v>
      </c>
      <c r="M31">
        <v>2</v>
      </c>
      <c r="P31">
        <v>2</v>
      </c>
    </row>
    <row r="32" spans="1:31">
      <c r="A32" s="55" t="str">
        <f>_xlfn.XLOOKUP(B32,[1]Formacode!A:A,[1]Formacode!B:B,0,1)</f>
        <v>Nettoyage locaux</v>
      </c>
      <c r="B32">
        <v>42093</v>
      </c>
      <c r="Q32">
        <v>2</v>
      </c>
    </row>
    <row r="33" spans="1:31">
      <c r="A33" s="55" t="str">
        <f>_xlfn.XLOOKUP(B33,[1]Formacode!A:A,[1]Formacode!B:B,0,1)</f>
        <v>Gestion fournisseur</v>
      </c>
      <c r="B33">
        <v>34022</v>
      </c>
      <c r="S33">
        <v>3</v>
      </c>
    </row>
    <row r="34" spans="1:31">
      <c r="A34" s="55" t="str">
        <f>_xlfn.XLOOKUP(B34,[1]Formacode!A:A,[1]Formacode!B:B,0,1)</f>
        <v>Negociation achat</v>
      </c>
      <c r="B34">
        <v>34002</v>
      </c>
      <c r="S34">
        <v>3</v>
      </c>
    </row>
    <row r="35" spans="1:31">
      <c r="A35" s="55" t="str">
        <f>_xlfn.XLOOKUP(B35,[1]Formacode!A:A,[1]Formacode!B:B,0,1)</f>
        <v>Strategie commerciale</v>
      </c>
      <c r="B35">
        <v>34085</v>
      </c>
      <c r="S35">
        <v>1</v>
      </c>
    </row>
    <row r="36" spans="1:31">
      <c r="A36" s="55" t="str">
        <f>_xlfn.XLOOKUP(B36,[1]Formacode!A:A,[1]Formacode!B:B,0,1)</f>
        <v>Boulangerie</v>
      </c>
      <c r="B36">
        <v>21538</v>
      </c>
      <c r="V36">
        <v>2</v>
      </c>
    </row>
    <row r="37" spans="1:31">
      <c r="A37" s="55" t="str">
        <f>_xlfn.XLOOKUP(B37,[1]Formacode!A:A,[1]Formacode!B:B,0,1)</f>
        <v>Transport</v>
      </c>
      <c r="B37">
        <v>31854</v>
      </c>
      <c r="Y37">
        <v>3</v>
      </c>
    </row>
    <row r="38" spans="1:31">
      <c r="A38" s="55" t="str">
        <f>_xlfn.XLOOKUP(B38,[1]Formacode!A:A,[1]Formacode!B:B,0,1)</f>
        <v>Viande</v>
      </c>
      <c r="B38">
        <v>21577</v>
      </c>
      <c r="Z38">
        <v>2</v>
      </c>
    </row>
    <row r="39" spans="1:31">
      <c r="A39" s="55" t="str">
        <f>_xlfn.XLOOKUP(B39,[1]Formacode!A:A,[1]Formacode!B:B,0,1)</f>
        <v>Fromage</v>
      </c>
      <c r="B39">
        <v>21504</v>
      </c>
      <c r="AA39">
        <v>2</v>
      </c>
    </row>
    <row r="40" spans="1:31">
      <c r="A40" s="55" t="str">
        <f>_xlfn.XLOOKUP(B40,[1]Formacode!A:A,[1]Formacode!B:B,0,1)</f>
        <v>Transformation produit mer</v>
      </c>
      <c r="B40">
        <v>21567</v>
      </c>
      <c r="AB40">
        <v>2</v>
      </c>
    </row>
    <row r="41" spans="1:31">
      <c r="A41" s="55" t="str">
        <f>_xlfn.XLOOKUP(B41,[1]Formacode!A:A,[1]Formacode!B:B,0,1)</f>
        <v>Conserve</v>
      </c>
      <c r="B41">
        <v>21592</v>
      </c>
      <c r="AD41">
        <v>2</v>
      </c>
    </row>
    <row r="42" spans="1:31">
      <c r="A42" s="55" t="str">
        <f>_xlfn.XLOOKUP(B42,[1]Formacode!A:A,[1]Formacode!B:B,0,1)</f>
        <v>Electricité</v>
      </c>
      <c r="B42">
        <v>24054</v>
      </c>
      <c r="AE42">
        <v>3</v>
      </c>
    </row>
    <row r="43" spans="1:31">
      <c r="A43" s="55" t="str">
        <f>_xlfn.XLOOKUP(B43,[1]Formacode!A:A,[1]Formacode!B:B,0,1)</f>
        <v>Electromécanique</v>
      </c>
      <c r="B43">
        <v>24052</v>
      </c>
      <c r="AE43">
        <v>3</v>
      </c>
    </row>
  </sheetData>
  <conditionalFormatting sqref="B90:B1048576 B2:B45 A1">
    <cfRule type="duplicateValues" dxfId="9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B10DB-C266-4035-9827-4898B30D84F5}">
  <sheetPr codeName="Feuil2"/>
  <dimension ref="A1:AV81"/>
  <sheetViews>
    <sheetView zoomScale="73" workbookViewId="0">
      <pane xSplit="1" ySplit="1" topLeftCell="B2" activePane="bottomRight" state="frozen"/>
      <selection pane="bottomRight" activeCell="D15" sqref="D15"/>
      <selection pane="bottomLeft" activeCell="A2" sqref="A2"/>
      <selection pane="topRight" activeCell="B1" sqref="B1"/>
    </sheetView>
  </sheetViews>
  <sheetFormatPr defaultColWidth="11.42578125" defaultRowHeight="15"/>
  <cols>
    <col min="1" max="1" width="35.42578125" style="55" customWidth="1"/>
    <col min="2" max="2" width="9.85546875" style="55" customWidth="1"/>
    <col min="3" max="3" width="21.28515625" customWidth="1"/>
    <col min="4" max="4" width="21.7109375" customWidth="1"/>
    <col min="5" max="5" width="21" customWidth="1"/>
    <col min="6" max="6" width="21.5703125" customWidth="1"/>
    <col min="7" max="7" width="21.7109375" customWidth="1"/>
    <col min="8" max="8" width="20.140625" customWidth="1"/>
    <col min="9" max="9" width="15.42578125" customWidth="1"/>
    <col min="10" max="10" width="28.28515625" customWidth="1"/>
    <col min="11" max="11" width="22.42578125" customWidth="1"/>
    <col min="12" max="12" width="27.5703125" customWidth="1"/>
    <col min="13" max="13" width="16.140625" customWidth="1"/>
    <col min="14" max="14" width="16" customWidth="1"/>
    <col min="15" max="15" width="17" customWidth="1"/>
    <col min="16" max="16" width="11.7109375" customWidth="1"/>
    <col min="17" max="17" width="11.28515625" customWidth="1"/>
    <col min="18" max="18" width="11.42578125" customWidth="1"/>
    <col min="19" max="19" width="11.140625" customWidth="1"/>
    <col min="20" max="20" width="23.42578125" customWidth="1"/>
    <col min="21" max="21" width="41.42578125" customWidth="1"/>
    <col min="22" max="22" width="23.28515625" customWidth="1"/>
    <col min="23" max="23" width="34.7109375" customWidth="1"/>
    <col min="24" max="24" width="22.28515625" customWidth="1"/>
    <col min="25" max="25" width="22.85546875" customWidth="1"/>
    <col min="26" max="26" width="20.28515625" customWidth="1"/>
    <col min="27" max="27" width="18.85546875" customWidth="1"/>
    <col min="28" max="28" width="29.85546875" customWidth="1"/>
    <col min="29" max="29" width="24.28515625" customWidth="1"/>
    <col min="30" max="30" width="19.7109375" customWidth="1"/>
    <col min="31" max="31" width="19.42578125" customWidth="1"/>
  </cols>
  <sheetData>
    <row r="1" spans="1:48" s="58" customFormat="1">
      <c r="A1" s="57" t="s">
        <v>58</v>
      </c>
      <c r="C1" s="58" t="str" cm="1">
        <f t="array" ref="C1:AE1">TRANSPOSE(Tableau1[INT_METIER])</f>
        <v>Caviste</v>
      </c>
      <c r="D1" s="58" t="str">
        <v>Agent de silo</v>
      </c>
      <c r="E1" s="58" t="str">
        <v>Opérateur(trice) logistique</v>
      </c>
      <c r="F1" s="58" t="str">
        <v>Manager(euse) logistique</v>
      </c>
      <c r="G1" s="58" t="str">
        <v>Maître(sse) de chai</v>
      </c>
      <c r="H1" s="58" t="str">
        <v>Superviseur(se) de production (fabrication / conditionnement)</v>
      </c>
      <c r="I1" s="58" t="str">
        <v>Spécialiste planning / ordonnancement</v>
      </c>
      <c r="J1" s="58" t="str">
        <v>Opérateur(trice) logistique</v>
      </c>
      <c r="K1" s="58" t="str">
        <v>Logisticien(ne) approvisionneur(se)</v>
      </c>
      <c r="L1" s="58" t="str">
        <v>Responsable de production de produits alimentaires (fabrication / conditionnement)</v>
      </c>
      <c r="M1" s="58" t="str">
        <v>Chauffeur(se) livreur(se)</v>
      </c>
      <c r="N1" s="58" t="str">
        <v>Régleur(se)</v>
      </c>
      <c r="O1" s="58" t="str">
        <v>Spécialiste procédés et installations de production alimentaire</v>
      </c>
      <c r="P1" s="58" t="str">
        <v>Conducteur(trice) de livraison et de collecte</v>
      </c>
      <c r="Q1" s="58" t="str">
        <v>Opérateur(trice) hygiène / sanitation</v>
      </c>
      <c r="R1" s="58" t="str">
        <v>Chef(fe) de silo</v>
      </c>
      <c r="S1" s="58" t="str">
        <v>Acheteur(se) / négociateur(trice) de matières premières</v>
      </c>
      <c r="T1" s="58" t="str">
        <v>Opérateur(trice) de production alimentaire</v>
      </c>
      <c r="U1" s="58" t="str">
        <v>Conducteur(trice) de machine(s) de production alimentaire (fabrication / conditionnement)</v>
      </c>
      <c r="V1" s="58" t="str">
        <v>Boulanger(ère)/pâtissier(ère) industriel(le)</v>
      </c>
      <c r="W1" s="58" t="str">
        <v>Conducteur(trice) de ligne(s)de production alimentaire (fabrication/conditionnement)</v>
      </c>
      <c r="X1" s="58" t="str">
        <v>Conducteur(trice) de process de production alimentaire</v>
      </c>
      <c r="Y1" s="58" t="str">
        <v>Responsable de plateforme/ d’exploitation logistique</v>
      </c>
      <c r="Z1" s="58" t="str">
        <v>Opérateur(trice) de transformation des viandes</v>
      </c>
      <c r="AA1" s="58" t="str">
        <v>Fromager(ère) industriel(le)</v>
      </c>
      <c r="AB1" s="58" t="str">
        <v>Opérateur(trice) de préparation de poissons et de produits de la mer</v>
      </c>
      <c r="AC1" s="58" t="str">
        <v>Mécanicien(ne) de maintenance industrielle</v>
      </c>
      <c r="AD1" s="58" t="str">
        <v>Mécanicien(ne)-sertisseur(euse)</v>
      </c>
      <c r="AE1" s="58" t="str">
        <v>Electromécanicien(ne) de maintenance industrielle</v>
      </c>
      <c r="AJ1" s="58" t="str" cm="1">
        <f t="array" ref="AJ1">IFERROR(INDEX(Tableau1[TRANSV_2],SMALL(IF(Tableau1[TRANSV_2]&lt;&gt;"",ROW(Tableau1[TRANSV_2])-MIN(ROW(Tableau1[TRANSV_2]))+1),COLUMN(AH1))),"")</f>
        <v/>
      </c>
      <c r="AK1" s="58" t="str" cm="1">
        <f t="array" ref="AK1">IFERROR(INDEX(Tableau1[TRANSV_8],SMALL(IF(Tableau1[TRANSV_8]&lt;&gt;"",ROW(Tableau1[TRANSV_8])-MIN(ROW(Tableau1[TRANSV_8]))+1),COLUMN(AI1))),"")</f>
        <v/>
      </c>
      <c r="AL1" s="58" t="str" cm="1">
        <f t="array" ref="AL1">IFERROR(INDEX(Tableau1[TRANSV_10],SMALL(IF(Tableau1[TRANSV_10]&lt;&gt;"",ROW(Tableau1[TRANSV_10])-MIN(ROW(Tableau1[TRANSV_10]))+1),COLUMN(AJ1))),"")</f>
        <v/>
      </c>
      <c r="AM1" s="58" t="str" cm="1">
        <f t="array" ref="AM1">IFERROR(INDEX(Tableau1[RESPONS_TRANS],SMALL(IF(Tableau1[RESPONS_TRANS]&lt;&gt;"",ROW(Tableau1[RESPONS_TRANS])-MIN(ROW(Tableau1[RESPONS_TRANS]))+1),COLUMN(AK1))),"")</f>
        <v/>
      </c>
      <c r="AN1" s="58" t="str" cm="1">
        <f t="array" ref="AN1">IFERROR(INDEX(Tableau1[INTERFACE],SMALL(IF(Tableau1[INTERFACE]&lt;&gt;"",ROW(Tableau1[INTERFACE])-MIN(ROW(Tableau1[INTERFACE]))+1),COLUMN(AL1))),"")</f>
        <v/>
      </c>
      <c r="AO1" s="58" t="str" cm="1">
        <f t="array" ref="AO1">IFERROR(INDEX(Tableau1[NIVEAU_FORMATION],SMALL(IF(Tableau1[NIVEAU_FORMATION]&lt;&gt;"",ROW(Tableau1[NIVEAU_FORMATION])-MIN(ROW(Tableau1[NIVEAU_FORMATION]))+1),COLUMN(AM1))),"")</f>
        <v/>
      </c>
      <c r="AP1" s="58" t="str" cm="1">
        <f t="array" ref="AP1">IFERROR(INDEX(Tableau1[DOSSIER_SOURCE],SMALL(IF(Tableau1[DOSSIER_SOURCE]&lt;&gt;"",ROW(Tableau1[DOSSIER_SOURCE])-MIN(ROW(Tableau1[DOSSIER_SOURCE]))+1),COLUMN(AN1))),"")</f>
        <v/>
      </c>
      <c r="AQ1" s="58" t="str" cm="1">
        <f t="array" ref="AQ1">IFERROR(INDEX(Tableau1[INT_METIER],SMALL(IF(Tableau1[INT_METIER]&lt;&gt;"",ROW(Tableau1[INT_METIER])-MIN(ROW(Tableau1[INT_METIER]))+1),COLUMN(AO1))),"")</f>
        <v/>
      </c>
      <c r="AR1" s="58" t="str" cm="1">
        <f t="array" ref="AR1">IFERROR(INDEX(Tableau1[TRANSV_2],SMALL(IF(Tableau1[TRANSV_2]&lt;&gt;"",ROW(Tableau1[TRANSV_2])-MIN(ROW(Tableau1[TRANSV_2]))+1),COLUMN(AP1))),"")</f>
        <v/>
      </c>
      <c r="AS1" s="58" t="str" cm="1">
        <f t="array" ref="AS1">IFERROR(INDEX(Tableau1[TRANSV_8],SMALL(IF(Tableau1[TRANSV_8]&lt;&gt;"",ROW(Tableau1[TRANSV_8])-MIN(ROW(Tableau1[TRANSV_8]))+1),COLUMN(AQ1))),"")</f>
        <v/>
      </c>
      <c r="AT1" s="58" t="str" cm="1">
        <f t="array" ref="AT1">IFERROR(INDEX(Tableau1[TRANSV_10],SMALL(IF(Tableau1[TRANSV_10]&lt;&gt;"",ROW(Tableau1[TRANSV_10])-MIN(ROW(Tableau1[TRANSV_10]))+1),COLUMN(AR1))),"")</f>
        <v/>
      </c>
      <c r="AU1" s="58" t="str" cm="1">
        <f t="array" ref="AU1">IFERROR(INDEX(Tableau1[RESPONS_TRANS],SMALL(IF(Tableau1[RESPONS_TRANS]&lt;&gt;"",ROW(Tableau1[RESPONS_TRANS])-MIN(ROW(Tableau1[RESPONS_TRANS]))+1),COLUMN(AS1))),"")</f>
        <v/>
      </c>
      <c r="AV1" s="58" t="str" cm="1">
        <f t="array" ref="AV1">IFERROR(INDEX(Tableau1[INTERFACE],SMALL(IF(Tableau1[INTERFACE]&lt;&gt;"",ROW(Tableau1[INTERFACE])-MIN(ROW(Tableau1[INTERFACE]))+1),COLUMN(AT1))),"")</f>
        <v/>
      </c>
    </row>
    <row r="2" spans="1:48">
      <c r="A2" s="55" t="str">
        <f>_xlfn.XLOOKUP(B2,Formacode!A:A,Formacode!B:B,0,1)</f>
        <v>Bonnes pratiques hygiène agroalimentaire</v>
      </c>
      <c r="B2" s="55" cm="1">
        <f t="array" ref="B2">IFERROR(INDEX('Niv formacode'!$B:$B,SMALL(IF('Niv formacode'!$B:$B&lt;&gt;"",ROW('Niv formacode'!$B:$B)),ROW(B1))),"")</f>
        <v>21547</v>
      </c>
      <c r="C2" s="45" cm="1">
        <f t="array" ref="C2">IF('Niv formacode'!C2="","",IFERROR(INDEX(Formacode!$C:$F,
   MATCH('Niv formacode'!$B2,Formacode!$A:$A,0),
  'Niv formacode'!C2),""))</f>
        <v>245</v>
      </c>
      <c r="D2" s="45" cm="1">
        <f t="array" ref="D2">IF('Niv formacode'!D2="","",IFERROR(INDEX(Formacode!$C:$F,
   MATCH('Niv formacode'!$B2,Formacode!$A:$A,0),
  'Niv formacode'!D2),""))</f>
        <v>245</v>
      </c>
      <c r="E2" s="45" t="str" cm="1">
        <f t="array" ref="E2">IF('Niv formacode'!E2="","",IFERROR(INDEX(Formacode!$C:$F,
   MATCH('Niv formacode'!$B2,Formacode!$A:$A,0),
  'Niv formacode'!E2),""))</f>
        <v/>
      </c>
      <c r="F2" s="45" t="str" cm="1">
        <f t="array" ref="F2">IF('Niv formacode'!F2="","",IFERROR(INDEX(Formacode!$C:$F,
   MATCH('Niv formacode'!$B2,Formacode!$A:$A,0),
  'Niv formacode'!F2),""))</f>
        <v/>
      </c>
      <c r="G2" s="45" t="str" cm="1">
        <f t="array" ref="G2">IF('Niv formacode'!G2="","",IFERROR(INDEX(Formacode!$C:$F,
   MATCH('Niv formacode'!$B2,Formacode!$A:$A,0),
  'Niv formacode'!G2),""))</f>
        <v/>
      </c>
      <c r="H2" s="45" t="str" cm="1">
        <f t="array" ref="H2">IF('Niv formacode'!H2="","",IFERROR(INDEX(Formacode!$C:$F,
   MATCH('Niv formacode'!$B2,Formacode!$A:$A,0),
  'Niv formacode'!H2),""))</f>
        <v/>
      </c>
      <c r="I2" s="45" t="str" cm="1">
        <f t="array" ref="I2">IF('Niv formacode'!I2="","",IFERROR(INDEX(Formacode!$C:$F,
   MATCH('Niv formacode'!$B2,Formacode!$A:$A,0),
  'Niv formacode'!I2),""))</f>
        <v/>
      </c>
      <c r="J2" s="45" cm="1">
        <f t="array" ref="J2">IF('Niv formacode'!J2="","",IFERROR(INDEX(Formacode!$C:$F,
   MATCH('Niv formacode'!$B2,Formacode!$A:$A,0),
  'Niv formacode'!J2),""))</f>
        <v>245</v>
      </c>
      <c r="K2" s="45" t="str" cm="1">
        <f t="array" ref="K2">IF('Niv formacode'!K2="","",IFERROR(INDEX(Formacode!$C:$F,
   MATCH('Niv formacode'!$B2,Formacode!$A:$A,0),
  'Niv formacode'!K2),""))</f>
        <v/>
      </c>
      <c r="L2" s="45" t="str" cm="1">
        <f t="array" ref="L2">IF('Niv formacode'!L2="","",IFERROR(INDEX(Formacode!$C:$F,
   MATCH('Niv formacode'!$B2,Formacode!$A:$A,0),
  'Niv formacode'!L2),""))</f>
        <v/>
      </c>
      <c r="M2" s="45" t="str" cm="1">
        <f t="array" ref="M2">IF('Niv formacode'!M2="","",IFERROR(INDEX(Formacode!$C:$F,
   MATCH('Niv formacode'!$B2,Formacode!$A:$A,0),
  'Niv formacode'!M2),""))</f>
        <v/>
      </c>
      <c r="N2" s="45" cm="1">
        <f t="array" ref="N2">IF('Niv formacode'!N2="","",IFERROR(INDEX(Formacode!$C:$F,
   MATCH('Niv formacode'!$B2,Formacode!$A:$A,0),
  'Niv formacode'!N2),""))</f>
        <v>245</v>
      </c>
      <c r="O2" s="45" cm="1">
        <f t="array" ref="O2">IF('Niv formacode'!O2="","",IFERROR(INDEX(Formacode!$C:$F,
   MATCH('Niv formacode'!$B2,Formacode!$A:$A,0),
  'Niv formacode'!O2),""))</f>
        <v>245</v>
      </c>
      <c r="P2" s="45" t="str" cm="1">
        <f t="array" ref="P2">IF('Niv formacode'!P2="","",IFERROR(INDEX(Formacode!$C:$F,
   MATCH('Niv formacode'!$B2,Formacode!$A:$A,0),
  'Niv formacode'!P2),""))</f>
        <v/>
      </c>
      <c r="Q2" s="45" cm="1">
        <f t="array" ref="Q2">IF('Niv formacode'!Q2="","",IFERROR(INDEX(Formacode!$C:$F,
   MATCH('Niv formacode'!$B2,Formacode!$A:$A,0),
  'Niv formacode'!Q2),""))</f>
        <v>245</v>
      </c>
      <c r="R2" s="45" cm="1">
        <f t="array" ref="R2">IF('Niv formacode'!R2="","",IFERROR(INDEX(Formacode!$C:$F,
   MATCH('Niv formacode'!$B2,Formacode!$A:$A,0),
  'Niv formacode'!R2),""))</f>
        <v>245</v>
      </c>
      <c r="S2" s="45" t="str" cm="1">
        <f t="array" ref="S2">IF('Niv formacode'!S2="","",IFERROR(INDEX(Formacode!$C:$F,
   MATCH('Niv formacode'!$B2,Formacode!$A:$A,0),
  'Niv formacode'!S2),""))</f>
        <v/>
      </c>
      <c r="T2" s="45" cm="1">
        <f t="array" ref="T2">IF('Niv formacode'!T2="","",IFERROR(INDEX(Formacode!$C:$F,
   MATCH('Niv formacode'!$B2,Formacode!$A:$A,0),
  'Niv formacode'!T2),""))</f>
        <v>245</v>
      </c>
      <c r="U2" s="45" cm="1">
        <f t="array" ref="U2">IF('Niv formacode'!U2="","",IFERROR(INDEX(Formacode!$C:$F,
   MATCH('Niv formacode'!$B2,Formacode!$A:$A,0),
  'Niv formacode'!U2),""))</f>
        <v>245</v>
      </c>
      <c r="V2" s="45" cm="1">
        <f t="array" ref="V2">IF('Niv formacode'!V2="","",IFERROR(INDEX(Formacode!$C:$F,
   MATCH('Niv formacode'!$B2,Formacode!$A:$A,0),
  'Niv formacode'!V2),""))</f>
        <v>245</v>
      </c>
      <c r="W2" s="45" cm="1">
        <f t="array" ref="W2">IF('Niv formacode'!W2="","",IFERROR(INDEX(Formacode!$C:$F,
   MATCH('Niv formacode'!$B2,Formacode!$A:$A,0),
  'Niv formacode'!W2),""))</f>
        <v>245</v>
      </c>
      <c r="X2" s="45" cm="1">
        <f t="array" ref="X2">IF('Niv formacode'!X2="","",IFERROR(INDEX(Formacode!$C:$F,
   MATCH('Niv formacode'!$B2,Formacode!$A:$A,0),
  'Niv formacode'!X2),""))</f>
        <v>245</v>
      </c>
      <c r="Y2" s="45" t="str" cm="1">
        <f t="array" ref="Y2">IF('Niv formacode'!Y2="","",IFERROR(INDEX(Formacode!$C:$F,
   MATCH('Niv formacode'!$B2,Formacode!$A:$A,0),
  'Niv formacode'!Y2),""))</f>
        <v/>
      </c>
      <c r="Z2" s="45" cm="1">
        <f t="array" ref="Z2">IF('Niv formacode'!Z2="","",IFERROR(INDEX(Formacode!$C:$F,
   MATCH('Niv formacode'!$B2,Formacode!$A:$A,0),
  'Niv formacode'!Z2),""))</f>
        <v>245</v>
      </c>
      <c r="AA2" s="45" cm="1">
        <f t="array" ref="AA2">IF('Niv formacode'!AA2="","",IFERROR(INDEX(Formacode!$C:$F,
   MATCH('Niv formacode'!$B2,Formacode!$A:$A,0),
  'Niv formacode'!AA2),""))</f>
        <v>245</v>
      </c>
      <c r="AB2" s="45" cm="1">
        <f t="array" ref="AB2">IF('Niv formacode'!AB2="","",IFERROR(INDEX(Formacode!$C:$F,
   MATCH('Niv formacode'!$B2,Formacode!$A:$A,0),
  'Niv formacode'!AB2),""))</f>
        <v>245</v>
      </c>
      <c r="AC2" s="45" cm="1">
        <f t="array" ref="AC2">IF('Niv formacode'!AC2="","",IFERROR(INDEX(Formacode!$C:$F,
   MATCH('Niv formacode'!$B2,Formacode!$A:$A,0),
  'Niv formacode'!AC2),""))</f>
        <v>245</v>
      </c>
      <c r="AD2" s="45" cm="1">
        <f t="array" ref="AD2">IF('Niv formacode'!AD2="","",IFERROR(INDEX(Formacode!$C:$F,
   MATCH('Niv formacode'!$B2,Formacode!$A:$A,0),
  'Niv formacode'!AD2),""))</f>
        <v>245</v>
      </c>
      <c r="AE2" s="45" cm="1">
        <f t="array" ref="AE2">IF('Niv formacode'!AE2="","",IFERROR(INDEX(Formacode!$C:$F,
   MATCH('Niv formacode'!$B2,Formacode!$A:$A,0),
  'Niv formacode'!AE2),""))</f>
        <v>245</v>
      </c>
    </row>
    <row r="3" spans="1:48">
      <c r="A3" s="55" t="str">
        <f>_xlfn.XLOOKUP(B3,Formacode!A:A,Formacode!B:B,0,1)</f>
        <v>Vinification œnologie</v>
      </c>
      <c r="B3" s="55" cm="1">
        <f t="array" ref="B3">IFERROR(INDEX('Niv formacode'!$B:$B,SMALL(IF('Niv formacode'!$B:$B&lt;&gt;"",ROW('Niv formacode'!$B:$B)),ROW(B2))),"")</f>
        <v>21510</v>
      </c>
      <c r="C3" s="45" cm="1">
        <f t="array" ref="C3">IF('Niv formacode'!C3="","",IFERROR(INDEX(Formacode!$C:$F,
   MATCH('Niv formacode'!$B3,Formacode!$A:$A,0),
  'Niv formacode'!C3),""))</f>
        <v>280</v>
      </c>
      <c r="D3" s="45" t="str" cm="1">
        <f t="array" ref="D3">IF('Niv formacode'!D3="","",IFERROR(INDEX(Formacode!$C:$F,
   MATCH('Niv formacode'!$B3,Formacode!$A:$A,0),
  'Niv formacode'!D3),""))</f>
        <v/>
      </c>
      <c r="E3" s="45" t="str" cm="1">
        <f t="array" ref="E3">IF('Niv formacode'!E3="","",IFERROR(INDEX(Formacode!$C:$F,
   MATCH('Niv formacode'!$B3,Formacode!$A:$A,0),
  'Niv formacode'!E3),""))</f>
        <v/>
      </c>
      <c r="F3" s="45" t="str" cm="1">
        <f t="array" ref="F3">IF('Niv formacode'!F3="","",IFERROR(INDEX(Formacode!$C:$F,
   MATCH('Niv formacode'!$B3,Formacode!$A:$A,0),
  'Niv formacode'!F3),""))</f>
        <v/>
      </c>
      <c r="G3" s="45" cm="1">
        <f t="array" ref="G3">IF('Niv formacode'!G3="","",IFERROR(INDEX(Formacode!$C:$F,
   MATCH('Niv formacode'!$B3,Formacode!$A:$A,0),
  'Niv formacode'!G3),""))</f>
        <v>519</v>
      </c>
      <c r="H3" s="45" t="str" cm="1">
        <f t="array" ref="H3">IF('Niv formacode'!H3="","",IFERROR(INDEX(Formacode!$C:$F,
   MATCH('Niv formacode'!$B3,Formacode!$A:$A,0),
  'Niv formacode'!H3),""))</f>
        <v/>
      </c>
      <c r="I3" s="45" t="str" cm="1">
        <f t="array" ref="I3">IF('Niv formacode'!I3="","",IFERROR(INDEX(Formacode!$C:$F,
   MATCH('Niv formacode'!$B3,Formacode!$A:$A,0),
  'Niv formacode'!I3),""))</f>
        <v/>
      </c>
      <c r="J3" s="45" t="str" cm="1">
        <f t="array" ref="J3">IF('Niv formacode'!J3="","",IFERROR(INDEX(Formacode!$C:$F,
   MATCH('Niv formacode'!$B3,Formacode!$A:$A,0),
  'Niv formacode'!J3),""))</f>
        <v/>
      </c>
      <c r="K3" s="45" t="str" cm="1">
        <f t="array" ref="K3">IF('Niv formacode'!K3="","",IFERROR(INDEX(Formacode!$C:$F,
   MATCH('Niv formacode'!$B3,Formacode!$A:$A,0),
  'Niv formacode'!K3),""))</f>
        <v/>
      </c>
      <c r="L3" s="45" t="str" cm="1">
        <f t="array" ref="L3">IF('Niv formacode'!L3="","",IFERROR(INDEX(Formacode!$C:$F,
   MATCH('Niv formacode'!$B3,Formacode!$A:$A,0),
  'Niv formacode'!L3),""))</f>
        <v/>
      </c>
      <c r="M3" s="45" t="str" cm="1">
        <f t="array" ref="M3">IF('Niv formacode'!M3="","",IFERROR(INDEX(Formacode!$C:$F,
   MATCH('Niv formacode'!$B3,Formacode!$A:$A,0),
  'Niv formacode'!M3),""))</f>
        <v/>
      </c>
      <c r="N3" s="45" t="str" cm="1">
        <f t="array" ref="N3">IF('Niv formacode'!N3="","",IFERROR(INDEX(Formacode!$C:$F,
   MATCH('Niv formacode'!$B3,Formacode!$A:$A,0),
  'Niv formacode'!N3),""))</f>
        <v/>
      </c>
      <c r="O3" s="45" t="str" cm="1">
        <f t="array" ref="O3">IF('Niv formacode'!O3="","",IFERROR(INDEX(Formacode!$C:$F,
   MATCH('Niv formacode'!$B3,Formacode!$A:$A,0),
  'Niv formacode'!O3),""))</f>
        <v/>
      </c>
      <c r="P3" s="45" t="str" cm="1">
        <f t="array" ref="P3">IF('Niv formacode'!P3="","",IFERROR(INDEX(Formacode!$C:$F,
   MATCH('Niv formacode'!$B3,Formacode!$A:$A,0),
  'Niv formacode'!P3),""))</f>
        <v/>
      </c>
      <c r="Q3" s="45" t="str" cm="1">
        <f t="array" ref="Q3">IF('Niv formacode'!Q3="","",IFERROR(INDEX(Formacode!$C:$F,
   MATCH('Niv formacode'!$B3,Formacode!$A:$A,0),
  'Niv formacode'!Q3),""))</f>
        <v/>
      </c>
      <c r="R3" s="45" t="str" cm="1">
        <f t="array" ref="R3">IF('Niv formacode'!R3="","",IFERROR(INDEX(Formacode!$C:$F,
   MATCH('Niv formacode'!$B3,Formacode!$A:$A,0),
  'Niv formacode'!R3),""))</f>
        <v/>
      </c>
      <c r="S3" s="45" t="str" cm="1">
        <f t="array" ref="S3">IF('Niv formacode'!S3="","",IFERROR(INDEX(Formacode!$C:$F,
   MATCH('Niv formacode'!$B3,Formacode!$A:$A,0),
  'Niv formacode'!S3),""))</f>
        <v/>
      </c>
      <c r="T3" s="45" t="str" cm="1">
        <f t="array" ref="T3">IF('Niv formacode'!T3="","",IFERROR(INDEX(Formacode!$C:$F,
   MATCH('Niv formacode'!$B3,Formacode!$A:$A,0),
  'Niv formacode'!T3),""))</f>
        <v/>
      </c>
      <c r="U3" s="45" t="str" cm="1">
        <f t="array" ref="U3">IF('Niv formacode'!U3="","",IFERROR(INDEX(Formacode!$C:$F,
   MATCH('Niv formacode'!$B3,Formacode!$A:$A,0),
  'Niv formacode'!U3),""))</f>
        <v/>
      </c>
      <c r="V3" s="45" t="str" cm="1">
        <f t="array" ref="V3">IF('Niv formacode'!V3="","",IFERROR(INDEX(Formacode!$C:$F,
   MATCH('Niv formacode'!$B3,Formacode!$A:$A,0),
  'Niv formacode'!V3),""))</f>
        <v/>
      </c>
      <c r="W3" s="45" t="str" cm="1">
        <f t="array" ref="W3">IF('Niv formacode'!W3="","",IFERROR(INDEX(Formacode!$C:$F,
   MATCH('Niv formacode'!$B3,Formacode!$A:$A,0),
  'Niv formacode'!W3),""))</f>
        <v/>
      </c>
      <c r="X3" s="45" t="str" cm="1">
        <f t="array" ref="X3">IF('Niv formacode'!X3="","",IFERROR(INDEX(Formacode!$C:$F,
   MATCH('Niv formacode'!$B3,Formacode!$A:$A,0),
  'Niv formacode'!X3),""))</f>
        <v/>
      </c>
      <c r="Y3" s="45" t="str" cm="1">
        <f t="array" ref="Y3">IF('Niv formacode'!Y3="","",IFERROR(INDEX(Formacode!$C:$F,
   MATCH('Niv formacode'!$B3,Formacode!$A:$A,0),
  'Niv formacode'!Y3),""))</f>
        <v/>
      </c>
      <c r="Z3" s="45" t="str" cm="1">
        <f t="array" ref="Z3">IF('Niv formacode'!Z3="","",IFERROR(INDEX(Formacode!$C:$F,
   MATCH('Niv formacode'!$B3,Formacode!$A:$A,0),
  'Niv formacode'!Z3),""))</f>
        <v/>
      </c>
      <c r="AA3" s="45" t="str" cm="1">
        <f t="array" ref="AA3">IF('Niv formacode'!AA3="","",IFERROR(INDEX(Formacode!$C:$F,
   MATCH('Niv formacode'!$B3,Formacode!$A:$A,0),
  'Niv formacode'!AA3),""))</f>
        <v/>
      </c>
      <c r="AB3" s="45" t="str" cm="1">
        <f t="array" ref="AB3">IF('Niv formacode'!AB3="","",IFERROR(INDEX(Formacode!$C:$F,
   MATCH('Niv formacode'!$B3,Formacode!$A:$A,0),
  'Niv formacode'!AB3),""))</f>
        <v/>
      </c>
      <c r="AC3" s="45" t="str" cm="1">
        <f t="array" ref="AC3">IF('Niv formacode'!AC3="","",IFERROR(INDEX(Formacode!$C:$F,
   MATCH('Niv formacode'!$B3,Formacode!$A:$A,0),
  'Niv formacode'!AC3),""))</f>
        <v/>
      </c>
      <c r="AD3" s="45" t="str" cm="1">
        <f t="array" ref="AD3">IF('Niv formacode'!AD3="","",IFERROR(INDEX(Formacode!$C:$F,
   MATCH('Niv formacode'!$B3,Formacode!$A:$A,0),
  'Niv formacode'!AD3),""))</f>
        <v/>
      </c>
      <c r="AE3" s="45" t="str" cm="1">
        <f t="array" ref="AE3">IF('Niv formacode'!AE3="","",IFERROR(INDEX(Formacode!$C:$F,
   MATCH('Niv formacode'!$B3,Formacode!$A:$A,0),
  'Niv formacode'!AE3),""))</f>
        <v/>
      </c>
    </row>
    <row r="4" spans="1:48">
      <c r="A4" s="55" t="str">
        <f>_xlfn.XLOOKUP(B4,Formacode!A:A,Formacode!B:B,0,1)</f>
        <v>Chimie</v>
      </c>
      <c r="B4" s="55" cm="1">
        <f t="array" ref="B4">IFERROR(INDEX('Niv formacode'!$B:$B,SMALL(IF('Niv formacode'!$B:$B&lt;&gt;"",ROW('Niv formacode'!$B:$B)),ROW(B3))),"")</f>
        <v>11554</v>
      </c>
      <c r="C4" s="45" cm="1">
        <f t="array" ref="C4">IF('Niv formacode'!C4="","",IFERROR(INDEX(Formacode!$C:$F,
   MATCH('Niv formacode'!$B4,Formacode!$A:$A,0),
  'Niv formacode'!C4),""))</f>
        <v>63</v>
      </c>
      <c r="D4" s="45" t="str" cm="1">
        <f t="array" ref="D4">IF('Niv formacode'!D4="","",IFERROR(INDEX(Formacode!$C:$F,
   MATCH('Niv formacode'!$B4,Formacode!$A:$A,0),
  'Niv formacode'!D4),""))</f>
        <v/>
      </c>
      <c r="E4" s="45" t="str" cm="1">
        <f t="array" ref="E4">IF('Niv formacode'!E4="","",IFERROR(INDEX(Formacode!$C:$F,
   MATCH('Niv formacode'!$B4,Formacode!$A:$A,0),
  'Niv formacode'!E4),""))</f>
        <v/>
      </c>
      <c r="F4" s="45" t="str" cm="1">
        <f t="array" ref="F4">IF('Niv formacode'!F4="","",IFERROR(INDEX(Formacode!$C:$F,
   MATCH('Niv formacode'!$B4,Formacode!$A:$A,0),
  'Niv formacode'!F4),""))</f>
        <v/>
      </c>
      <c r="G4" s="45" cm="1">
        <f t="array" ref="G4">IF('Niv formacode'!G4="","",IFERROR(INDEX(Formacode!$C:$F,
   MATCH('Niv formacode'!$B4,Formacode!$A:$A,0),
  'Niv formacode'!G4),""))</f>
        <v>243</v>
      </c>
      <c r="H4" s="45" t="str" cm="1">
        <f t="array" ref="H4">IF('Niv formacode'!H4="","",IFERROR(INDEX(Formacode!$C:$F,
   MATCH('Niv formacode'!$B4,Formacode!$A:$A,0),
  'Niv formacode'!H4),""))</f>
        <v/>
      </c>
      <c r="I4" s="45" t="str" cm="1">
        <f t="array" ref="I4">IF('Niv formacode'!I4="","",IFERROR(INDEX(Formacode!$C:$F,
   MATCH('Niv formacode'!$B4,Formacode!$A:$A,0),
  'Niv formacode'!I4),""))</f>
        <v/>
      </c>
      <c r="J4" s="45" t="str" cm="1">
        <f t="array" ref="J4">IF('Niv formacode'!J4="","",IFERROR(INDEX(Formacode!$C:$F,
   MATCH('Niv formacode'!$B4,Formacode!$A:$A,0),
  'Niv formacode'!J4),""))</f>
        <v/>
      </c>
      <c r="K4" s="45" t="str" cm="1">
        <f t="array" ref="K4">IF('Niv formacode'!K4="","",IFERROR(INDEX(Formacode!$C:$F,
   MATCH('Niv formacode'!$B4,Formacode!$A:$A,0),
  'Niv formacode'!K4),""))</f>
        <v/>
      </c>
      <c r="L4" s="45" t="str" cm="1">
        <f t="array" ref="L4">IF('Niv formacode'!L4="","",IFERROR(INDEX(Formacode!$C:$F,
   MATCH('Niv formacode'!$B4,Formacode!$A:$A,0),
  'Niv formacode'!L4),""))</f>
        <v/>
      </c>
      <c r="M4" s="45" t="str" cm="1">
        <f t="array" ref="M4">IF('Niv formacode'!M4="","",IFERROR(INDEX(Formacode!$C:$F,
   MATCH('Niv formacode'!$B4,Formacode!$A:$A,0),
  'Niv formacode'!M4),""))</f>
        <v/>
      </c>
      <c r="N4" s="45" t="str" cm="1">
        <f t="array" ref="N4">IF('Niv formacode'!N4="","",IFERROR(INDEX(Formacode!$C:$F,
   MATCH('Niv formacode'!$B4,Formacode!$A:$A,0),
  'Niv formacode'!N4),""))</f>
        <v/>
      </c>
      <c r="O4" s="45" t="str" cm="1">
        <f t="array" ref="O4">IF('Niv formacode'!O4="","",IFERROR(INDEX(Formacode!$C:$F,
   MATCH('Niv formacode'!$B4,Formacode!$A:$A,0),
  'Niv formacode'!O4),""))</f>
        <v/>
      </c>
      <c r="P4" s="45" t="str" cm="1">
        <f t="array" ref="P4">IF('Niv formacode'!P4="","",IFERROR(INDEX(Formacode!$C:$F,
   MATCH('Niv formacode'!$B4,Formacode!$A:$A,0),
  'Niv formacode'!P4),""))</f>
        <v/>
      </c>
      <c r="Q4" s="45" t="str" cm="1">
        <f t="array" ref="Q4">IF('Niv formacode'!Q4="","",IFERROR(INDEX(Formacode!$C:$F,
   MATCH('Niv formacode'!$B4,Formacode!$A:$A,0),
  'Niv formacode'!Q4),""))</f>
        <v/>
      </c>
      <c r="R4" s="45" t="str" cm="1">
        <f t="array" ref="R4">IF('Niv formacode'!R4="","",IFERROR(INDEX(Formacode!$C:$F,
   MATCH('Niv formacode'!$B4,Formacode!$A:$A,0),
  'Niv formacode'!R4),""))</f>
        <v/>
      </c>
      <c r="S4" s="45" t="str" cm="1">
        <f t="array" ref="S4">IF('Niv formacode'!S4="","",IFERROR(INDEX(Formacode!$C:$F,
   MATCH('Niv formacode'!$B4,Formacode!$A:$A,0),
  'Niv formacode'!S4),""))</f>
        <v/>
      </c>
      <c r="T4" s="45" t="str" cm="1">
        <f t="array" ref="T4">IF('Niv formacode'!T4="","",IFERROR(INDEX(Formacode!$C:$F,
   MATCH('Niv formacode'!$B4,Formacode!$A:$A,0),
  'Niv formacode'!T4),""))</f>
        <v/>
      </c>
      <c r="U4" s="45" t="str" cm="1">
        <f t="array" ref="U4">IF('Niv formacode'!U4="","",IFERROR(INDEX(Formacode!$C:$F,
   MATCH('Niv formacode'!$B4,Formacode!$A:$A,0),
  'Niv formacode'!U4),""))</f>
        <v/>
      </c>
      <c r="V4" s="45" t="str" cm="1">
        <f t="array" ref="V4">IF('Niv formacode'!V4="","",IFERROR(INDEX(Formacode!$C:$F,
   MATCH('Niv formacode'!$B4,Formacode!$A:$A,0),
  'Niv formacode'!V4),""))</f>
        <v/>
      </c>
      <c r="W4" s="45" t="str" cm="1">
        <f t="array" ref="W4">IF('Niv formacode'!W4="","",IFERROR(INDEX(Formacode!$C:$F,
   MATCH('Niv formacode'!$B4,Formacode!$A:$A,0),
  'Niv formacode'!W4),""))</f>
        <v/>
      </c>
      <c r="X4" s="45" t="str" cm="1">
        <f t="array" ref="X4">IF('Niv formacode'!X4="","",IFERROR(INDEX(Formacode!$C:$F,
   MATCH('Niv formacode'!$B4,Formacode!$A:$A,0),
  'Niv formacode'!X4),""))</f>
        <v/>
      </c>
      <c r="Y4" s="45" t="str" cm="1">
        <f t="array" ref="Y4">IF('Niv formacode'!Y4="","",IFERROR(INDEX(Formacode!$C:$F,
   MATCH('Niv formacode'!$B4,Formacode!$A:$A,0),
  'Niv formacode'!Y4),""))</f>
        <v/>
      </c>
      <c r="Z4" s="45" t="str" cm="1">
        <f t="array" ref="Z4">IF('Niv formacode'!Z4="","",IFERROR(INDEX(Formacode!$C:$F,
   MATCH('Niv formacode'!$B4,Formacode!$A:$A,0),
  'Niv formacode'!Z4),""))</f>
        <v/>
      </c>
      <c r="AA4" s="45" t="str" cm="1">
        <f t="array" ref="AA4">IF('Niv formacode'!AA4="","",IFERROR(INDEX(Formacode!$C:$F,
   MATCH('Niv formacode'!$B4,Formacode!$A:$A,0),
  'Niv formacode'!AA4),""))</f>
        <v/>
      </c>
      <c r="AB4" s="45" t="str" cm="1">
        <f t="array" ref="AB4">IF('Niv formacode'!AB4="","",IFERROR(INDEX(Formacode!$C:$F,
   MATCH('Niv formacode'!$B4,Formacode!$A:$A,0),
  'Niv formacode'!AB4),""))</f>
        <v/>
      </c>
      <c r="AC4" s="45" t="str" cm="1">
        <f t="array" ref="AC4">IF('Niv formacode'!AC4="","",IFERROR(INDEX(Formacode!$C:$F,
   MATCH('Niv formacode'!$B4,Formacode!$A:$A,0),
  'Niv formacode'!AC4),""))</f>
        <v/>
      </c>
      <c r="AD4" s="45" t="str" cm="1">
        <f t="array" ref="AD4">IF('Niv formacode'!AD4="","",IFERROR(INDEX(Formacode!$C:$F,
   MATCH('Niv formacode'!$B4,Formacode!$A:$A,0),
  'Niv formacode'!AD4),""))</f>
        <v/>
      </c>
      <c r="AE4" s="45" t="str" cm="1">
        <f t="array" ref="AE4">IF('Niv formacode'!AE4="","",IFERROR(INDEX(Formacode!$C:$F,
   MATCH('Niv formacode'!$B4,Formacode!$A:$A,0),
  'Niv formacode'!AE4),""))</f>
        <v/>
      </c>
    </row>
    <row r="5" spans="1:48">
      <c r="A5" s="55" t="str">
        <f>_xlfn.XLOOKUP(B5,Formacode!A:A,Formacode!B:B,0,1)</f>
        <v>Physique</v>
      </c>
      <c r="B5" s="55" cm="1">
        <f t="array" ref="B5">IFERROR(INDEX('Niv formacode'!$B:$B,SMALL(IF('Niv formacode'!$B:$B&lt;&gt;"",ROW('Niv formacode'!$B:$B)),ROW(B4))),"")</f>
        <v>11454</v>
      </c>
      <c r="C5" s="45" cm="1">
        <f t="array" ref="C5">IF('Niv formacode'!C5="","",IFERROR(INDEX(Formacode!$C:$F,
   MATCH('Niv formacode'!$B5,Formacode!$A:$A,0),
  'Niv formacode'!C5),""))</f>
        <v>63</v>
      </c>
      <c r="D5" s="45" t="str" cm="1">
        <f t="array" ref="D5">IF('Niv formacode'!D5="","",IFERROR(INDEX(Formacode!$C:$F,
   MATCH('Niv formacode'!$B5,Formacode!$A:$A,0),
  'Niv formacode'!D5),""))</f>
        <v/>
      </c>
      <c r="E5" s="45" t="str" cm="1">
        <f t="array" ref="E5">IF('Niv formacode'!E5="","",IFERROR(INDEX(Formacode!$C:$F,
   MATCH('Niv formacode'!$B5,Formacode!$A:$A,0),
  'Niv formacode'!E5),""))</f>
        <v/>
      </c>
      <c r="F5" s="45" t="str" cm="1">
        <f t="array" ref="F5">IF('Niv formacode'!F5="","",IFERROR(INDEX(Formacode!$C:$F,
   MATCH('Niv formacode'!$B5,Formacode!$A:$A,0),
  'Niv formacode'!F5),""))</f>
        <v/>
      </c>
      <c r="G5" s="45" cm="1">
        <f t="array" ref="G5">IF('Niv formacode'!G5="","",IFERROR(INDEX(Formacode!$C:$F,
   MATCH('Niv formacode'!$B5,Formacode!$A:$A,0),
  'Niv formacode'!G5),""))</f>
        <v>243</v>
      </c>
      <c r="H5" s="45" cm="1">
        <f t="array" ref="H5">IF('Niv formacode'!H5="","",IFERROR(INDEX(Formacode!$C:$F,
   MATCH('Niv formacode'!$B5,Formacode!$A:$A,0),
  'Niv formacode'!H5),""))</f>
        <v>63</v>
      </c>
      <c r="I5" s="45" t="str" cm="1">
        <f t="array" ref="I5">IF('Niv formacode'!I5="","",IFERROR(INDEX(Formacode!$C:$F,
   MATCH('Niv formacode'!$B5,Formacode!$A:$A,0),
  'Niv formacode'!I5),""))</f>
        <v/>
      </c>
      <c r="J5" s="45" t="str" cm="1">
        <f t="array" ref="J5">IF('Niv formacode'!J5="","",IFERROR(INDEX(Formacode!$C:$F,
   MATCH('Niv formacode'!$B5,Formacode!$A:$A,0),
  'Niv formacode'!J5),""))</f>
        <v/>
      </c>
      <c r="K5" s="45" t="str" cm="1">
        <f t="array" ref="K5">IF('Niv formacode'!K5="","",IFERROR(INDEX(Formacode!$C:$F,
   MATCH('Niv formacode'!$B5,Formacode!$A:$A,0),
  'Niv formacode'!K5),""))</f>
        <v/>
      </c>
      <c r="L5" s="45" cm="1">
        <f t="array" ref="L5">IF('Niv formacode'!L5="","",IFERROR(INDEX(Formacode!$C:$F,
   MATCH('Niv formacode'!$B5,Formacode!$A:$A,0),
  'Niv formacode'!L5),""))</f>
        <v>243</v>
      </c>
      <c r="M5" s="45" t="str" cm="1">
        <f t="array" ref="M5">IF('Niv formacode'!M5="","",IFERROR(INDEX(Formacode!$C:$F,
   MATCH('Niv formacode'!$B5,Formacode!$A:$A,0),
  'Niv formacode'!M5),""))</f>
        <v/>
      </c>
      <c r="N5" s="45" t="str" cm="1">
        <f t="array" ref="N5">IF('Niv formacode'!N5="","",IFERROR(INDEX(Formacode!$C:$F,
   MATCH('Niv formacode'!$B5,Formacode!$A:$A,0),
  'Niv formacode'!N5),""))</f>
        <v/>
      </c>
      <c r="O5" s="45" cm="1">
        <f t="array" ref="O5">IF('Niv formacode'!O5="","",IFERROR(INDEX(Formacode!$C:$F,
   MATCH('Niv formacode'!$B5,Formacode!$A:$A,0),
  'Niv formacode'!O5),""))</f>
        <v>243</v>
      </c>
      <c r="P5" s="45" t="str" cm="1">
        <f t="array" ref="P5">IF('Niv formacode'!P5="","",IFERROR(INDEX(Formacode!$C:$F,
   MATCH('Niv formacode'!$B5,Formacode!$A:$A,0),
  'Niv formacode'!P5),""))</f>
        <v/>
      </c>
      <c r="Q5" s="45" t="str" cm="1">
        <f t="array" ref="Q5">IF('Niv formacode'!Q5="","",IFERROR(INDEX(Formacode!$C:$F,
   MATCH('Niv formacode'!$B5,Formacode!$A:$A,0),
  'Niv formacode'!Q5),""))</f>
        <v/>
      </c>
      <c r="R5" s="45" t="str" cm="1">
        <f t="array" ref="R5">IF('Niv formacode'!R5="","",IFERROR(INDEX(Formacode!$C:$F,
   MATCH('Niv formacode'!$B5,Formacode!$A:$A,0),
  'Niv formacode'!R5),""))</f>
        <v/>
      </c>
      <c r="S5" s="45" t="str" cm="1">
        <f t="array" ref="S5">IF('Niv formacode'!S5="","",IFERROR(INDEX(Formacode!$C:$F,
   MATCH('Niv formacode'!$B5,Formacode!$A:$A,0),
  'Niv formacode'!S5),""))</f>
        <v/>
      </c>
      <c r="T5" s="45" t="str" cm="1">
        <f t="array" ref="T5">IF('Niv formacode'!T5="","",IFERROR(INDEX(Formacode!$C:$F,
   MATCH('Niv formacode'!$B5,Formacode!$A:$A,0),
  'Niv formacode'!T5),""))</f>
        <v/>
      </c>
      <c r="U5" s="45" t="str" cm="1">
        <f t="array" ref="U5">IF('Niv formacode'!U5="","",IFERROR(INDEX(Formacode!$C:$F,
   MATCH('Niv formacode'!$B5,Formacode!$A:$A,0),
  'Niv formacode'!U5),""))</f>
        <v/>
      </c>
      <c r="V5" s="45" t="str" cm="1">
        <f t="array" ref="V5">IF('Niv formacode'!V5="","",IFERROR(INDEX(Formacode!$C:$F,
   MATCH('Niv formacode'!$B5,Formacode!$A:$A,0),
  'Niv formacode'!V5),""))</f>
        <v/>
      </c>
      <c r="W5" s="45" t="str" cm="1">
        <f t="array" ref="W5">IF('Niv formacode'!W5="","",IFERROR(INDEX(Formacode!$C:$F,
   MATCH('Niv formacode'!$B5,Formacode!$A:$A,0),
  'Niv formacode'!W5),""))</f>
        <v/>
      </c>
      <c r="X5" s="45" t="str" cm="1">
        <f t="array" ref="X5">IF('Niv formacode'!X5="","",IFERROR(INDEX(Formacode!$C:$F,
   MATCH('Niv formacode'!$B5,Formacode!$A:$A,0),
  'Niv formacode'!X5),""))</f>
        <v/>
      </c>
      <c r="Y5" s="45" t="str" cm="1">
        <f t="array" ref="Y5">IF('Niv formacode'!Y5="","",IFERROR(INDEX(Formacode!$C:$F,
   MATCH('Niv formacode'!$B5,Formacode!$A:$A,0),
  'Niv formacode'!Y5),""))</f>
        <v/>
      </c>
      <c r="Z5" s="45" t="str" cm="1">
        <f t="array" ref="Z5">IF('Niv formacode'!Z5="","",IFERROR(INDEX(Formacode!$C:$F,
   MATCH('Niv formacode'!$B5,Formacode!$A:$A,0),
  'Niv formacode'!Z5),""))</f>
        <v/>
      </c>
      <c r="AA5" s="45" t="str" cm="1">
        <f t="array" ref="AA5">IF('Niv formacode'!AA5="","",IFERROR(INDEX(Formacode!$C:$F,
   MATCH('Niv formacode'!$B5,Formacode!$A:$A,0),
  'Niv formacode'!AA5),""))</f>
        <v/>
      </c>
      <c r="AB5" s="45" t="str" cm="1">
        <f t="array" ref="AB5">IF('Niv formacode'!AB5="","",IFERROR(INDEX(Formacode!$C:$F,
   MATCH('Niv formacode'!$B5,Formacode!$A:$A,0),
  'Niv formacode'!AB5),""))</f>
        <v/>
      </c>
      <c r="AC5" s="45" t="str" cm="1">
        <f t="array" ref="AC5">IF('Niv formacode'!AC5="","",IFERROR(INDEX(Formacode!$C:$F,
   MATCH('Niv formacode'!$B5,Formacode!$A:$A,0),
  'Niv formacode'!AC5),""))</f>
        <v/>
      </c>
      <c r="AD5" s="45" t="str" cm="1">
        <f t="array" ref="AD5">IF('Niv formacode'!AD5="","",IFERROR(INDEX(Formacode!$C:$F,
   MATCH('Niv formacode'!$B5,Formacode!$A:$A,0),
  'Niv formacode'!AD5),""))</f>
        <v/>
      </c>
      <c r="AE5" s="45" t="str" cm="1">
        <f t="array" ref="AE5">IF('Niv formacode'!AE5="","",IFERROR(INDEX(Formacode!$C:$F,
   MATCH('Niv formacode'!$B5,Formacode!$A:$A,0),
  'Niv formacode'!AE5),""))</f>
        <v/>
      </c>
    </row>
    <row r="6" spans="1:48">
      <c r="A6" s="55" t="str">
        <f>_xlfn.XLOOKUP(B6,Formacode!A:A,Formacode!B:B,0,1)</f>
        <v>Conduite installation industrielle</v>
      </c>
      <c r="B6" s="55" cm="1">
        <f t="array" ref="B6">IFERROR(INDEX('Niv formacode'!$B:$B,SMALL(IF('Niv formacode'!$B:$B&lt;&gt;"",ROW('Niv formacode'!$B:$B)),ROW(B5))),"")</f>
        <v>31620</v>
      </c>
      <c r="C6" s="45" cm="1">
        <f t="array" ref="C6">IF('Niv formacode'!C6="","",IFERROR(INDEX(Formacode!$C:$F,
   MATCH('Niv formacode'!$B6,Formacode!$A:$A,0),
  'Niv formacode'!C6),""))</f>
        <v>294</v>
      </c>
      <c r="D6" s="45" cm="1">
        <f t="array" ref="D6">IF('Niv formacode'!D6="","",IFERROR(INDEX(Formacode!$C:$F,
   MATCH('Niv formacode'!$B6,Formacode!$A:$A,0),
  'Niv formacode'!D6),""))</f>
        <v>294</v>
      </c>
      <c r="E6" s="45" t="str" cm="1">
        <f t="array" ref="E6">IF('Niv formacode'!E6="","",IFERROR(INDEX(Formacode!$C:$F,
   MATCH('Niv formacode'!$B6,Formacode!$A:$A,0),
  'Niv formacode'!E6),""))</f>
        <v/>
      </c>
      <c r="F6" s="45" t="str" cm="1">
        <f t="array" ref="F6">IF('Niv formacode'!F6="","",IFERROR(INDEX(Formacode!$C:$F,
   MATCH('Niv formacode'!$B6,Formacode!$A:$A,0),
  'Niv formacode'!F6),""))</f>
        <v/>
      </c>
      <c r="G6" s="45" cm="1">
        <f t="array" ref="G6">IF('Niv formacode'!G6="","",IFERROR(INDEX(Formacode!$C:$F,
   MATCH('Niv formacode'!$B6,Formacode!$A:$A,0),
  'Niv formacode'!G6),""))</f>
        <v>294</v>
      </c>
      <c r="H6" s="45" cm="1">
        <f t="array" ref="H6">IF('Niv formacode'!H6="","",IFERROR(INDEX(Formacode!$C:$F,
   MATCH('Niv formacode'!$B6,Formacode!$A:$A,0),
  'Niv formacode'!H6),""))</f>
        <v>294</v>
      </c>
      <c r="I6" s="45" t="str" cm="1">
        <f t="array" ref="I6">IF('Niv formacode'!I6="","",IFERROR(INDEX(Formacode!$C:$F,
   MATCH('Niv formacode'!$B6,Formacode!$A:$A,0),
  'Niv formacode'!I6),""))</f>
        <v/>
      </c>
      <c r="J6" s="45" t="str" cm="1">
        <f t="array" ref="J6">IF('Niv formacode'!J6="","",IFERROR(INDEX(Formacode!$C:$F,
   MATCH('Niv formacode'!$B6,Formacode!$A:$A,0),
  'Niv formacode'!J6),""))</f>
        <v/>
      </c>
      <c r="K6" s="45" t="str" cm="1">
        <f t="array" ref="K6">IF('Niv formacode'!K6="","",IFERROR(INDEX(Formacode!$C:$F,
   MATCH('Niv formacode'!$B6,Formacode!$A:$A,0),
  'Niv formacode'!K6),""))</f>
        <v/>
      </c>
      <c r="L6" s="45" t="str" cm="1">
        <f t="array" ref="L6">IF('Niv formacode'!L6="","",IFERROR(INDEX(Formacode!$C:$F,
   MATCH('Niv formacode'!$B6,Formacode!$A:$A,0),
  'Niv formacode'!L6),""))</f>
        <v/>
      </c>
      <c r="M6" s="45" t="str" cm="1">
        <f t="array" ref="M6">IF('Niv formacode'!M6="","",IFERROR(INDEX(Formacode!$C:$F,
   MATCH('Niv formacode'!$B6,Formacode!$A:$A,0),
  'Niv formacode'!M6),""))</f>
        <v/>
      </c>
      <c r="N6" s="45" t="str" cm="1">
        <f t="array" ref="N6">IF('Niv formacode'!N6="","",IFERROR(INDEX(Formacode!$C:$F,
   MATCH('Niv formacode'!$B6,Formacode!$A:$A,0),
  'Niv formacode'!N6),""))</f>
        <v/>
      </c>
      <c r="O6" s="45" cm="1">
        <f t="array" ref="O6">IF('Niv formacode'!O6="","",IFERROR(INDEX(Formacode!$C:$F,
   MATCH('Niv formacode'!$B6,Formacode!$A:$A,0),
  'Niv formacode'!O6),""))</f>
        <v>454</v>
      </c>
      <c r="P6" s="45" t="str" cm="1">
        <f t="array" ref="P6">IF('Niv formacode'!P6="","",IFERROR(INDEX(Formacode!$C:$F,
   MATCH('Niv formacode'!$B6,Formacode!$A:$A,0),
  'Niv formacode'!P6),""))</f>
        <v/>
      </c>
      <c r="Q6" s="45" t="str" cm="1">
        <f t="array" ref="Q6">IF('Niv formacode'!Q6="","",IFERROR(INDEX(Formacode!$C:$F,
   MATCH('Niv formacode'!$B6,Formacode!$A:$A,0),
  'Niv formacode'!Q6),""))</f>
        <v/>
      </c>
      <c r="R6" s="45" cm="1">
        <f t="array" ref="R6">IF('Niv formacode'!R6="","",IFERROR(INDEX(Formacode!$C:$F,
   MATCH('Niv formacode'!$B6,Formacode!$A:$A,0),
  'Niv formacode'!R6),""))</f>
        <v>294</v>
      </c>
      <c r="S6" s="45" t="str" cm="1">
        <f t="array" ref="S6">IF('Niv formacode'!S6="","",IFERROR(INDEX(Formacode!$C:$F,
   MATCH('Niv formacode'!$B6,Formacode!$A:$A,0),
  'Niv formacode'!S6),""))</f>
        <v/>
      </c>
      <c r="T6" s="45" cm="1">
        <f t="array" ref="T6">IF('Niv formacode'!T6="","",IFERROR(INDEX(Formacode!$C:$F,
   MATCH('Niv formacode'!$B6,Formacode!$A:$A,0),
  'Niv formacode'!T6),""))</f>
        <v>70</v>
      </c>
      <c r="U6" s="45" cm="1">
        <f t="array" ref="U6">IF('Niv formacode'!U6="","",IFERROR(INDEX(Formacode!$C:$F,
   MATCH('Niv formacode'!$B6,Formacode!$A:$A,0),
  'Niv formacode'!U6),""))</f>
        <v>294</v>
      </c>
      <c r="V6" s="45" cm="1">
        <f t="array" ref="V6">IF('Niv formacode'!V6="","",IFERROR(INDEX(Formacode!$C:$F,
   MATCH('Niv formacode'!$B6,Formacode!$A:$A,0),
  'Niv formacode'!V6),""))</f>
        <v>70</v>
      </c>
      <c r="W6" s="45" cm="1">
        <f t="array" ref="W6">IF('Niv formacode'!W6="","",IFERROR(INDEX(Formacode!$C:$F,
   MATCH('Niv formacode'!$B6,Formacode!$A:$A,0),
  'Niv formacode'!W6),""))</f>
        <v>294</v>
      </c>
      <c r="X6" s="45" cm="1">
        <f t="array" ref="X6">IF('Niv formacode'!X6="","",IFERROR(INDEX(Formacode!$C:$F,
   MATCH('Niv formacode'!$B6,Formacode!$A:$A,0),
  'Niv formacode'!X6),""))</f>
        <v>294</v>
      </c>
      <c r="Y6" s="45" t="str" cm="1">
        <f t="array" ref="Y6">IF('Niv formacode'!Y6="","",IFERROR(INDEX(Formacode!$C:$F,
   MATCH('Niv formacode'!$B6,Formacode!$A:$A,0),
  'Niv formacode'!Y6),""))</f>
        <v/>
      </c>
      <c r="Z6" s="45" t="str" cm="1">
        <f t="array" ref="Z6">IF('Niv formacode'!Z6="","",IFERROR(INDEX(Formacode!$C:$F,
   MATCH('Niv formacode'!$B6,Formacode!$A:$A,0),
  'Niv formacode'!Z6),""))</f>
        <v/>
      </c>
      <c r="AA6" s="45" t="str" cm="1">
        <f t="array" ref="AA6">IF('Niv formacode'!AA6="","",IFERROR(INDEX(Formacode!$C:$F,
   MATCH('Niv formacode'!$B6,Formacode!$A:$A,0),
  'Niv formacode'!AA6),""))</f>
        <v/>
      </c>
      <c r="AB6" s="45" t="str" cm="1">
        <f t="array" ref="AB6">IF('Niv formacode'!AB6="","",IFERROR(INDEX(Formacode!$C:$F,
   MATCH('Niv formacode'!$B6,Formacode!$A:$A,0),
  'Niv formacode'!AB6),""))</f>
        <v/>
      </c>
      <c r="AC6" s="45" t="str" cm="1">
        <f t="array" ref="AC6">IF('Niv formacode'!AC6="","",IFERROR(INDEX(Formacode!$C:$F,
   MATCH('Niv formacode'!$B6,Formacode!$A:$A,0),
  'Niv formacode'!AC6),""))</f>
        <v/>
      </c>
      <c r="AD6" s="45" t="str" cm="1">
        <f t="array" ref="AD6">IF('Niv formacode'!AD6="","",IFERROR(INDEX(Formacode!$C:$F,
   MATCH('Niv formacode'!$B6,Formacode!$A:$A,0),
  'Niv formacode'!AD6),""))</f>
        <v/>
      </c>
      <c r="AE6" s="45" t="str" cm="1">
        <f t="array" ref="AE6">IF('Niv formacode'!AE6="","",IFERROR(INDEX(Formacode!$C:$F,
   MATCH('Niv formacode'!$B6,Formacode!$A:$A,0),
  'Niv formacode'!AE6),""))</f>
        <v/>
      </c>
    </row>
    <row r="7" spans="1:48">
      <c r="A7" s="55" t="str">
        <f>_xlfn.XLOOKUP(B7,Formacode!A:A,Formacode!B:B,0,1)</f>
        <v>Contrôle qualité</v>
      </c>
      <c r="B7" s="55" cm="1">
        <f t="array" ref="B7">IFERROR(INDEX('Niv formacode'!$B:$B,SMALL(IF('Niv formacode'!$B:$B&lt;&gt;"",ROW('Niv formacode'!$B:$B)),ROW(B6))),"")</f>
        <v>31436</v>
      </c>
      <c r="C7" s="45" cm="1">
        <f t="array" ref="C7">IF('Niv formacode'!C7="","",IFERROR(INDEX(Formacode!$C:$F,
   MATCH('Niv formacode'!$B7,Formacode!$A:$A,0),
  'Niv formacode'!C7),""))</f>
        <v>245</v>
      </c>
      <c r="D7" s="45" cm="1">
        <f t="array" ref="D7">IF('Niv formacode'!D7="","",IFERROR(INDEX(Formacode!$C:$F,
   MATCH('Niv formacode'!$B7,Formacode!$A:$A,0),
  'Niv formacode'!D7),""))</f>
        <v>245</v>
      </c>
      <c r="E7" s="45" cm="1">
        <f t="array" ref="E7">IF('Niv formacode'!E7="","",IFERROR(INDEX(Formacode!$C:$F,
   MATCH('Niv formacode'!$B7,Formacode!$A:$A,0),
  'Niv formacode'!E7),""))</f>
        <v>70</v>
      </c>
      <c r="F7" s="45" cm="1">
        <f t="array" ref="F7">IF('Niv formacode'!F7="","",IFERROR(INDEX(Formacode!$C:$F,
   MATCH('Niv formacode'!$B7,Formacode!$A:$A,0),
  'Niv formacode'!F7),""))</f>
        <v>245</v>
      </c>
      <c r="G7" s="45" cm="1">
        <f t="array" ref="G7">IF('Niv formacode'!G7="","",IFERROR(INDEX(Formacode!$C:$F,
   MATCH('Niv formacode'!$B7,Formacode!$A:$A,0),
  'Niv formacode'!G7),""))</f>
        <v>245</v>
      </c>
      <c r="H7" s="45" cm="1">
        <f t="array" ref="H7">IF('Niv formacode'!H7="","",IFERROR(INDEX(Formacode!$C:$F,
   MATCH('Niv formacode'!$B7,Formacode!$A:$A,0),
  'Niv formacode'!H7),""))</f>
        <v>245</v>
      </c>
      <c r="I7" s="45" t="str" cm="1">
        <f t="array" ref="I7">IF('Niv formacode'!I7="","",IFERROR(INDEX(Formacode!$C:$F,
   MATCH('Niv formacode'!$B7,Formacode!$A:$A,0),
  'Niv formacode'!I7),""))</f>
        <v/>
      </c>
      <c r="J7" s="45" cm="1">
        <f t="array" ref="J7">IF('Niv formacode'!J7="","",IFERROR(INDEX(Formacode!$C:$F,
   MATCH('Niv formacode'!$B7,Formacode!$A:$A,0),
  'Niv formacode'!J7),""))</f>
        <v>245</v>
      </c>
      <c r="K7" s="45" t="str" cm="1">
        <f t="array" ref="K7">IF('Niv formacode'!K7="","",IFERROR(INDEX(Formacode!$C:$F,
   MATCH('Niv formacode'!$B7,Formacode!$A:$A,0),
  'Niv formacode'!K7),""))</f>
        <v/>
      </c>
      <c r="L7" s="45" cm="1">
        <f t="array" ref="L7">IF('Niv formacode'!L7="","",IFERROR(INDEX(Formacode!$C:$F,
   MATCH('Niv formacode'!$B7,Formacode!$A:$A,0),
  'Niv formacode'!L7),""))</f>
        <v>521</v>
      </c>
      <c r="M7" s="45" cm="1">
        <f t="array" ref="M7">IF('Niv formacode'!M7="","",IFERROR(INDEX(Formacode!$C:$F,
   MATCH('Niv formacode'!$B7,Formacode!$A:$A,0),
  'Niv formacode'!M7),""))</f>
        <v>70</v>
      </c>
      <c r="N7" s="45" cm="1">
        <f t="array" ref="N7">IF('Niv formacode'!N7="","",IFERROR(INDEX(Formacode!$C:$F,
   MATCH('Niv formacode'!$B7,Formacode!$A:$A,0),
  'Niv formacode'!N7),""))</f>
        <v>245</v>
      </c>
      <c r="O7" s="45" cm="1">
        <f t="array" ref="O7">IF('Niv formacode'!O7="","",IFERROR(INDEX(Formacode!$C:$F,
   MATCH('Niv formacode'!$B7,Formacode!$A:$A,0),
  'Niv formacode'!O7),""))</f>
        <v>245</v>
      </c>
      <c r="P7" s="45" cm="1">
        <f t="array" ref="P7">IF('Niv formacode'!P7="","",IFERROR(INDEX(Formacode!$C:$F,
   MATCH('Niv formacode'!$B7,Formacode!$A:$A,0),
  'Niv formacode'!P7),""))</f>
        <v>70</v>
      </c>
      <c r="Q7" s="45" t="str" cm="1">
        <f t="array" ref="Q7">IF('Niv formacode'!Q7="","",IFERROR(INDEX(Formacode!$C:$F,
   MATCH('Niv formacode'!$B7,Formacode!$A:$A,0),
  'Niv formacode'!Q7),""))</f>
        <v/>
      </c>
      <c r="R7" s="45" cm="1">
        <f t="array" ref="R7">IF('Niv formacode'!R7="","",IFERROR(INDEX(Formacode!$C:$F,
   MATCH('Niv formacode'!$B7,Formacode!$A:$A,0),
  'Niv formacode'!R7),""))</f>
        <v>245</v>
      </c>
      <c r="S7" s="45" t="str" cm="1">
        <f t="array" ref="S7">IF('Niv formacode'!S7="","",IFERROR(INDEX(Formacode!$C:$F,
   MATCH('Niv formacode'!$B7,Formacode!$A:$A,0),
  'Niv formacode'!S7),""))</f>
        <v/>
      </c>
      <c r="T7" s="45" cm="1">
        <f t="array" ref="T7">IF('Niv formacode'!T7="","",IFERROR(INDEX(Formacode!$C:$F,
   MATCH('Niv formacode'!$B7,Formacode!$A:$A,0),
  'Niv formacode'!T7),""))</f>
        <v>245</v>
      </c>
      <c r="U7" s="45" cm="1">
        <f t="array" ref="U7">IF('Niv formacode'!U7="","",IFERROR(INDEX(Formacode!$C:$F,
   MATCH('Niv formacode'!$B7,Formacode!$A:$A,0),
  'Niv formacode'!U7),""))</f>
        <v>245</v>
      </c>
      <c r="V7" s="45" cm="1">
        <f t="array" ref="V7">IF('Niv formacode'!V7="","",IFERROR(INDEX(Formacode!$C:$F,
   MATCH('Niv formacode'!$B7,Formacode!$A:$A,0),
  'Niv formacode'!V7),""))</f>
        <v>245</v>
      </c>
      <c r="W7" s="45" cm="1">
        <f t="array" ref="W7">IF('Niv formacode'!W7="","",IFERROR(INDEX(Formacode!$C:$F,
   MATCH('Niv formacode'!$B7,Formacode!$A:$A,0),
  'Niv formacode'!W7),""))</f>
        <v>245</v>
      </c>
      <c r="X7" s="45" cm="1">
        <f t="array" ref="X7">IF('Niv formacode'!X7="","",IFERROR(INDEX(Formacode!$C:$F,
   MATCH('Niv formacode'!$B7,Formacode!$A:$A,0),
  'Niv formacode'!X7),""))</f>
        <v>245</v>
      </c>
      <c r="Y7" s="45" cm="1">
        <f t="array" ref="Y7">IF('Niv formacode'!Y7="","",IFERROR(INDEX(Formacode!$C:$F,
   MATCH('Niv formacode'!$B7,Formacode!$A:$A,0),
  'Niv formacode'!Y7),""))</f>
        <v>521</v>
      </c>
      <c r="Z7" s="45" cm="1">
        <f t="array" ref="Z7">IF('Niv formacode'!Z7="","",IFERROR(INDEX(Formacode!$C:$F,
   MATCH('Niv formacode'!$B7,Formacode!$A:$A,0),
  'Niv formacode'!Z7),""))</f>
        <v>245</v>
      </c>
      <c r="AA7" s="45" cm="1">
        <f t="array" ref="AA7">IF('Niv formacode'!AA7="","",IFERROR(INDEX(Formacode!$C:$F,
   MATCH('Niv formacode'!$B7,Formacode!$A:$A,0),
  'Niv formacode'!AA7),""))</f>
        <v>245</v>
      </c>
      <c r="AB7" s="45" cm="1">
        <f t="array" ref="AB7">IF('Niv formacode'!AB7="","",IFERROR(INDEX(Formacode!$C:$F,
   MATCH('Niv formacode'!$B7,Formacode!$A:$A,0),
  'Niv formacode'!AB7),""))</f>
        <v>245</v>
      </c>
      <c r="AC7" s="45" t="str" cm="1">
        <f t="array" ref="AC7">IF('Niv formacode'!AC7="","",IFERROR(INDEX(Formacode!$C:$F,
   MATCH('Niv formacode'!$B7,Formacode!$A:$A,0),
  'Niv formacode'!AC7),""))</f>
        <v/>
      </c>
      <c r="AD7" s="45" t="str" cm="1">
        <f t="array" ref="AD7">IF('Niv formacode'!AD7="","",IFERROR(INDEX(Formacode!$C:$F,
   MATCH('Niv formacode'!$B7,Formacode!$A:$A,0),
  'Niv formacode'!AD7),""))</f>
        <v/>
      </c>
      <c r="AE7" s="45" t="str" cm="1">
        <f t="array" ref="AE7">IF('Niv formacode'!AE7="","",IFERROR(INDEX(Formacode!$C:$F,
   MATCH('Niv formacode'!$B7,Formacode!$A:$A,0),
  'Niv formacode'!AE7),""))</f>
        <v/>
      </c>
    </row>
    <row r="8" spans="1:48">
      <c r="A8" s="55" t="str">
        <f>_xlfn.XLOOKUP(B8,Formacode!A:A,Formacode!B:B,0,1)</f>
        <v>Règlementation hygiène agroalimentaire</v>
      </c>
      <c r="B8" s="55" cm="1">
        <f t="array" ref="B8">IFERROR(INDEX('Niv formacode'!$B:$B,SMALL(IF('Niv formacode'!$B:$B&lt;&gt;"",ROW('Niv formacode'!$B:$B)),ROW(B7))),"")</f>
        <v>21572</v>
      </c>
      <c r="C8" s="45" cm="1">
        <f t="array" ref="C8">IF('Niv formacode'!C8="","",IFERROR(INDEX(Formacode!$C:$F,
   MATCH('Niv formacode'!$B8,Formacode!$A:$A,0),
  'Niv formacode'!C8),""))</f>
        <v>80</v>
      </c>
      <c r="D8" s="45" cm="1">
        <f t="array" ref="D8">IF('Niv formacode'!D8="","",IFERROR(INDEX(Formacode!$C:$F,
   MATCH('Niv formacode'!$B8,Formacode!$A:$A,0),
  'Niv formacode'!D8),""))</f>
        <v>80</v>
      </c>
      <c r="E8" s="45" t="str" cm="1">
        <f t="array" ref="E8">IF('Niv formacode'!E8="","",IFERROR(INDEX(Formacode!$C:$F,
   MATCH('Niv formacode'!$B8,Formacode!$A:$A,0),
  'Niv formacode'!E8),""))</f>
        <v/>
      </c>
      <c r="F8" s="45" t="str" cm="1">
        <f t="array" ref="F8">IF('Niv formacode'!F8="","",IFERROR(INDEX(Formacode!$C:$F,
   MATCH('Niv formacode'!$B8,Formacode!$A:$A,0),
  'Niv formacode'!F8),""))</f>
        <v/>
      </c>
      <c r="G8" s="45" cm="1">
        <f t="array" ref="G8">IF('Niv formacode'!G8="","",IFERROR(INDEX(Formacode!$C:$F,
   MATCH('Niv formacode'!$B8,Formacode!$A:$A,0),
  'Niv formacode'!G8),""))</f>
        <v>328</v>
      </c>
      <c r="H8" s="45" cm="1">
        <f t="array" ref="H8">IF('Niv formacode'!H8="","",IFERROR(INDEX(Formacode!$C:$F,
   MATCH('Niv formacode'!$B8,Formacode!$A:$A,0),
  'Niv formacode'!H8),""))</f>
        <v>328</v>
      </c>
      <c r="I8" s="45" cm="1">
        <f t="array" ref="I8">IF('Niv formacode'!I8="","",IFERROR(INDEX(Formacode!$C:$F,
   MATCH('Niv formacode'!$B8,Formacode!$A:$A,0),
  'Niv formacode'!I8),""))</f>
        <v>328</v>
      </c>
      <c r="J8" s="45" cm="1">
        <f t="array" ref="J8">IF('Niv formacode'!J8="","",IFERROR(INDEX(Formacode!$C:$F,
   MATCH('Niv formacode'!$B8,Formacode!$A:$A,0),
  'Niv formacode'!J8),""))</f>
        <v>80</v>
      </c>
      <c r="K8" s="45" cm="1">
        <f t="array" ref="K8">IF('Niv formacode'!K8="","",IFERROR(INDEX(Formacode!$C:$F,
   MATCH('Niv formacode'!$B8,Formacode!$A:$A,0),
  'Niv formacode'!K8),""))</f>
        <v>328</v>
      </c>
      <c r="L8" s="45" t="str" cm="1">
        <f t="array" ref="L8">IF('Niv formacode'!L8="","",IFERROR(INDEX(Formacode!$C:$F,
   MATCH('Niv formacode'!$B8,Formacode!$A:$A,0),
  'Niv formacode'!L8),""))</f>
        <v/>
      </c>
      <c r="M8" s="45" t="str" cm="1">
        <f t="array" ref="M8">IF('Niv formacode'!M8="","",IFERROR(INDEX(Formacode!$C:$F,
   MATCH('Niv formacode'!$B8,Formacode!$A:$A,0),
  'Niv formacode'!M8),""))</f>
        <v/>
      </c>
      <c r="N8" s="45" cm="1">
        <f t="array" ref="N8">IF('Niv formacode'!N8="","",IFERROR(INDEX(Formacode!$C:$F,
   MATCH('Niv formacode'!$B8,Formacode!$A:$A,0),
  'Niv formacode'!N8),""))</f>
        <v>80</v>
      </c>
      <c r="O8" s="45" cm="1">
        <f t="array" ref="O8">IF('Niv formacode'!O8="","",IFERROR(INDEX(Formacode!$C:$F,
   MATCH('Niv formacode'!$B8,Formacode!$A:$A,0),
  'Niv formacode'!O8),""))</f>
        <v>328</v>
      </c>
      <c r="P8" s="45" cm="1">
        <f t="array" ref="P8">IF('Niv formacode'!P8="","",IFERROR(INDEX(Formacode!$C:$F,
   MATCH('Niv formacode'!$B8,Formacode!$A:$A,0),
  'Niv formacode'!P8),""))</f>
        <v>80</v>
      </c>
      <c r="Q8" s="45" cm="1">
        <f t="array" ref="Q8">IF('Niv formacode'!Q8="","",IFERROR(INDEX(Formacode!$C:$F,
   MATCH('Niv formacode'!$B8,Formacode!$A:$A,0),
  'Niv formacode'!Q8),""))</f>
        <v>80</v>
      </c>
      <c r="R8" s="45" cm="1">
        <f t="array" ref="R8">IF('Niv formacode'!R8="","",IFERROR(INDEX(Formacode!$C:$F,
   MATCH('Niv formacode'!$B8,Formacode!$A:$A,0),
  'Niv formacode'!R8),""))</f>
        <v>328</v>
      </c>
      <c r="S8" s="45" cm="1">
        <f t="array" ref="S8">IF('Niv formacode'!S8="","",IFERROR(INDEX(Formacode!$C:$F,
   MATCH('Niv formacode'!$B8,Formacode!$A:$A,0),
  'Niv formacode'!S8),""))</f>
        <v>493</v>
      </c>
      <c r="T8" s="45" cm="1">
        <f t="array" ref="T8">IF('Niv formacode'!T8="","",IFERROR(INDEX(Formacode!$C:$F,
   MATCH('Niv formacode'!$B8,Formacode!$A:$A,0),
  'Niv formacode'!T8),""))</f>
        <v>80</v>
      </c>
      <c r="U8" s="45" cm="1">
        <f t="array" ref="U8">IF('Niv formacode'!U8="","",IFERROR(INDEX(Formacode!$C:$F,
   MATCH('Niv formacode'!$B8,Formacode!$A:$A,0),
  'Niv formacode'!U8),""))</f>
        <v>80</v>
      </c>
      <c r="V8" s="45" cm="1">
        <f t="array" ref="V8">IF('Niv formacode'!V8="","",IFERROR(INDEX(Formacode!$C:$F,
   MATCH('Niv formacode'!$B8,Formacode!$A:$A,0),
  'Niv formacode'!V8),""))</f>
        <v>80</v>
      </c>
      <c r="W8" s="45" cm="1">
        <f t="array" ref="W8">IF('Niv formacode'!W8="","",IFERROR(INDEX(Formacode!$C:$F,
   MATCH('Niv formacode'!$B8,Formacode!$A:$A,0),
  'Niv formacode'!W8),""))</f>
        <v>80</v>
      </c>
      <c r="X8" s="45" cm="1">
        <f t="array" ref="X8">IF('Niv formacode'!X8="","",IFERROR(INDEX(Formacode!$C:$F,
   MATCH('Niv formacode'!$B8,Formacode!$A:$A,0),
  'Niv formacode'!X8),""))</f>
        <v>80</v>
      </c>
      <c r="Y8" s="45" cm="1">
        <f t="array" ref="Y8">IF('Niv formacode'!Y8="","",IFERROR(INDEX(Formacode!$C:$F,
   MATCH('Niv formacode'!$B8,Formacode!$A:$A,0),
  'Niv formacode'!Y8),""))</f>
        <v>493</v>
      </c>
      <c r="Z8" s="45" cm="1">
        <f t="array" ref="Z8">IF('Niv formacode'!Z8="","",IFERROR(INDEX(Formacode!$C:$F,
   MATCH('Niv formacode'!$B8,Formacode!$A:$A,0),
  'Niv formacode'!Z8),""))</f>
        <v>80</v>
      </c>
      <c r="AA8" s="45" cm="1">
        <f t="array" ref="AA8">IF('Niv formacode'!AA8="","",IFERROR(INDEX(Formacode!$C:$F,
   MATCH('Niv formacode'!$B8,Formacode!$A:$A,0),
  'Niv formacode'!AA8),""))</f>
        <v>80</v>
      </c>
      <c r="AB8" s="45" cm="1">
        <f t="array" ref="AB8">IF('Niv formacode'!AB8="","",IFERROR(INDEX(Formacode!$C:$F,
   MATCH('Niv formacode'!$B8,Formacode!$A:$A,0),
  'Niv formacode'!AB8),""))</f>
        <v>80</v>
      </c>
      <c r="AC8" s="45" cm="1">
        <f t="array" ref="AC8">IF('Niv formacode'!AC8="","",IFERROR(INDEX(Formacode!$C:$F,
   MATCH('Niv formacode'!$B8,Formacode!$A:$A,0),
  'Niv formacode'!AC8),""))</f>
        <v>80</v>
      </c>
      <c r="AD8" s="45" cm="1">
        <f t="array" ref="AD8">IF('Niv formacode'!AD8="","",IFERROR(INDEX(Formacode!$C:$F,
   MATCH('Niv formacode'!$B8,Formacode!$A:$A,0),
  'Niv formacode'!AD8),""))</f>
        <v>80</v>
      </c>
      <c r="AE8" s="45" cm="1">
        <f t="array" ref="AE8">IF('Niv formacode'!AE8="","",IFERROR(INDEX(Formacode!$C:$F,
   MATCH('Niv formacode'!$B8,Formacode!$A:$A,0),
  'Niv formacode'!AE8),""))</f>
        <v>80</v>
      </c>
    </row>
    <row r="9" spans="1:48">
      <c r="A9" s="55" t="str">
        <f>_xlfn.XLOOKUP(B9,Formacode!A:A,Formacode!B:B,0,1)</f>
        <v>Manutention</v>
      </c>
      <c r="B9" s="55" cm="1">
        <f t="array" ref="B9">IFERROR(INDEX('Niv formacode'!$B:$B,SMALL(IF('Niv formacode'!$B:$B&lt;&gt;"",ROW('Niv formacode'!$B:$B)),ROW(B8))),"")</f>
        <v>31754</v>
      </c>
      <c r="C9" s="45" cm="1">
        <f t="array" ref="C9">IF('Niv formacode'!C9="","",IFERROR(INDEX(Formacode!$C:$F,
   MATCH('Niv formacode'!$B9,Formacode!$A:$A,0),
  'Niv formacode'!C9),""))</f>
        <v>76</v>
      </c>
      <c r="D9" s="45" cm="1">
        <f t="array" ref="D9">IF('Niv formacode'!D9="","",IFERROR(INDEX(Formacode!$C:$F,
   MATCH('Niv formacode'!$B9,Formacode!$A:$A,0),
  'Niv formacode'!D9),""))</f>
        <v>76</v>
      </c>
      <c r="E9" s="45" cm="1">
        <f t="array" ref="E9">IF('Niv formacode'!E9="","",IFERROR(INDEX(Formacode!$C:$F,
   MATCH('Niv formacode'!$B9,Formacode!$A:$A,0),
  'Niv formacode'!E9),""))</f>
        <v>76</v>
      </c>
      <c r="F9" s="45" t="str" cm="1">
        <f t="array" ref="F9">IF('Niv formacode'!F9="","",IFERROR(INDEX(Formacode!$C:$F,
   MATCH('Niv formacode'!$B9,Formacode!$A:$A,0),
  'Niv formacode'!F9),""))</f>
        <v/>
      </c>
      <c r="G9" s="45" t="str" cm="1">
        <f t="array" ref="G9">IF('Niv formacode'!G9="","",IFERROR(INDEX(Formacode!$C:$F,
   MATCH('Niv formacode'!$B9,Formacode!$A:$A,0),
  'Niv formacode'!G9),""))</f>
        <v/>
      </c>
      <c r="H9" s="45" t="str" cm="1">
        <f t="array" ref="H9">IF('Niv formacode'!H9="","",IFERROR(INDEX(Formacode!$C:$F,
   MATCH('Niv formacode'!$B9,Formacode!$A:$A,0),
  'Niv formacode'!H9),""))</f>
        <v/>
      </c>
      <c r="I9" s="45" t="str" cm="1">
        <f t="array" ref="I9">IF('Niv formacode'!I9="","",IFERROR(INDEX(Formacode!$C:$F,
   MATCH('Niv formacode'!$B9,Formacode!$A:$A,0),
  'Niv formacode'!I9),""))</f>
        <v/>
      </c>
      <c r="J9" s="45" cm="1">
        <f t="array" ref="J9">IF('Niv formacode'!J9="","",IFERROR(INDEX(Formacode!$C:$F,
   MATCH('Niv formacode'!$B9,Formacode!$A:$A,0),
  'Niv formacode'!J9),""))</f>
        <v>76</v>
      </c>
      <c r="K9" s="45" t="str" cm="1">
        <f t="array" ref="K9">IF('Niv formacode'!K9="","",IFERROR(INDEX(Formacode!$C:$F,
   MATCH('Niv formacode'!$B9,Formacode!$A:$A,0),
  'Niv formacode'!K9),""))</f>
        <v/>
      </c>
      <c r="L9" s="45" t="str" cm="1">
        <f t="array" ref="L9">IF('Niv formacode'!L9="","",IFERROR(INDEX(Formacode!$C:$F,
   MATCH('Niv formacode'!$B9,Formacode!$A:$A,0),
  'Niv formacode'!L9),""))</f>
        <v/>
      </c>
      <c r="M9" s="45" cm="1">
        <f t="array" ref="M9">IF('Niv formacode'!M9="","",IFERROR(INDEX(Formacode!$C:$F,
   MATCH('Niv formacode'!$B9,Formacode!$A:$A,0),
  'Niv formacode'!M9),""))</f>
        <v>76</v>
      </c>
      <c r="N9" s="45" t="str" cm="1">
        <f t="array" ref="N9">IF('Niv formacode'!N9="","",IFERROR(INDEX(Formacode!$C:$F,
   MATCH('Niv formacode'!$B9,Formacode!$A:$A,0),
  'Niv formacode'!N9),""))</f>
        <v/>
      </c>
      <c r="O9" s="45" t="str" cm="1">
        <f t="array" ref="O9">IF('Niv formacode'!O9="","",IFERROR(INDEX(Formacode!$C:$F,
   MATCH('Niv formacode'!$B9,Formacode!$A:$A,0),
  'Niv formacode'!O9),""))</f>
        <v/>
      </c>
      <c r="P9" s="45" cm="1">
        <f t="array" ref="P9">IF('Niv formacode'!P9="","",IFERROR(INDEX(Formacode!$C:$F,
   MATCH('Niv formacode'!$B9,Formacode!$A:$A,0),
  'Niv formacode'!P9),""))</f>
        <v>76</v>
      </c>
      <c r="Q9" s="45" cm="1">
        <f t="array" ref="Q9">IF('Niv formacode'!Q9="","",IFERROR(INDEX(Formacode!$C:$F,
   MATCH('Niv formacode'!$B9,Formacode!$A:$A,0),
  'Niv formacode'!Q9),""))</f>
        <v>76</v>
      </c>
      <c r="R9" s="45" cm="1">
        <f t="array" ref="R9">IF('Niv formacode'!R9="","",IFERROR(INDEX(Formacode!$C:$F,
   MATCH('Niv formacode'!$B9,Formacode!$A:$A,0),
  'Niv formacode'!R9),""))</f>
        <v>76</v>
      </c>
      <c r="S9" s="45" t="str" cm="1">
        <f t="array" ref="S9">IF('Niv formacode'!S9="","",IFERROR(INDEX(Formacode!$C:$F,
   MATCH('Niv formacode'!$B9,Formacode!$A:$A,0),
  'Niv formacode'!S9),""))</f>
        <v/>
      </c>
      <c r="T9" s="45" cm="1">
        <f t="array" ref="T9">IF('Niv formacode'!T9="","",IFERROR(INDEX(Formacode!$C:$F,
   MATCH('Niv formacode'!$B9,Formacode!$A:$A,0),
  'Niv formacode'!T9),""))</f>
        <v>76</v>
      </c>
      <c r="U9" s="45" cm="1">
        <f t="array" ref="U9">IF('Niv formacode'!U9="","",IFERROR(INDEX(Formacode!$C:$F,
   MATCH('Niv formacode'!$B9,Formacode!$A:$A,0),
  'Niv formacode'!U9),""))</f>
        <v>76</v>
      </c>
      <c r="V9" s="45" cm="1">
        <f t="array" ref="V9">IF('Niv formacode'!V9="","",IFERROR(INDEX(Formacode!$C:$F,
   MATCH('Niv formacode'!$B9,Formacode!$A:$A,0),
  'Niv formacode'!V9),""))</f>
        <v>76</v>
      </c>
      <c r="W9" s="45" cm="1">
        <f t="array" ref="W9">IF('Niv formacode'!W9="","",IFERROR(INDEX(Formacode!$C:$F,
   MATCH('Niv formacode'!$B9,Formacode!$A:$A,0),
  'Niv formacode'!W9),""))</f>
        <v>76</v>
      </c>
      <c r="X9" s="45" t="str" cm="1">
        <f t="array" ref="X9">IF('Niv formacode'!X9="","",IFERROR(INDEX(Formacode!$C:$F,
   MATCH('Niv formacode'!$B9,Formacode!$A:$A,0),
  'Niv formacode'!X9),""))</f>
        <v/>
      </c>
      <c r="Y9" s="45" t="str" cm="1">
        <f t="array" ref="Y9">IF('Niv formacode'!Y9="","",IFERROR(INDEX(Formacode!$C:$F,
   MATCH('Niv formacode'!$B9,Formacode!$A:$A,0),
  'Niv formacode'!Y9),""))</f>
        <v/>
      </c>
      <c r="Z9" s="45" cm="1">
        <f t="array" ref="Z9">IF('Niv formacode'!Z9="","",IFERROR(INDEX(Formacode!$C:$F,
   MATCH('Niv formacode'!$B9,Formacode!$A:$A,0),
  'Niv formacode'!Z9),""))</f>
        <v>76</v>
      </c>
      <c r="AA9" s="45" cm="1">
        <f t="array" ref="AA9">IF('Niv formacode'!AA9="","",IFERROR(INDEX(Formacode!$C:$F,
   MATCH('Niv formacode'!$B9,Formacode!$A:$A,0),
  'Niv formacode'!AA9),""))</f>
        <v>76</v>
      </c>
      <c r="AB9" s="45" cm="1">
        <f t="array" ref="AB9">IF('Niv formacode'!AB9="","",IFERROR(INDEX(Formacode!$C:$F,
   MATCH('Niv formacode'!$B9,Formacode!$A:$A,0),
  'Niv formacode'!AB9),""))</f>
        <v>76</v>
      </c>
      <c r="AC9" s="45" cm="1">
        <f t="array" ref="AC9">IF('Niv formacode'!AC9="","",IFERROR(INDEX(Formacode!$C:$F,
   MATCH('Niv formacode'!$B9,Formacode!$A:$A,0),
  'Niv formacode'!AC9),""))</f>
        <v>76</v>
      </c>
      <c r="AD9" s="45" cm="1">
        <f t="array" ref="AD9">IF('Niv formacode'!AD9="","",IFERROR(INDEX(Formacode!$C:$F,
   MATCH('Niv formacode'!$B9,Formacode!$A:$A,0),
  'Niv formacode'!AD9),""))</f>
        <v>76</v>
      </c>
      <c r="AE9" s="45" cm="1">
        <f t="array" ref="AE9">IF('Niv formacode'!AE9="","",IFERROR(INDEX(Formacode!$C:$F,
   MATCH('Niv formacode'!$B9,Formacode!$A:$A,0),
  'Niv formacode'!AE9),""))</f>
        <v>76</v>
      </c>
    </row>
    <row r="10" spans="1:48">
      <c r="A10" s="55" t="str">
        <f>_xlfn.XLOOKUP(B10,Formacode!A:A,Formacode!B:B,0,1)</f>
        <v>MANAGEMENT OPÉRATIONNEL</v>
      </c>
      <c r="B10" s="55" cm="1">
        <f t="array" ref="B10">IFERROR(INDEX('Niv formacode'!$B:$B,SMALL(IF('Niv formacode'!$B:$B&lt;&gt;"",ROW('Niv formacode'!$B:$B)),ROW(B9))),"")</f>
        <v>32110</v>
      </c>
      <c r="C10" s="45" cm="1">
        <f t="array" ref="C10">IF('Niv formacode'!C10="","",IFERROR(INDEX(Formacode!$C:$F,
   MATCH('Niv formacode'!$B10,Formacode!$A:$A,0),
  'Niv formacode'!C10),""))</f>
        <v>106</v>
      </c>
      <c r="D10" s="45" t="str" cm="1">
        <f t="array" ref="D10">IF('Niv formacode'!D10="","",IFERROR(INDEX(Formacode!$C:$F,
   MATCH('Niv formacode'!$B10,Formacode!$A:$A,0),
  'Niv formacode'!D10),""))</f>
        <v/>
      </c>
      <c r="E10" s="45" t="str" cm="1">
        <f t="array" ref="E10">IF('Niv formacode'!E10="","",IFERROR(INDEX(Formacode!$C:$F,
   MATCH('Niv formacode'!$B10,Formacode!$A:$A,0),
  'Niv formacode'!E10),""))</f>
        <v/>
      </c>
      <c r="F10" s="45" cm="1">
        <f t="array" ref="F10">IF('Niv formacode'!F10="","",IFERROR(INDEX(Formacode!$C:$F,
   MATCH('Niv formacode'!$B10,Formacode!$A:$A,0),
  'Niv formacode'!F10),""))</f>
        <v>390</v>
      </c>
      <c r="G10" s="45" cm="1">
        <f t="array" ref="G10">IF('Niv formacode'!G10="","",IFERROR(INDEX(Formacode!$C:$F,
   MATCH('Niv formacode'!$B10,Formacode!$A:$A,0),
  'Niv formacode'!G10),""))</f>
        <v>390</v>
      </c>
      <c r="H10" s="45" cm="1">
        <f t="array" ref="H10">IF('Niv formacode'!H10="","",IFERROR(INDEX(Formacode!$C:$F,
   MATCH('Niv formacode'!$B10,Formacode!$A:$A,0),
  'Niv formacode'!H10),""))</f>
        <v>390</v>
      </c>
      <c r="I10" s="45" t="str" cm="1">
        <f t="array" ref="I10">IF('Niv formacode'!I10="","",IFERROR(INDEX(Formacode!$C:$F,
   MATCH('Niv formacode'!$B10,Formacode!$A:$A,0),
  'Niv formacode'!I10),""))</f>
        <v/>
      </c>
      <c r="J10" s="45" t="str" cm="1">
        <f t="array" ref="J10">IF('Niv formacode'!J10="","",IFERROR(INDEX(Formacode!$C:$F,
   MATCH('Niv formacode'!$B10,Formacode!$A:$A,0),
  'Niv formacode'!J10),""))</f>
        <v/>
      </c>
      <c r="K10" s="45" t="str" cm="1">
        <f t="array" ref="K10">IF('Niv formacode'!K10="","",IFERROR(INDEX(Formacode!$C:$F,
   MATCH('Niv formacode'!$B10,Formacode!$A:$A,0),
  'Niv formacode'!K10),""))</f>
        <v/>
      </c>
      <c r="L10" s="45" cm="1">
        <f t="array" ref="L10">IF('Niv formacode'!L10="","",IFERROR(INDEX(Formacode!$C:$F,
   MATCH('Niv formacode'!$B10,Formacode!$A:$A,0),
  'Niv formacode'!L10),""))</f>
        <v>1050</v>
      </c>
      <c r="M10" s="45" t="str" cm="1">
        <f t="array" ref="M10">IF('Niv formacode'!M10="","",IFERROR(INDEX(Formacode!$C:$F,
   MATCH('Niv formacode'!$B10,Formacode!$A:$A,0),
  'Niv formacode'!M10),""))</f>
        <v/>
      </c>
      <c r="N10" s="45" t="str" cm="1">
        <f t="array" ref="N10">IF('Niv formacode'!N10="","",IFERROR(INDEX(Formacode!$C:$F,
   MATCH('Niv formacode'!$B10,Formacode!$A:$A,0),
  'Niv formacode'!N10),""))</f>
        <v/>
      </c>
      <c r="O10" s="45" t="str" cm="1">
        <f t="array" ref="O10">IF('Niv formacode'!O10="","",IFERROR(INDEX(Formacode!$C:$F,
   MATCH('Niv formacode'!$B10,Formacode!$A:$A,0),
  'Niv formacode'!O10),""))</f>
        <v/>
      </c>
      <c r="P10" s="45" t="str" cm="1">
        <f t="array" ref="P10">IF('Niv formacode'!P10="","",IFERROR(INDEX(Formacode!$C:$F,
   MATCH('Niv formacode'!$B10,Formacode!$A:$A,0),
  'Niv formacode'!P10),""))</f>
        <v/>
      </c>
      <c r="Q10" s="45" t="str" cm="1">
        <f t="array" ref="Q10">IF('Niv formacode'!Q10="","",IFERROR(INDEX(Formacode!$C:$F,
   MATCH('Niv formacode'!$B10,Formacode!$A:$A,0),
  'Niv formacode'!Q10),""))</f>
        <v/>
      </c>
      <c r="R10" s="45" cm="1">
        <f t="array" ref="R10">IF('Niv formacode'!R10="","",IFERROR(INDEX(Formacode!$C:$F,
   MATCH('Niv formacode'!$B10,Formacode!$A:$A,0),
  'Niv formacode'!R10),""))</f>
        <v>106</v>
      </c>
      <c r="S10" s="45" t="str" cm="1">
        <f t="array" ref="S10">IF('Niv formacode'!S10="","",IFERROR(INDEX(Formacode!$C:$F,
   MATCH('Niv formacode'!$B10,Formacode!$A:$A,0),
  'Niv formacode'!S10),""))</f>
        <v/>
      </c>
      <c r="T10" s="45" t="str" cm="1">
        <f t="array" ref="T10">IF('Niv formacode'!T10="","",IFERROR(INDEX(Formacode!$C:$F,
   MATCH('Niv formacode'!$B10,Formacode!$A:$A,0),
  'Niv formacode'!T10),""))</f>
        <v/>
      </c>
      <c r="U10" s="45" t="str" cm="1">
        <f t="array" ref="U10">IF('Niv formacode'!U10="","",IFERROR(INDEX(Formacode!$C:$F,
   MATCH('Niv formacode'!$B10,Formacode!$A:$A,0),
  'Niv formacode'!U10),""))</f>
        <v/>
      </c>
      <c r="V10" s="45" t="str" cm="1">
        <f t="array" ref="V10">IF('Niv formacode'!V10="","",IFERROR(INDEX(Formacode!$C:$F,
   MATCH('Niv formacode'!$B10,Formacode!$A:$A,0),
  'Niv formacode'!V10),""))</f>
        <v/>
      </c>
      <c r="W10" s="45" cm="1">
        <f t="array" ref="W10">IF('Niv formacode'!W10="","",IFERROR(INDEX(Formacode!$C:$F,
   MATCH('Niv formacode'!$B10,Formacode!$A:$A,0),
  'Niv formacode'!W10),""))</f>
        <v>106</v>
      </c>
      <c r="X10" s="45" cm="1">
        <f t="array" ref="X10">IF('Niv formacode'!X10="","",IFERROR(INDEX(Formacode!$C:$F,
   MATCH('Niv formacode'!$B10,Formacode!$A:$A,0),
  'Niv formacode'!X10),""))</f>
        <v>106</v>
      </c>
      <c r="Y10" s="45" cm="1">
        <f t="array" ref="Y10">IF('Niv formacode'!Y10="","",IFERROR(INDEX(Formacode!$C:$F,
   MATCH('Niv formacode'!$B10,Formacode!$A:$A,0),
  'Niv formacode'!Y10),""))</f>
        <v>1050</v>
      </c>
      <c r="Z10" s="45" t="str" cm="1">
        <f t="array" ref="Z10">IF('Niv formacode'!Z10="","",IFERROR(INDEX(Formacode!$C:$F,
   MATCH('Niv formacode'!$B10,Formacode!$A:$A,0),
  'Niv formacode'!Z10),""))</f>
        <v/>
      </c>
      <c r="AA10" s="45" t="str" cm="1">
        <f t="array" ref="AA10">IF('Niv formacode'!AA10="","",IFERROR(INDEX(Formacode!$C:$F,
   MATCH('Niv formacode'!$B10,Formacode!$A:$A,0),
  'Niv formacode'!AA10),""))</f>
        <v/>
      </c>
      <c r="AB10" s="45" t="str" cm="1">
        <f t="array" ref="AB10">IF('Niv formacode'!AB10="","",IFERROR(INDEX(Formacode!$C:$F,
   MATCH('Niv formacode'!$B10,Formacode!$A:$A,0),
  'Niv formacode'!AB10),""))</f>
        <v/>
      </c>
      <c r="AC10" s="45" t="str" cm="1">
        <f t="array" ref="AC10">IF('Niv formacode'!AC10="","",IFERROR(INDEX(Formacode!$C:$F,
   MATCH('Niv formacode'!$B10,Formacode!$A:$A,0),
  'Niv formacode'!AC10),""))</f>
        <v/>
      </c>
      <c r="AD10" s="45" t="str" cm="1">
        <f t="array" ref="AD10">IF('Niv formacode'!AD10="","",IFERROR(INDEX(Formacode!$C:$F,
   MATCH('Niv formacode'!$B10,Formacode!$A:$A,0),
  'Niv formacode'!AD10),""))</f>
        <v/>
      </c>
      <c r="AE10" s="45" t="str" cm="1">
        <f t="array" ref="AE10">IF('Niv formacode'!AE10="","",IFERROR(INDEX(Formacode!$C:$F,
   MATCH('Niv formacode'!$B10,Formacode!$A:$A,0),
  'Niv formacode'!AE10),""))</f>
        <v/>
      </c>
    </row>
    <row r="11" spans="1:48">
      <c r="A11" s="55" t="str">
        <f>_xlfn.XLOOKUP(B11,Formacode!A:A,Formacode!B:B,0,1)</f>
        <v>Expedition</v>
      </c>
      <c r="B11" s="55" cm="1">
        <f t="array" ref="B11">IFERROR(INDEX('Niv formacode'!$B:$B,SMALL(IF('Niv formacode'!$B:$B&lt;&gt;"",ROW('Niv formacode'!$B:$B)),ROW(B10))),"")</f>
        <v>31743</v>
      </c>
      <c r="C11" s="45" t="str" cm="1">
        <f t="array" ref="C11">IF('Niv formacode'!C11="","",IFERROR(INDEX(Formacode!$C:$F,
   MATCH('Niv formacode'!$B11,Formacode!$A:$A,0),
  'Niv formacode'!C11),""))</f>
        <v/>
      </c>
      <c r="D11" s="45" cm="1">
        <f t="array" ref="D11">IF('Niv formacode'!D11="","",IFERROR(INDEX(Formacode!$C:$F,
   MATCH('Niv formacode'!$B11,Formacode!$A:$A,0),
  'Niv formacode'!D11),""))</f>
        <v>429</v>
      </c>
      <c r="E11" s="45" cm="1">
        <f t="array" ref="E11">IF('Niv formacode'!E11="","",IFERROR(INDEX(Formacode!$C:$F,
   MATCH('Niv formacode'!$B11,Formacode!$A:$A,0),
  'Niv formacode'!E11),""))</f>
        <v>429</v>
      </c>
      <c r="F11" s="45" cm="1">
        <f t="array" ref="F11">IF('Niv formacode'!F11="","",IFERROR(INDEX(Formacode!$C:$F,
   MATCH('Niv formacode'!$B11,Formacode!$A:$A,0),
  'Niv formacode'!F11),""))</f>
        <v>663</v>
      </c>
      <c r="G11" s="45" t="str" cm="1">
        <f t="array" ref="G11">IF('Niv formacode'!G11="","",IFERROR(INDEX(Formacode!$C:$F,
   MATCH('Niv formacode'!$B11,Formacode!$A:$A,0),
  'Niv formacode'!G11),""))</f>
        <v/>
      </c>
      <c r="H11" s="45" t="str" cm="1">
        <f t="array" ref="H11">IF('Niv formacode'!H11="","",IFERROR(INDEX(Formacode!$C:$F,
   MATCH('Niv formacode'!$B11,Formacode!$A:$A,0),
  'Niv formacode'!H11),""))</f>
        <v/>
      </c>
      <c r="I11" s="45" t="str" cm="1">
        <f t="array" ref="I11">IF('Niv formacode'!I11="","",IFERROR(INDEX(Formacode!$C:$F,
   MATCH('Niv formacode'!$B11,Formacode!$A:$A,0),
  'Niv formacode'!I11),""))</f>
        <v/>
      </c>
      <c r="J11" s="45" cm="1">
        <f t="array" ref="J11">IF('Niv formacode'!J11="","",IFERROR(INDEX(Formacode!$C:$F,
   MATCH('Niv formacode'!$B11,Formacode!$A:$A,0),
  'Niv formacode'!J11),""))</f>
        <v>429</v>
      </c>
      <c r="K11" s="45" t="str" cm="1">
        <f t="array" ref="K11">IF('Niv formacode'!K11="","",IFERROR(INDEX(Formacode!$C:$F,
   MATCH('Niv formacode'!$B11,Formacode!$A:$A,0),
  'Niv formacode'!K11),""))</f>
        <v/>
      </c>
      <c r="L11" s="45" t="str" cm="1">
        <f t="array" ref="L11">IF('Niv formacode'!L11="","",IFERROR(INDEX(Formacode!$C:$F,
   MATCH('Niv formacode'!$B11,Formacode!$A:$A,0),
  'Niv formacode'!L11),""))</f>
        <v/>
      </c>
      <c r="M11" s="45" t="str" cm="1">
        <f t="array" ref="M11">IF('Niv formacode'!M11="","",IFERROR(INDEX(Formacode!$C:$F,
   MATCH('Niv formacode'!$B11,Formacode!$A:$A,0),
  'Niv formacode'!M11),""))</f>
        <v/>
      </c>
      <c r="N11" s="45" t="str" cm="1">
        <f t="array" ref="N11">IF('Niv formacode'!N11="","",IFERROR(INDEX(Formacode!$C:$F,
   MATCH('Niv formacode'!$B11,Formacode!$A:$A,0),
  'Niv formacode'!N11),""))</f>
        <v/>
      </c>
      <c r="O11" s="45" t="str" cm="1">
        <f t="array" ref="O11">IF('Niv formacode'!O11="","",IFERROR(INDEX(Formacode!$C:$F,
   MATCH('Niv formacode'!$B11,Formacode!$A:$A,0),
  'Niv formacode'!O11),""))</f>
        <v/>
      </c>
      <c r="P11" s="45" t="str" cm="1">
        <f t="array" ref="P11">IF('Niv formacode'!P11="","",IFERROR(INDEX(Formacode!$C:$F,
   MATCH('Niv formacode'!$B11,Formacode!$A:$A,0),
  'Niv formacode'!P11),""))</f>
        <v/>
      </c>
      <c r="Q11" s="45" t="str" cm="1">
        <f t="array" ref="Q11">IF('Niv formacode'!Q11="","",IFERROR(INDEX(Formacode!$C:$F,
   MATCH('Niv formacode'!$B11,Formacode!$A:$A,0),
  'Niv formacode'!Q11),""))</f>
        <v/>
      </c>
      <c r="R11" s="45" cm="1">
        <f t="array" ref="R11">IF('Niv formacode'!R11="","",IFERROR(INDEX(Formacode!$C:$F,
   MATCH('Niv formacode'!$B11,Formacode!$A:$A,0),
  'Niv formacode'!R11),""))</f>
        <v>429</v>
      </c>
      <c r="S11" s="45" t="str" cm="1">
        <f t="array" ref="S11">IF('Niv formacode'!S11="","",IFERROR(INDEX(Formacode!$C:$F,
   MATCH('Niv formacode'!$B11,Formacode!$A:$A,0),
  'Niv formacode'!S11),""))</f>
        <v/>
      </c>
      <c r="T11" s="45" t="str" cm="1">
        <f t="array" ref="T11">IF('Niv formacode'!T11="","",IFERROR(INDEX(Formacode!$C:$F,
   MATCH('Niv formacode'!$B11,Formacode!$A:$A,0),
  'Niv formacode'!T11),""))</f>
        <v/>
      </c>
      <c r="U11" s="45" t="str" cm="1">
        <f t="array" ref="U11">IF('Niv formacode'!U11="","",IFERROR(INDEX(Formacode!$C:$F,
   MATCH('Niv formacode'!$B11,Formacode!$A:$A,0),
  'Niv formacode'!U11),""))</f>
        <v/>
      </c>
      <c r="V11" s="45" t="str" cm="1">
        <f t="array" ref="V11">IF('Niv formacode'!V11="","",IFERROR(INDEX(Formacode!$C:$F,
   MATCH('Niv formacode'!$B11,Formacode!$A:$A,0),
  'Niv formacode'!V11),""))</f>
        <v/>
      </c>
      <c r="W11" s="45" t="str" cm="1">
        <f t="array" ref="W11">IF('Niv formacode'!W11="","",IFERROR(INDEX(Formacode!$C:$F,
   MATCH('Niv formacode'!$B11,Formacode!$A:$A,0),
  'Niv formacode'!W11),""))</f>
        <v/>
      </c>
      <c r="X11" s="45" t="str" cm="1">
        <f t="array" ref="X11">IF('Niv formacode'!X11="","",IFERROR(INDEX(Formacode!$C:$F,
   MATCH('Niv formacode'!$B11,Formacode!$A:$A,0),
  'Niv formacode'!X11),""))</f>
        <v/>
      </c>
      <c r="Y11" s="45" cm="1">
        <f t="array" ref="Y11">IF('Niv formacode'!Y11="","",IFERROR(INDEX(Formacode!$C:$F,
   MATCH('Niv formacode'!$B11,Formacode!$A:$A,0),
  'Niv formacode'!Y11),""))</f>
        <v>663</v>
      </c>
      <c r="Z11" s="45" t="str" cm="1">
        <f t="array" ref="Z11">IF('Niv formacode'!Z11="","",IFERROR(INDEX(Formacode!$C:$F,
   MATCH('Niv formacode'!$B11,Formacode!$A:$A,0),
  'Niv formacode'!Z11),""))</f>
        <v/>
      </c>
      <c r="AA11" s="45" t="str" cm="1">
        <f t="array" ref="AA11">IF('Niv formacode'!AA11="","",IFERROR(INDEX(Formacode!$C:$F,
   MATCH('Niv formacode'!$B11,Formacode!$A:$A,0),
  'Niv formacode'!AA11),""))</f>
        <v/>
      </c>
      <c r="AB11" s="45" t="str" cm="1">
        <f t="array" ref="AB11">IF('Niv formacode'!AB11="","",IFERROR(INDEX(Formacode!$C:$F,
   MATCH('Niv formacode'!$B11,Formacode!$A:$A,0),
  'Niv formacode'!AB11),""))</f>
        <v/>
      </c>
      <c r="AC11" s="45" t="str" cm="1">
        <f t="array" ref="AC11">IF('Niv formacode'!AC11="","",IFERROR(INDEX(Formacode!$C:$F,
   MATCH('Niv formacode'!$B11,Formacode!$A:$A,0),
  'Niv formacode'!AC11),""))</f>
        <v/>
      </c>
      <c r="AD11" s="45" t="str" cm="1">
        <f t="array" ref="AD11">IF('Niv formacode'!AD11="","",IFERROR(INDEX(Formacode!$C:$F,
   MATCH('Niv formacode'!$B11,Formacode!$A:$A,0),
  'Niv formacode'!AD11),""))</f>
        <v/>
      </c>
      <c r="AE11" s="45" t="str" cm="1">
        <f t="array" ref="AE11">IF('Niv formacode'!AE11="","",IFERROR(INDEX(Formacode!$C:$F,
   MATCH('Niv formacode'!$B11,Formacode!$A:$A,0),
  'Niv formacode'!AE11),""))</f>
        <v/>
      </c>
    </row>
    <row r="12" spans="1:48">
      <c r="A12" s="55" t="str">
        <f>_xlfn.XLOOKUP(B12,Formacode!A:A,Formacode!B:B,0,1)</f>
        <v>Sciences naturelles</v>
      </c>
      <c r="B12" s="55" cm="1">
        <f t="array" ref="B12">IFERROR(INDEX('Niv formacode'!$B:$B,SMALL(IF('Niv formacode'!$B:$B&lt;&gt;"",ROW('Niv formacode'!$B:$B)),ROW(B11))),"")</f>
        <v>12054</v>
      </c>
      <c r="C12" s="45" t="str" cm="1">
        <f t="array" ref="C12">IF('Niv formacode'!C12="","",IFERROR(INDEX(Formacode!$C:$F,
   MATCH('Niv formacode'!$B12,Formacode!$A:$A,0),
  'Niv formacode'!C12),""))</f>
        <v/>
      </c>
      <c r="D12" s="45" cm="1">
        <f t="array" ref="D12">IF('Niv formacode'!D12="","",IFERROR(INDEX(Formacode!$C:$F,
   MATCH('Niv formacode'!$B12,Formacode!$A:$A,0),
  'Niv formacode'!D12),""))</f>
        <v>70</v>
      </c>
      <c r="E12" s="45" t="str" cm="1">
        <f t="array" ref="E12">IF('Niv formacode'!E12="","",IFERROR(INDEX(Formacode!$C:$F,
   MATCH('Niv formacode'!$B12,Formacode!$A:$A,0),
  'Niv formacode'!E12),""))</f>
        <v/>
      </c>
      <c r="F12" s="45" t="str" cm="1">
        <f t="array" ref="F12">IF('Niv formacode'!F12="","",IFERROR(INDEX(Formacode!$C:$F,
   MATCH('Niv formacode'!$B12,Formacode!$A:$A,0),
  'Niv formacode'!F12),""))</f>
        <v/>
      </c>
      <c r="G12" s="45" t="str" cm="1">
        <f t="array" ref="G12">IF('Niv formacode'!G12="","",IFERROR(INDEX(Formacode!$C:$F,
   MATCH('Niv formacode'!$B12,Formacode!$A:$A,0),
  'Niv formacode'!G12),""))</f>
        <v/>
      </c>
      <c r="H12" s="45" cm="1">
        <f t="array" ref="H12">IF('Niv formacode'!H12="","",IFERROR(INDEX(Formacode!$C:$F,
   MATCH('Niv formacode'!$B12,Formacode!$A:$A,0),
  'Niv formacode'!H12),""))</f>
        <v>70</v>
      </c>
      <c r="I12" s="45" cm="1">
        <f t="array" ref="I12">IF('Niv formacode'!I12="","",IFERROR(INDEX(Formacode!$C:$F,
   MATCH('Niv formacode'!$B12,Formacode!$A:$A,0),
  'Niv formacode'!I12),""))</f>
        <v>266</v>
      </c>
      <c r="J12" s="45" t="str" cm="1">
        <f t="array" ref="J12">IF('Niv formacode'!J12="","",IFERROR(INDEX(Formacode!$C:$F,
   MATCH('Niv formacode'!$B12,Formacode!$A:$A,0),
  'Niv formacode'!J12),""))</f>
        <v/>
      </c>
      <c r="K12" s="45" t="str" cm="1">
        <f t="array" ref="K12">IF('Niv formacode'!K12="","",IFERROR(INDEX(Formacode!$C:$F,
   MATCH('Niv formacode'!$B12,Formacode!$A:$A,0),
  'Niv formacode'!K12),""))</f>
        <v/>
      </c>
      <c r="L12" s="45" cm="1">
        <f t="array" ref="L12">IF('Niv formacode'!L12="","",IFERROR(INDEX(Formacode!$C:$F,
   MATCH('Niv formacode'!$B12,Formacode!$A:$A,0),
  'Niv formacode'!L12),""))</f>
        <v>266</v>
      </c>
      <c r="M12" s="45" t="str" cm="1">
        <f t="array" ref="M12">IF('Niv formacode'!M12="","",IFERROR(INDEX(Formacode!$C:$F,
   MATCH('Niv formacode'!$B12,Formacode!$A:$A,0),
  'Niv formacode'!M12),""))</f>
        <v/>
      </c>
      <c r="N12" s="45" t="str" cm="1">
        <f t="array" ref="N12">IF('Niv formacode'!N12="","",IFERROR(INDEX(Formacode!$C:$F,
   MATCH('Niv formacode'!$B12,Formacode!$A:$A,0),
  'Niv formacode'!N12),""))</f>
        <v/>
      </c>
      <c r="O12" s="45" cm="1">
        <f t="array" ref="O12">IF('Niv formacode'!O12="","",IFERROR(INDEX(Formacode!$C:$F,
   MATCH('Niv formacode'!$B12,Formacode!$A:$A,0),
  'Niv formacode'!O12),""))</f>
        <v>266</v>
      </c>
      <c r="P12" s="45" t="str" cm="1">
        <f t="array" ref="P12">IF('Niv formacode'!P12="","",IFERROR(INDEX(Formacode!$C:$F,
   MATCH('Niv formacode'!$B12,Formacode!$A:$A,0),
  'Niv formacode'!P12),""))</f>
        <v/>
      </c>
      <c r="Q12" s="45" t="str" cm="1">
        <f t="array" ref="Q12">IF('Niv formacode'!Q12="","",IFERROR(INDEX(Formacode!$C:$F,
   MATCH('Niv formacode'!$B12,Formacode!$A:$A,0),
  'Niv formacode'!Q12),""))</f>
        <v/>
      </c>
      <c r="R12" s="45" cm="1">
        <f t="array" ref="R12">IF('Niv formacode'!R12="","",IFERROR(INDEX(Formacode!$C:$F,
   MATCH('Niv formacode'!$B12,Formacode!$A:$A,0),
  'Niv formacode'!R12),""))</f>
        <v>70</v>
      </c>
      <c r="S12" s="45" t="str" cm="1">
        <f t="array" ref="S12">IF('Niv formacode'!S12="","",IFERROR(INDEX(Formacode!$C:$F,
   MATCH('Niv formacode'!$B12,Formacode!$A:$A,0),
  'Niv formacode'!S12),""))</f>
        <v/>
      </c>
      <c r="T12" s="45" t="str" cm="1">
        <f t="array" ref="T12">IF('Niv formacode'!T12="","",IFERROR(INDEX(Formacode!$C:$F,
   MATCH('Niv formacode'!$B12,Formacode!$A:$A,0),
  'Niv formacode'!T12),""))</f>
        <v/>
      </c>
      <c r="U12" s="45" t="str" cm="1">
        <f t="array" ref="U12">IF('Niv formacode'!U12="","",IFERROR(INDEX(Formacode!$C:$F,
   MATCH('Niv formacode'!$B12,Formacode!$A:$A,0),
  'Niv formacode'!U12),""))</f>
        <v/>
      </c>
      <c r="V12" s="45" t="str" cm="1">
        <f t="array" ref="V12">IF('Niv formacode'!V12="","",IFERROR(INDEX(Formacode!$C:$F,
   MATCH('Niv formacode'!$B12,Formacode!$A:$A,0),
  'Niv formacode'!V12),""))</f>
        <v/>
      </c>
      <c r="W12" s="45" t="str" cm="1">
        <f t="array" ref="W12">IF('Niv formacode'!W12="","",IFERROR(INDEX(Formacode!$C:$F,
   MATCH('Niv formacode'!$B12,Formacode!$A:$A,0),
  'Niv formacode'!W12),""))</f>
        <v/>
      </c>
      <c r="X12" s="45" t="str" cm="1">
        <f t="array" ref="X12">IF('Niv formacode'!X12="","",IFERROR(INDEX(Formacode!$C:$F,
   MATCH('Niv formacode'!$B12,Formacode!$A:$A,0),
  'Niv formacode'!X12),""))</f>
        <v/>
      </c>
      <c r="Y12" s="45" t="str" cm="1">
        <f t="array" ref="Y12">IF('Niv formacode'!Y12="","",IFERROR(INDEX(Formacode!$C:$F,
   MATCH('Niv formacode'!$B12,Formacode!$A:$A,0),
  'Niv formacode'!Y12),""))</f>
        <v/>
      </c>
      <c r="Z12" s="45" t="str" cm="1">
        <f t="array" ref="Z12">IF('Niv formacode'!Z12="","",IFERROR(INDEX(Formacode!$C:$F,
   MATCH('Niv formacode'!$B12,Formacode!$A:$A,0),
  'Niv formacode'!Z12),""))</f>
        <v/>
      </c>
      <c r="AA12" s="45" t="str" cm="1">
        <f t="array" ref="AA12">IF('Niv formacode'!AA12="","",IFERROR(INDEX(Formacode!$C:$F,
   MATCH('Niv formacode'!$B12,Formacode!$A:$A,0),
  'Niv formacode'!AA12),""))</f>
        <v/>
      </c>
      <c r="AB12" s="45" t="str" cm="1">
        <f t="array" ref="AB12">IF('Niv formacode'!AB12="","",IFERROR(INDEX(Formacode!$C:$F,
   MATCH('Niv formacode'!$B12,Formacode!$A:$A,0),
  'Niv formacode'!AB12),""))</f>
        <v/>
      </c>
      <c r="AC12" s="45" t="str" cm="1">
        <f t="array" ref="AC12">IF('Niv formacode'!AC12="","",IFERROR(INDEX(Formacode!$C:$F,
   MATCH('Niv formacode'!$B12,Formacode!$A:$A,0),
  'Niv formacode'!AC12),""))</f>
        <v/>
      </c>
      <c r="AD12" s="45" t="str" cm="1">
        <f t="array" ref="AD12">IF('Niv formacode'!AD12="","",IFERROR(INDEX(Formacode!$C:$F,
   MATCH('Niv formacode'!$B12,Formacode!$A:$A,0),
  'Niv formacode'!AD12),""))</f>
        <v/>
      </c>
      <c r="AE12" s="45" t="str" cm="1">
        <f t="array" ref="AE12">IF('Niv formacode'!AE12="","",IFERROR(INDEX(Formacode!$C:$F,
   MATCH('Niv formacode'!$B12,Formacode!$A:$A,0),
  'Niv formacode'!AE12),""))</f>
        <v/>
      </c>
    </row>
    <row r="13" spans="1:48">
      <c r="A13" s="55" t="str">
        <f>_xlfn.XLOOKUP(B13,Formacode!A:A,Formacode!B:B,0,1)</f>
        <v>Maintenance industrielle</v>
      </c>
      <c r="B13" s="55" cm="1">
        <f t="array" ref="B13">IFERROR(INDEX('Niv formacode'!$B:$B,SMALL(IF('Niv formacode'!$B:$B&lt;&gt;"",ROW('Niv formacode'!$B:$B)),ROW(B12))),"")</f>
        <v>31624</v>
      </c>
      <c r="C13" s="45" t="str" cm="1">
        <f t="array" ref="C13">IF('Niv formacode'!C13="","",IFERROR(INDEX(Formacode!$C:$F,
   MATCH('Niv formacode'!$B13,Formacode!$A:$A,0),
  'Niv formacode'!C13),""))</f>
        <v/>
      </c>
      <c r="D13" s="45" cm="1">
        <f t="array" ref="D13">IF('Niv formacode'!D13="","",IFERROR(INDEX(Formacode!$C:$F,
   MATCH('Niv formacode'!$B13,Formacode!$A:$A,0),
  'Niv formacode'!D13),""))</f>
        <v>70</v>
      </c>
      <c r="E13" s="45" t="str" cm="1">
        <f t="array" ref="E13">IF('Niv formacode'!E13="","",IFERROR(INDEX(Formacode!$C:$F,
   MATCH('Niv formacode'!$B13,Formacode!$A:$A,0),
  'Niv formacode'!E13),""))</f>
        <v/>
      </c>
      <c r="F13" s="45" t="str" cm="1">
        <f t="array" ref="F13">IF('Niv formacode'!F13="","",IFERROR(INDEX(Formacode!$C:$F,
   MATCH('Niv formacode'!$B13,Formacode!$A:$A,0),
  'Niv formacode'!F13),""))</f>
        <v/>
      </c>
      <c r="G13" s="45" t="str" cm="1">
        <f t="array" ref="G13">IF('Niv formacode'!G13="","",IFERROR(INDEX(Formacode!$C:$F,
   MATCH('Niv formacode'!$B13,Formacode!$A:$A,0),
  'Niv formacode'!G13),""))</f>
        <v/>
      </c>
      <c r="H13" s="45" cm="1">
        <f t="array" ref="H13">IF('Niv formacode'!H13="","",IFERROR(INDEX(Formacode!$C:$F,
   MATCH('Niv formacode'!$B13,Formacode!$A:$A,0),
  'Niv formacode'!H13),""))</f>
        <v>70</v>
      </c>
      <c r="I13" s="45" t="str" cm="1">
        <f t="array" ref="I13">IF('Niv formacode'!I13="","",IFERROR(INDEX(Formacode!$C:$F,
   MATCH('Niv formacode'!$B13,Formacode!$A:$A,0),
  'Niv formacode'!I13),""))</f>
        <v/>
      </c>
      <c r="J13" s="45" t="str" cm="1">
        <f t="array" ref="J13">IF('Niv formacode'!J13="","",IFERROR(INDEX(Formacode!$C:$F,
   MATCH('Niv formacode'!$B13,Formacode!$A:$A,0),
  'Niv formacode'!J13),""))</f>
        <v/>
      </c>
      <c r="K13" s="45" t="str" cm="1">
        <f t="array" ref="K13">IF('Niv formacode'!K13="","",IFERROR(INDEX(Formacode!$C:$F,
   MATCH('Niv formacode'!$B13,Formacode!$A:$A,0),
  'Niv formacode'!K13),""))</f>
        <v/>
      </c>
      <c r="L13" s="45" t="str" cm="1">
        <f t="array" ref="L13">IF('Niv formacode'!L13="","",IFERROR(INDEX(Formacode!$C:$F,
   MATCH('Niv formacode'!$B13,Formacode!$A:$A,0),
  'Niv formacode'!L13),""))</f>
        <v/>
      </c>
      <c r="M13" s="45" t="str" cm="1">
        <f t="array" ref="M13">IF('Niv formacode'!M13="","",IFERROR(INDEX(Formacode!$C:$F,
   MATCH('Niv formacode'!$B13,Formacode!$A:$A,0),
  'Niv formacode'!M13),""))</f>
        <v/>
      </c>
      <c r="N13" s="45" cm="1">
        <f t="array" ref="N13">IF('Niv formacode'!N13="","",IFERROR(INDEX(Formacode!$C:$F,
   MATCH('Niv formacode'!$B13,Formacode!$A:$A,0),
  'Niv formacode'!N13),""))</f>
        <v>70</v>
      </c>
      <c r="O13" s="45" t="str" cm="1">
        <f t="array" ref="O13">IF('Niv formacode'!O13="","",IFERROR(INDEX(Formacode!$C:$F,
   MATCH('Niv formacode'!$B13,Formacode!$A:$A,0),
  'Niv formacode'!O13),""))</f>
        <v/>
      </c>
      <c r="P13" s="45" t="str" cm="1">
        <f t="array" ref="P13">IF('Niv formacode'!P13="","",IFERROR(INDEX(Formacode!$C:$F,
   MATCH('Niv formacode'!$B13,Formacode!$A:$A,0),
  'Niv formacode'!P13),""))</f>
        <v/>
      </c>
      <c r="Q13" s="45" cm="1">
        <f t="array" ref="Q13">IF('Niv formacode'!Q13="","",IFERROR(INDEX(Formacode!$C:$F,
   MATCH('Niv formacode'!$B13,Formacode!$A:$A,0),
  'Niv formacode'!Q13),""))</f>
        <v>70</v>
      </c>
      <c r="R13" s="45" cm="1">
        <f t="array" ref="R13">IF('Niv formacode'!R13="","",IFERROR(INDEX(Formacode!$C:$F,
   MATCH('Niv formacode'!$B13,Formacode!$A:$A,0),
  'Niv formacode'!R13),""))</f>
        <v>70</v>
      </c>
      <c r="S13" s="45" t="str" cm="1">
        <f t="array" ref="S13">IF('Niv formacode'!S13="","",IFERROR(INDEX(Formacode!$C:$F,
   MATCH('Niv formacode'!$B13,Formacode!$A:$A,0),
  'Niv formacode'!S13),""))</f>
        <v/>
      </c>
      <c r="T13" s="45" t="str" cm="1">
        <f t="array" ref="T13">IF('Niv formacode'!T13="","",IFERROR(INDEX(Formacode!$C:$F,
   MATCH('Niv formacode'!$B13,Formacode!$A:$A,0),
  'Niv formacode'!T13),""))</f>
        <v/>
      </c>
      <c r="U13" s="45" cm="1">
        <f t="array" ref="U13">IF('Niv formacode'!U13="","",IFERROR(INDEX(Formacode!$C:$F,
   MATCH('Niv formacode'!$B13,Formacode!$A:$A,0),
  'Niv formacode'!U13),""))</f>
        <v>70</v>
      </c>
      <c r="V13" s="45" t="str" cm="1">
        <f t="array" ref="V13">IF('Niv formacode'!V13="","",IFERROR(INDEX(Formacode!$C:$F,
   MATCH('Niv formacode'!$B13,Formacode!$A:$A,0),
  'Niv formacode'!V13),""))</f>
        <v/>
      </c>
      <c r="W13" s="45" cm="1">
        <f t="array" ref="W13">IF('Niv formacode'!W13="","",IFERROR(INDEX(Formacode!$C:$F,
   MATCH('Niv formacode'!$B13,Formacode!$A:$A,0),
  'Niv formacode'!W13),""))</f>
        <v>70</v>
      </c>
      <c r="X13" s="45" cm="1">
        <f t="array" ref="X13">IF('Niv formacode'!X13="","",IFERROR(INDEX(Formacode!$C:$F,
   MATCH('Niv formacode'!$B13,Formacode!$A:$A,0),
  'Niv formacode'!X13),""))</f>
        <v>70</v>
      </c>
      <c r="Y13" s="45" t="str" cm="1">
        <f t="array" ref="Y13">IF('Niv formacode'!Y13="","",IFERROR(INDEX(Formacode!$C:$F,
   MATCH('Niv formacode'!$B13,Formacode!$A:$A,0),
  'Niv formacode'!Y13),""))</f>
        <v/>
      </c>
      <c r="Z13" s="45" t="str" cm="1">
        <f t="array" ref="Z13">IF('Niv formacode'!Z13="","",IFERROR(INDEX(Formacode!$C:$F,
   MATCH('Niv formacode'!$B13,Formacode!$A:$A,0),
  'Niv formacode'!Z13),""))</f>
        <v/>
      </c>
      <c r="AA13" s="45" t="str" cm="1">
        <f t="array" ref="AA13">IF('Niv formacode'!AA13="","",IFERROR(INDEX(Formacode!$C:$F,
   MATCH('Niv formacode'!$B13,Formacode!$A:$A,0),
  'Niv formacode'!AA13),""))</f>
        <v/>
      </c>
      <c r="AB13" s="45" t="str" cm="1">
        <f t="array" ref="AB13">IF('Niv formacode'!AB13="","",IFERROR(INDEX(Formacode!$C:$F,
   MATCH('Niv formacode'!$B13,Formacode!$A:$A,0),
  'Niv formacode'!AB13),""))</f>
        <v/>
      </c>
      <c r="AC13" s="45" cm="1">
        <f t="array" ref="AC13">IF('Niv formacode'!AC13="","",IFERROR(INDEX(Formacode!$C:$F,
   MATCH('Niv formacode'!$B13,Formacode!$A:$A,0),
  'Niv formacode'!AC13),""))</f>
        <v>490</v>
      </c>
      <c r="AD13" s="45" cm="1">
        <f t="array" ref="AD13">IF('Niv formacode'!AD13="","",IFERROR(INDEX(Formacode!$C:$F,
   MATCH('Niv formacode'!$B13,Formacode!$A:$A,0),
  'Niv formacode'!AD13),""))</f>
        <v>490</v>
      </c>
      <c r="AE13" s="45" cm="1">
        <f t="array" ref="AE13">IF('Niv formacode'!AE13="","",IFERROR(INDEX(Formacode!$C:$F,
   MATCH('Niv formacode'!$B13,Formacode!$A:$A,0),
  'Niv formacode'!AE13),""))</f>
        <v>490</v>
      </c>
    </row>
    <row r="14" spans="1:48">
      <c r="A14" s="55" t="str">
        <f>_xlfn.XLOOKUP(B14,Formacode!A:A,Formacode!B:B,0,1)</f>
        <v>Entretien vente</v>
      </c>
      <c r="B14" s="55" cm="1">
        <f t="array" ref="B14">IFERROR(INDEX('Niv formacode'!$B:$B,SMALL(IF('Niv formacode'!$B:$B&lt;&gt;"",ROW('Niv formacode'!$B:$B)),ROW(B13))),"")</f>
        <v>34592</v>
      </c>
      <c r="C14" s="45" t="str" cm="1">
        <f t="array" ref="C14">IF('Niv formacode'!C14="","",IFERROR(INDEX(Formacode!$C:$F,
   MATCH('Niv formacode'!$B14,Formacode!$A:$A,0),
  'Niv formacode'!C14),""))</f>
        <v/>
      </c>
      <c r="D14" s="45" cm="1">
        <f t="array" ref="D14">IF('Niv formacode'!D14="","",IFERROR(INDEX(Formacode!$C:$F,
   MATCH('Niv formacode'!$B14,Formacode!$A:$A,0),
  'Niv formacode'!D14),""))</f>
        <v>107</v>
      </c>
      <c r="E14" s="45" t="str" cm="1">
        <f t="array" ref="E14">IF('Niv formacode'!E14="","",IFERROR(INDEX(Formacode!$C:$F,
   MATCH('Niv formacode'!$B14,Formacode!$A:$A,0),
  'Niv formacode'!E14),""))</f>
        <v/>
      </c>
      <c r="F14" s="45" t="str" cm="1">
        <f t="array" ref="F14">IF('Niv formacode'!F14="","",IFERROR(INDEX(Formacode!$C:$F,
   MATCH('Niv formacode'!$B14,Formacode!$A:$A,0),
  'Niv formacode'!F14),""))</f>
        <v/>
      </c>
      <c r="G14" s="45" t="str" cm="1">
        <f t="array" ref="G14">IF('Niv formacode'!G14="","",IFERROR(INDEX(Formacode!$C:$F,
   MATCH('Niv formacode'!$B14,Formacode!$A:$A,0),
  'Niv formacode'!G14),""))</f>
        <v/>
      </c>
      <c r="H14" s="45" t="str" cm="1">
        <f t="array" ref="H14">IF('Niv formacode'!H14="","",IFERROR(INDEX(Formacode!$C:$F,
   MATCH('Niv formacode'!$B14,Formacode!$A:$A,0),
  'Niv formacode'!H14),""))</f>
        <v/>
      </c>
      <c r="I14" s="45" t="str" cm="1">
        <f t="array" ref="I14">IF('Niv formacode'!I14="","",IFERROR(INDEX(Formacode!$C:$F,
   MATCH('Niv formacode'!$B14,Formacode!$A:$A,0),
  'Niv formacode'!I14),""))</f>
        <v/>
      </c>
      <c r="J14" s="45" t="str" cm="1">
        <f t="array" ref="J14">IF('Niv formacode'!J14="","",IFERROR(INDEX(Formacode!$C:$F,
   MATCH('Niv formacode'!$B14,Formacode!$A:$A,0),
  'Niv formacode'!J14),""))</f>
        <v/>
      </c>
      <c r="K14" s="45" t="str" cm="1">
        <f t="array" ref="K14">IF('Niv formacode'!K14="","",IFERROR(INDEX(Formacode!$C:$F,
   MATCH('Niv formacode'!$B14,Formacode!$A:$A,0),
  'Niv formacode'!K14),""))</f>
        <v/>
      </c>
      <c r="L14" s="45" t="str" cm="1">
        <f t="array" ref="L14">IF('Niv formacode'!L14="","",IFERROR(INDEX(Formacode!$C:$F,
   MATCH('Niv formacode'!$B14,Formacode!$A:$A,0),
  'Niv formacode'!L14),""))</f>
        <v/>
      </c>
      <c r="M14" s="45" t="str" cm="1">
        <f t="array" ref="M14">IF('Niv formacode'!M14="","",IFERROR(INDEX(Formacode!$C:$F,
   MATCH('Niv formacode'!$B14,Formacode!$A:$A,0),
  'Niv formacode'!M14),""))</f>
        <v/>
      </c>
      <c r="N14" s="45" t="str" cm="1">
        <f t="array" ref="N14">IF('Niv formacode'!N14="","",IFERROR(INDEX(Formacode!$C:$F,
   MATCH('Niv formacode'!$B14,Formacode!$A:$A,0),
  'Niv formacode'!N14),""))</f>
        <v/>
      </c>
      <c r="O14" s="45" t="str" cm="1">
        <f t="array" ref="O14">IF('Niv formacode'!O14="","",IFERROR(INDEX(Formacode!$C:$F,
   MATCH('Niv formacode'!$B14,Formacode!$A:$A,0),
  'Niv formacode'!O14),""))</f>
        <v/>
      </c>
      <c r="P14" s="45" t="str" cm="1">
        <f t="array" ref="P14">IF('Niv formacode'!P14="","",IFERROR(INDEX(Formacode!$C:$F,
   MATCH('Niv formacode'!$B14,Formacode!$A:$A,0),
  'Niv formacode'!P14),""))</f>
        <v/>
      </c>
      <c r="Q14" s="45" t="str" cm="1">
        <f t="array" ref="Q14">IF('Niv formacode'!Q14="","",IFERROR(INDEX(Formacode!$C:$F,
   MATCH('Niv formacode'!$B14,Formacode!$A:$A,0),
  'Niv formacode'!Q14),""))</f>
        <v/>
      </c>
      <c r="R14" s="45" cm="1">
        <f t="array" ref="R14">IF('Niv formacode'!R14="","",IFERROR(INDEX(Formacode!$C:$F,
   MATCH('Niv formacode'!$B14,Formacode!$A:$A,0),
  'Niv formacode'!R14),""))</f>
        <v>107</v>
      </c>
      <c r="S14" s="45" t="str" cm="1">
        <f t="array" ref="S14">IF('Niv formacode'!S14="","",IFERROR(INDEX(Formacode!$C:$F,
   MATCH('Niv formacode'!$B14,Formacode!$A:$A,0),
  'Niv formacode'!S14),""))</f>
        <v/>
      </c>
      <c r="T14" s="45" t="str" cm="1">
        <f t="array" ref="T14">IF('Niv formacode'!T14="","",IFERROR(INDEX(Formacode!$C:$F,
   MATCH('Niv formacode'!$B14,Formacode!$A:$A,0),
  'Niv formacode'!T14),""))</f>
        <v/>
      </c>
      <c r="U14" s="45" t="str" cm="1">
        <f t="array" ref="U14">IF('Niv formacode'!U14="","",IFERROR(INDEX(Formacode!$C:$F,
   MATCH('Niv formacode'!$B14,Formacode!$A:$A,0),
  'Niv formacode'!U14),""))</f>
        <v/>
      </c>
      <c r="V14" s="45" t="str" cm="1">
        <f t="array" ref="V14">IF('Niv formacode'!V14="","",IFERROR(INDEX(Formacode!$C:$F,
   MATCH('Niv formacode'!$B14,Formacode!$A:$A,0),
  'Niv formacode'!V14),""))</f>
        <v/>
      </c>
      <c r="W14" s="45" t="str" cm="1">
        <f t="array" ref="W14">IF('Niv formacode'!W14="","",IFERROR(INDEX(Formacode!$C:$F,
   MATCH('Niv formacode'!$B14,Formacode!$A:$A,0),
  'Niv formacode'!W14),""))</f>
        <v/>
      </c>
      <c r="X14" s="45" t="str" cm="1">
        <f t="array" ref="X14">IF('Niv formacode'!X14="","",IFERROR(INDEX(Formacode!$C:$F,
   MATCH('Niv formacode'!$B14,Formacode!$A:$A,0),
  'Niv formacode'!X14),""))</f>
        <v/>
      </c>
      <c r="Y14" s="45" t="str" cm="1">
        <f t="array" ref="Y14">IF('Niv formacode'!Y14="","",IFERROR(INDEX(Formacode!$C:$F,
   MATCH('Niv formacode'!$B14,Formacode!$A:$A,0),
  'Niv formacode'!Y14),""))</f>
        <v/>
      </c>
      <c r="Z14" s="45" t="str" cm="1">
        <f t="array" ref="Z14">IF('Niv formacode'!Z14="","",IFERROR(INDEX(Formacode!$C:$F,
   MATCH('Niv formacode'!$B14,Formacode!$A:$A,0),
  'Niv formacode'!Z14),""))</f>
        <v/>
      </c>
      <c r="AA14" s="45" t="str" cm="1">
        <f t="array" ref="AA14">IF('Niv formacode'!AA14="","",IFERROR(INDEX(Formacode!$C:$F,
   MATCH('Niv formacode'!$B14,Formacode!$A:$A,0),
  'Niv formacode'!AA14),""))</f>
        <v/>
      </c>
      <c r="AB14" s="45" t="str" cm="1">
        <f t="array" ref="AB14">IF('Niv formacode'!AB14="","",IFERROR(INDEX(Formacode!$C:$F,
   MATCH('Niv formacode'!$B14,Formacode!$A:$A,0),
  'Niv formacode'!AB14),""))</f>
        <v/>
      </c>
      <c r="AC14" s="45" t="str" cm="1">
        <f t="array" ref="AC14">IF('Niv formacode'!AC14="","",IFERROR(INDEX(Formacode!$C:$F,
   MATCH('Niv formacode'!$B14,Formacode!$A:$A,0),
  'Niv formacode'!AC14),""))</f>
        <v/>
      </c>
      <c r="AD14" s="45" t="str" cm="1">
        <f t="array" ref="AD14">IF('Niv formacode'!AD14="","",IFERROR(INDEX(Formacode!$C:$F,
   MATCH('Niv formacode'!$B14,Formacode!$A:$A,0),
  'Niv formacode'!AD14),""))</f>
        <v/>
      </c>
      <c r="AE14" s="45" t="str" cm="1">
        <f t="array" ref="AE14">IF('Niv formacode'!AE14="","",IFERROR(INDEX(Formacode!$C:$F,
   MATCH('Niv formacode'!$B14,Formacode!$A:$A,0),
  'Niv formacode'!AE14),""))</f>
        <v/>
      </c>
    </row>
    <row r="15" spans="1:48">
      <c r="A15" s="55" t="str">
        <f>_xlfn.XLOOKUP(B15,Formacode!A:A,Formacode!B:B,0,1)</f>
        <v>Entretien mecanique</v>
      </c>
      <c r="B15" s="55" cm="1">
        <f t="array" ref="B15">IFERROR(INDEX('Niv formacode'!$B:$B,SMALL(IF('Niv formacode'!$B:$B&lt;&gt;"",ROW('Niv formacode'!$B:$B)),ROW(B14))),"")</f>
        <v>23684</v>
      </c>
      <c r="C15" s="45" t="str" cm="1">
        <f t="array" ref="C15">IF('Niv formacode'!C15="","",IFERROR(INDEX(Formacode!$C:$F,
   MATCH('Niv formacode'!$B15,Formacode!$A:$A,0),
  'Niv formacode'!C15),""))</f>
        <v/>
      </c>
      <c r="D15" s="45" cm="1">
        <f t="array" ref="D15">IF('Niv formacode'!D15="","",IFERROR(INDEX(Formacode!$C:$F,
   MATCH('Niv formacode'!$B15,Formacode!$A:$A,0),
  'Niv formacode'!D15),""))</f>
        <v>144</v>
      </c>
      <c r="E15" s="45" t="str" cm="1">
        <f t="array" ref="E15">IF('Niv formacode'!E15="","",IFERROR(INDEX(Formacode!$C:$F,
   MATCH('Niv formacode'!$B15,Formacode!$A:$A,0),
  'Niv formacode'!E15),""))</f>
        <v/>
      </c>
      <c r="F15" s="45" t="str" cm="1">
        <f t="array" ref="F15">IF('Niv formacode'!F15="","",IFERROR(INDEX(Formacode!$C:$F,
   MATCH('Niv formacode'!$B15,Formacode!$A:$A,0),
  'Niv formacode'!F15),""))</f>
        <v/>
      </c>
      <c r="G15" s="45" cm="1">
        <f t="array" ref="G15">IF('Niv formacode'!G15="","",IFERROR(INDEX(Formacode!$C:$F,
   MATCH('Niv formacode'!$B15,Formacode!$A:$A,0),
  'Niv formacode'!G15),""))</f>
        <v>144</v>
      </c>
      <c r="H15" s="45" t="str" cm="1">
        <f t="array" ref="H15">IF('Niv formacode'!H15="","",IFERROR(INDEX(Formacode!$C:$F,
   MATCH('Niv formacode'!$B15,Formacode!$A:$A,0),
  'Niv formacode'!H15),""))</f>
        <v/>
      </c>
      <c r="I15" s="45" t="str" cm="1">
        <f t="array" ref="I15">IF('Niv formacode'!I15="","",IFERROR(INDEX(Formacode!$C:$F,
   MATCH('Niv formacode'!$B15,Formacode!$A:$A,0),
  'Niv formacode'!I15),""))</f>
        <v/>
      </c>
      <c r="J15" s="45" t="str" cm="1">
        <f t="array" ref="J15">IF('Niv formacode'!J15="","",IFERROR(INDEX(Formacode!$C:$F,
   MATCH('Niv formacode'!$B15,Formacode!$A:$A,0),
  'Niv formacode'!J15),""))</f>
        <v/>
      </c>
      <c r="K15" s="45" t="str" cm="1">
        <f t="array" ref="K15">IF('Niv formacode'!K15="","",IFERROR(INDEX(Formacode!$C:$F,
   MATCH('Niv formacode'!$B15,Formacode!$A:$A,0),
  'Niv formacode'!K15),""))</f>
        <v/>
      </c>
      <c r="L15" s="45" t="str" cm="1">
        <f t="array" ref="L15">IF('Niv formacode'!L15="","",IFERROR(INDEX(Formacode!$C:$F,
   MATCH('Niv formacode'!$B15,Formacode!$A:$A,0),
  'Niv formacode'!L15),""))</f>
        <v/>
      </c>
      <c r="M15" s="45" t="str" cm="1">
        <f t="array" ref="M15">IF('Niv formacode'!M15="","",IFERROR(INDEX(Formacode!$C:$F,
   MATCH('Niv formacode'!$B15,Formacode!$A:$A,0),
  'Niv formacode'!M15),""))</f>
        <v/>
      </c>
      <c r="N15" s="45" cm="1">
        <f t="array" ref="N15">IF('Niv formacode'!N15="","",IFERROR(INDEX(Formacode!$C:$F,
   MATCH('Niv formacode'!$B15,Formacode!$A:$A,0),
  'Niv formacode'!N15),""))</f>
        <v>354</v>
      </c>
      <c r="O15" s="45" t="str" cm="1">
        <f t="array" ref="O15">IF('Niv formacode'!O15="","",IFERROR(INDEX(Formacode!$C:$F,
   MATCH('Niv formacode'!$B15,Formacode!$A:$A,0),
  'Niv formacode'!O15),""))</f>
        <v/>
      </c>
      <c r="P15" s="45" t="str" cm="1">
        <f t="array" ref="P15">IF('Niv formacode'!P15="","",IFERROR(INDEX(Formacode!$C:$F,
   MATCH('Niv formacode'!$B15,Formacode!$A:$A,0),
  'Niv formacode'!P15),""))</f>
        <v/>
      </c>
      <c r="Q15" s="45" cm="1">
        <f t="array" ref="Q15">IF('Niv formacode'!Q15="","",IFERROR(INDEX(Formacode!$C:$F,
   MATCH('Niv formacode'!$B15,Formacode!$A:$A,0),
  'Niv formacode'!Q15),""))</f>
        <v>144</v>
      </c>
      <c r="R15" s="45" t="str" cm="1">
        <f t="array" ref="R15">IF('Niv formacode'!R15="","",IFERROR(INDEX(Formacode!$C:$F,
   MATCH('Niv formacode'!$B15,Formacode!$A:$A,0),
  'Niv formacode'!R15),""))</f>
        <v/>
      </c>
      <c r="S15" s="45" t="str" cm="1">
        <f t="array" ref="S15">IF('Niv formacode'!S15="","",IFERROR(INDEX(Formacode!$C:$F,
   MATCH('Niv formacode'!$B15,Formacode!$A:$A,0),
  'Niv formacode'!S15),""))</f>
        <v/>
      </c>
      <c r="T15" s="45" t="str" cm="1">
        <f t="array" ref="T15">IF('Niv formacode'!T15="","",IFERROR(INDEX(Formacode!$C:$F,
   MATCH('Niv formacode'!$B15,Formacode!$A:$A,0),
  'Niv formacode'!T15),""))</f>
        <v/>
      </c>
      <c r="U15" s="45" cm="1">
        <f t="array" ref="U15">IF('Niv formacode'!U15="","",IFERROR(INDEX(Formacode!$C:$F,
   MATCH('Niv formacode'!$B15,Formacode!$A:$A,0),
  'Niv formacode'!U15),""))</f>
        <v>144</v>
      </c>
      <c r="V15" s="45" t="str" cm="1">
        <f t="array" ref="V15">IF('Niv formacode'!V15="","",IFERROR(INDEX(Formacode!$C:$F,
   MATCH('Niv formacode'!$B15,Formacode!$A:$A,0),
  'Niv formacode'!V15),""))</f>
        <v/>
      </c>
      <c r="W15" s="45" cm="1">
        <f t="array" ref="W15">IF('Niv formacode'!W15="","",IFERROR(INDEX(Formacode!$C:$F,
   MATCH('Niv formacode'!$B15,Formacode!$A:$A,0),
  'Niv formacode'!W15),""))</f>
        <v>144</v>
      </c>
      <c r="X15" s="45" cm="1">
        <f t="array" ref="X15">IF('Niv formacode'!X15="","",IFERROR(INDEX(Formacode!$C:$F,
   MATCH('Niv formacode'!$B15,Formacode!$A:$A,0),
  'Niv formacode'!X15),""))</f>
        <v>144</v>
      </c>
      <c r="Y15" s="45" t="str" cm="1">
        <f t="array" ref="Y15">IF('Niv formacode'!Y15="","",IFERROR(INDEX(Formacode!$C:$F,
   MATCH('Niv formacode'!$B15,Formacode!$A:$A,0),
  'Niv formacode'!Y15),""))</f>
        <v/>
      </c>
      <c r="Z15" s="45" t="str" cm="1">
        <f t="array" ref="Z15">IF('Niv formacode'!Z15="","",IFERROR(INDEX(Formacode!$C:$F,
   MATCH('Niv formacode'!$B15,Formacode!$A:$A,0),
  'Niv formacode'!Z15),""))</f>
        <v/>
      </c>
      <c r="AA15" s="45" t="str" cm="1">
        <f t="array" ref="AA15">IF('Niv formacode'!AA15="","",IFERROR(INDEX(Formacode!$C:$F,
   MATCH('Niv formacode'!$B15,Formacode!$A:$A,0),
  'Niv formacode'!AA15),""))</f>
        <v/>
      </c>
      <c r="AB15" s="45" t="str" cm="1">
        <f t="array" ref="AB15">IF('Niv formacode'!AB15="","",IFERROR(INDEX(Formacode!$C:$F,
   MATCH('Niv formacode'!$B15,Formacode!$A:$A,0),
  'Niv formacode'!AB15),""))</f>
        <v/>
      </c>
      <c r="AC15" s="45" cm="1">
        <f t="array" ref="AC15">IF('Niv formacode'!AC15="","",IFERROR(INDEX(Formacode!$C:$F,
   MATCH('Niv formacode'!$B15,Formacode!$A:$A,0),
  'Niv formacode'!AC15),""))</f>
        <v>616</v>
      </c>
      <c r="AD15" s="45" cm="1">
        <f t="array" ref="AD15">IF('Niv formacode'!AD15="","",IFERROR(INDEX(Formacode!$C:$F,
   MATCH('Niv formacode'!$B15,Formacode!$A:$A,0),
  'Niv formacode'!AD15),""))</f>
        <v>616</v>
      </c>
      <c r="AE15" s="45" cm="1">
        <f t="array" ref="AE15">IF('Niv formacode'!AE15="","",IFERROR(INDEX(Formacode!$C:$F,
   MATCH('Niv formacode'!$B15,Formacode!$A:$A,0),
  'Niv formacode'!AE15),""))</f>
        <v>354</v>
      </c>
    </row>
    <row r="16" spans="1:48">
      <c r="A16" s="55" t="str">
        <f>_xlfn.XLOOKUP(B16,Formacode!A:A,Formacode!B:B,0,1)</f>
        <v>Gestion stock</v>
      </c>
      <c r="B16" s="55" cm="1">
        <f t="array" ref="B16">IFERROR(INDEX('Niv formacode'!$B:$B,SMALL(IF('Niv formacode'!$B:$B&lt;&gt;"",ROW('Niv formacode'!$B:$B)),ROW(B15))),"")</f>
        <v>31663</v>
      </c>
      <c r="C16" s="45" t="str" cm="1">
        <f t="array" ref="C16">IF('Niv formacode'!C16="","",IFERROR(INDEX(Formacode!$C:$F,
   MATCH('Niv formacode'!$B16,Formacode!$A:$A,0),
  'Niv formacode'!C16),""))</f>
        <v/>
      </c>
      <c r="D16" s="45" t="str" cm="1">
        <f t="array" ref="D16">IF('Niv formacode'!D16="","",IFERROR(INDEX(Formacode!$C:$F,
   MATCH('Niv formacode'!$B16,Formacode!$A:$A,0),
  'Niv formacode'!D16),""))</f>
        <v/>
      </c>
      <c r="E16" s="45" cm="1">
        <f t="array" ref="E16">IF('Niv formacode'!E16="","",IFERROR(INDEX(Formacode!$C:$F,
   MATCH('Niv formacode'!$B16,Formacode!$A:$A,0),
  'Niv formacode'!E16),""))</f>
        <v>110</v>
      </c>
      <c r="F16" s="45" cm="1">
        <f t="array" ref="F16">IF('Niv formacode'!F16="","",IFERROR(INDEX(Formacode!$C:$F,
   MATCH('Niv formacode'!$B16,Formacode!$A:$A,0),
  'Niv formacode'!F16),""))</f>
        <v>395</v>
      </c>
      <c r="G16" s="45" t="str" cm="1">
        <f t="array" ref="G16">IF('Niv formacode'!G16="","",IFERROR(INDEX(Formacode!$C:$F,
   MATCH('Niv formacode'!$B16,Formacode!$A:$A,0),
  'Niv formacode'!G16),""))</f>
        <v/>
      </c>
      <c r="H16" s="45" t="str" cm="1">
        <f t="array" ref="H16">IF('Niv formacode'!H16="","",IFERROR(INDEX(Formacode!$C:$F,
   MATCH('Niv formacode'!$B16,Formacode!$A:$A,0),
  'Niv formacode'!H16),""))</f>
        <v/>
      </c>
      <c r="I16" s="45" t="str" cm="1">
        <f t="array" ref="I16">IF('Niv formacode'!I16="","",IFERROR(INDEX(Formacode!$C:$F,
   MATCH('Niv formacode'!$B16,Formacode!$A:$A,0),
  'Niv formacode'!I16),""))</f>
        <v/>
      </c>
      <c r="J16" s="45" cm="1">
        <f t="array" ref="J16">IF('Niv formacode'!J16="","",IFERROR(INDEX(Formacode!$C:$F,
   MATCH('Niv formacode'!$B16,Formacode!$A:$A,0),
  'Niv formacode'!J16),""))</f>
        <v>110</v>
      </c>
      <c r="K16" s="45" cm="1">
        <f t="array" ref="K16">IF('Niv formacode'!K16="","",IFERROR(INDEX(Formacode!$C:$F,
   MATCH('Niv formacode'!$B16,Formacode!$A:$A,0),
  'Niv formacode'!K16),""))</f>
        <v>395</v>
      </c>
      <c r="L16" s="45" t="str" cm="1">
        <f t="array" ref="L16">IF('Niv formacode'!L16="","",IFERROR(INDEX(Formacode!$C:$F,
   MATCH('Niv formacode'!$B16,Formacode!$A:$A,0),
  'Niv formacode'!L16),""))</f>
        <v/>
      </c>
      <c r="M16" s="45" t="str" cm="1">
        <f t="array" ref="M16">IF('Niv formacode'!M16="","",IFERROR(INDEX(Formacode!$C:$F,
   MATCH('Niv formacode'!$B16,Formacode!$A:$A,0),
  'Niv formacode'!M16),""))</f>
        <v/>
      </c>
      <c r="N16" s="45" t="str" cm="1">
        <f t="array" ref="N16">IF('Niv formacode'!N16="","",IFERROR(INDEX(Formacode!$C:$F,
   MATCH('Niv formacode'!$B16,Formacode!$A:$A,0),
  'Niv formacode'!N16),""))</f>
        <v/>
      </c>
      <c r="O16" s="45" t="str" cm="1">
        <f t="array" ref="O16">IF('Niv formacode'!O16="","",IFERROR(INDEX(Formacode!$C:$F,
   MATCH('Niv formacode'!$B16,Formacode!$A:$A,0),
  'Niv formacode'!O16),""))</f>
        <v/>
      </c>
      <c r="P16" s="45" t="str" cm="1">
        <f t="array" ref="P16">IF('Niv formacode'!P16="","",IFERROR(INDEX(Formacode!$C:$F,
   MATCH('Niv formacode'!$B16,Formacode!$A:$A,0),
  'Niv formacode'!P16),""))</f>
        <v/>
      </c>
      <c r="Q16" s="45" t="str" cm="1">
        <f t="array" ref="Q16">IF('Niv formacode'!Q16="","",IFERROR(INDEX(Formacode!$C:$F,
   MATCH('Niv formacode'!$B16,Formacode!$A:$A,0),
  'Niv formacode'!Q16),""))</f>
        <v/>
      </c>
      <c r="R16" s="45" t="str" cm="1">
        <f t="array" ref="R16">IF('Niv formacode'!R16="","",IFERROR(INDEX(Formacode!$C:$F,
   MATCH('Niv formacode'!$B16,Formacode!$A:$A,0),
  'Niv formacode'!R16),""))</f>
        <v/>
      </c>
      <c r="S16" s="45" t="str" cm="1">
        <f t="array" ref="S16">IF('Niv formacode'!S16="","",IFERROR(INDEX(Formacode!$C:$F,
   MATCH('Niv formacode'!$B16,Formacode!$A:$A,0),
  'Niv formacode'!S16),""))</f>
        <v/>
      </c>
      <c r="T16" s="45" t="str" cm="1">
        <f t="array" ref="T16">IF('Niv formacode'!T16="","",IFERROR(INDEX(Formacode!$C:$F,
   MATCH('Niv formacode'!$B16,Formacode!$A:$A,0),
  'Niv formacode'!T16),""))</f>
        <v/>
      </c>
      <c r="U16" s="45" t="str" cm="1">
        <f t="array" ref="U16">IF('Niv formacode'!U16="","",IFERROR(INDEX(Formacode!$C:$F,
   MATCH('Niv formacode'!$B16,Formacode!$A:$A,0),
  'Niv formacode'!U16),""))</f>
        <v/>
      </c>
      <c r="V16" s="45" t="str" cm="1">
        <f t="array" ref="V16">IF('Niv formacode'!V16="","",IFERROR(INDEX(Formacode!$C:$F,
   MATCH('Niv formacode'!$B16,Formacode!$A:$A,0),
  'Niv formacode'!V16),""))</f>
        <v/>
      </c>
      <c r="W16" s="45" t="str" cm="1">
        <f t="array" ref="W16">IF('Niv formacode'!W16="","",IFERROR(INDEX(Formacode!$C:$F,
   MATCH('Niv formacode'!$B16,Formacode!$A:$A,0),
  'Niv formacode'!W16),""))</f>
        <v/>
      </c>
      <c r="X16" s="45" t="str" cm="1">
        <f t="array" ref="X16">IF('Niv formacode'!X16="","",IFERROR(INDEX(Formacode!$C:$F,
   MATCH('Niv formacode'!$B16,Formacode!$A:$A,0),
  'Niv formacode'!X16),""))</f>
        <v/>
      </c>
      <c r="Y16" s="45" cm="1">
        <f t="array" ref="Y16">IF('Niv formacode'!Y16="","",IFERROR(INDEX(Formacode!$C:$F,
   MATCH('Niv formacode'!$B16,Formacode!$A:$A,0),
  'Niv formacode'!Y16),""))</f>
        <v>633</v>
      </c>
      <c r="Z16" s="45" t="str" cm="1">
        <f t="array" ref="Z16">IF('Niv formacode'!Z16="","",IFERROR(INDEX(Formacode!$C:$F,
   MATCH('Niv formacode'!$B16,Formacode!$A:$A,0),
  'Niv formacode'!Z16),""))</f>
        <v/>
      </c>
      <c r="AA16" s="45" t="str" cm="1">
        <f t="array" ref="AA16">IF('Niv formacode'!AA16="","",IFERROR(INDEX(Formacode!$C:$F,
   MATCH('Niv formacode'!$B16,Formacode!$A:$A,0),
  'Niv formacode'!AA16),""))</f>
        <v/>
      </c>
      <c r="AB16" s="45" t="str" cm="1">
        <f t="array" ref="AB16">IF('Niv formacode'!AB16="","",IFERROR(INDEX(Formacode!$C:$F,
   MATCH('Niv formacode'!$B16,Formacode!$A:$A,0),
  'Niv formacode'!AB16),""))</f>
        <v/>
      </c>
      <c r="AC16" s="45" t="str" cm="1">
        <f t="array" ref="AC16">IF('Niv formacode'!AC16="","",IFERROR(INDEX(Formacode!$C:$F,
   MATCH('Niv formacode'!$B16,Formacode!$A:$A,0),
  'Niv formacode'!AC16),""))</f>
        <v/>
      </c>
      <c r="AD16" s="45" t="str" cm="1">
        <f t="array" ref="AD16">IF('Niv formacode'!AD16="","",IFERROR(INDEX(Formacode!$C:$F,
   MATCH('Niv formacode'!$B16,Formacode!$A:$A,0),
  'Niv formacode'!AD16),""))</f>
        <v/>
      </c>
      <c r="AE16" s="45" t="str" cm="1">
        <f t="array" ref="AE16">IF('Niv formacode'!AE16="","",IFERROR(INDEX(Formacode!$C:$F,
   MATCH('Niv formacode'!$B16,Formacode!$A:$A,0),
  'Niv formacode'!AE16),""))</f>
        <v/>
      </c>
    </row>
    <row r="17" spans="1:31">
      <c r="A17" s="55" t="str">
        <f>_xlfn.XLOOKUP(B17,Formacode!A:A,Formacode!B:B,0,1)</f>
        <v>Entreposage stockage</v>
      </c>
      <c r="B17" s="55" cm="1">
        <f t="array" ref="B17">IFERROR(INDEX('Niv formacode'!$B:$B,SMALL(IF('Niv formacode'!$B:$B&lt;&gt;"",ROW('Niv formacode'!$B:$B)),ROW(B16))),"")</f>
        <v>31721</v>
      </c>
      <c r="C17" s="45" t="str" cm="1">
        <f t="array" ref="C17">IF('Niv formacode'!C17="","",IFERROR(INDEX(Formacode!$C:$F,
   MATCH('Niv formacode'!$B17,Formacode!$A:$A,0),
  'Niv formacode'!C17),""))</f>
        <v/>
      </c>
      <c r="D17" s="45" t="str" cm="1">
        <f t="array" ref="D17">IF('Niv formacode'!D17="","",IFERROR(INDEX(Formacode!$C:$F,
   MATCH('Niv formacode'!$B17,Formacode!$A:$A,0),
  'Niv formacode'!D17),""))</f>
        <v/>
      </c>
      <c r="E17" s="45" cm="1">
        <f t="array" ref="E17">IF('Niv formacode'!E17="","",IFERROR(INDEX(Formacode!$C:$F,
   MATCH('Niv formacode'!$B17,Formacode!$A:$A,0),
  'Niv formacode'!E17),""))</f>
        <v>429</v>
      </c>
      <c r="F17" s="45" cm="1">
        <f t="array" ref="F17">IF('Niv formacode'!F17="","",IFERROR(INDEX(Formacode!$C:$F,
   MATCH('Niv formacode'!$B17,Formacode!$A:$A,0),
  'Niv formacode'!F17),""))</f>
        <v>663</v>
      </c>
      <c r="G17" s="45" t="str" cm="1">
        <f t="array" ref="G17">IF('Niv formacode'!G17="","",IFERROR(INDEX(Formacode!$C:$F,
   MATCH('Niv formacode'!$B17,Formacode!$A:$A,0),
  'Niv formacode'!G17),""))</f>
        <v/>
      </c>
      <c r="H17" s="45" t="str" cm="1">
        <f t="array" ref="H17">IF('Niv formacode'!H17="","",IFERROR(INDEX(Formacode!$C:$F,
   MATCH('Niv formacode'!$B17,Formacode!$A:$A,0),
  'Niv formacode'!H17),""))</f>
        <v/>
      </c>
      <c r="I17" s="45" t="str" cm="1">
        <f t="array" ref="I17">IF('Niv formacode'!I17="","",IFERROR(INDEX(Formacode!$C:$F,
   MATCH('Niv formacode'!$B17,Formacode!$A:$A,0),
  'Niv formacode'!I17),""))</f>
        <v/>
      </c>
      <c r="J17" s="45" cm="1">
        <f t="array" ref="J17">IF('Niv formacode'!J17="","",IFERROR(INDEX(Formacode!$C:$F,
   MATCH('Niv formacode'!$B17,Formacode!$A:$A,0),
  'Niv formacode'!J17),""))</f>
        <v>429</v>
      </c>
      <c r="K17" s="45" t="str" cm="1">
        <f t="array" ref="K17">IF('Niv formacode'!K17="","",IFERROR(INDEX(Formacode!$C:$F,
   MATCH('Niv formacode'!$B17,Formacode!$A:$A,0),
  'Niv formacode'!K17),""))</f>
        <v/>
      </c>
      <c r="L17" s="45" t="str" cm="1">
        <f t="array" ref="L17">IF('Niv formacode'!L17="","",IFERROR(INDEX(Formacode!$C:$F,
   MATCH('Niv formacode'!$B17,Formacode!$A:$A,0),
  'Niv formacode'!L17),""))</f>
        <v/>
      </c>
      <c r="M17" s="45" t="str" cm="1">
        <f t="array" ref="M17">IF('Niv formacode'!M17="","",IFERROR(INDEX(Formacode!$C:$F,
   MATCH('Niv formacode'!$B17,Formacode!$A:$A,0),
  'Niv formacode'!M17),""))</f>
        <v/>
      </c>
      <c r="N17" s="45" t="str" cm="1">
        <f t="array" ref="N17">IF('Niv formacode'!N17="","",IFERROR(INDEX(Formacode!$C:$F,
   MATCH('Niv formacode'!$B17,Formacode!$A:$A,0),
  'Niv formacode'!N17),""))</f>
        <v/>
      </c>
      <c r="O17" s="45" t="str" cm="1">
        <f t="array" ref="O17">IF('Niv formacode'!O17="","",IFERROR(INDEX(Formacode!$C:$F,
   MATCH('Niv formacode'!$B17,Formacode!$A:$A,0),
  'Niv formacode'!O17),""))</f>
        <v/>
      </c>
      <c r="P17" s="45" t="str" cm="1">
        <f t="array" ref="P17">IF('Niv formacode'!P17="","",IFERROR(INDEX(Formacode!$C:$F,
   MATCH('Niv formacode'!$B17,Formacode!$A:$A,0),
  'Niv formacode'!P17),""))</f>
        <v/>
      </c>
      <c r="Q17" s="45" t="str" cm="1">
        <f t="array" ref="Q17">IF('Niv formacode'!Q17="","",IFERROR(INDEX(Formacode!$C:$F,
   MATCH('Niv formacode'!$B17,Formacode!$A:$A,0),
  'Niv formacode'!Q17),""))</f>
        <v/>
      </c>
      <c r="R17" s="45" t="str" cm="1">
        <f t="array" ref="R17">IF('Niv formacode'!R17="","",IFERROR(INDEX(Formacode!$C:$F,
   MATCH('Niv formacode'!$B17,Formacode!$A:$A,0),
  'Niv formacode'!R17),""))</f>
        <v/>
      </c>
      <c r="S17" s="45" t="str" cm="1">
        <f t="array" ref="S17">IF('Niv formacode'!S17="","",IFERROR(INDEX(Formacode!$C:$F,
   MATCH('Niv formacode'!$B17,Formacode!$A:$A,0),
  'Niv formacode'!S17),""))</f>
        <v/>
      </c>
      <c r="T17" s="45" t="str" cm="1">
        <f t="array" ref="T17">IF('Niv formacode'!T17="","",IFERROR(INDEX(Formacode!$C:$F,
   MATCH('Niv formacode'!$B17,Formacode!$A:$A,0),
  'Niv formacode'!T17),""))</f>
        <v/>
      </c>
      <c r="U17" s="45" t="str" cm="1">
        <f t="array" ref="U17">IF('Niv formacode'!U17="","",IFERROR(INDEX(Formacode!$C:$F,
   MATCH('Niv formacode'!$B17,Formacode!$A:$A,0),
  'Niv formacode'!U17),""))</f>
        <v/>
      </c>
      <c r="V17" s="45" t="str" cm="1">
        <f t="array" ref="V17">IF('Niv formacode'!V17="","",IFERROR(INDEX(Formacode!$C:$F,
   MATCH('Niv formacode'!$B17,Formacode!$A:$A,0),
  'Niv formacode'!V17),""))</f>
        <v/>
      </c>
      <c r="W17" s="45" t="str" cm="1">
        <f t="array" ref="W17">IF('Niv formacode'!W17="","",IFERROR(INDEX(Formacode!$C:$F,
   MATCH('Niv formacode'!$B17,Formacode!$A:$A,0),
  'Niv formacode'!W17),""))</f>
        <v/>
      </c>
      <c r="X17" s="45" t="str" cm="1">
        <f t="array" ref="X17">IF('Niv formacode'!X17="","",IFERROR(INDEX(Formacode!$C:$F,
   MATCH('Niv formacode'!$B17,Formacode!$A:$A,0),
  'Niv formacode'!X17),""))</f>
        <v/>
      </c>
      <c r="Y17" s="45" cm="1">
        <f t="array" ref="Y17">IF('Niv formacode'!Y17="","",IFERROR(INDEX(Formacode!$C:$F,
   MATCH('Niv formacode'!$B17,Formacode!$A:$A,0),
  'Niv formacode'!Y17),""))</f>
        <v>663</v>
      </c>
      <c r="Z17" s="45" t="str" cm="1">
        <f t="array" ref="Z17">IF('Niv formacode'!Z17="","",IFERROR(INDEX(Formacode!$C:$F,
   MATCH('Niv formacode'!$B17,Formacode!$A:$A,0),
  'Niv formacode'!Z17),""))</f>
        <v/>
      </c>
      <c r="AA17" s="45" t="str" cm="1">
        <f t="array" ref="AA17">IF('Niv formacode'!AA17="","",IFERROR(INDEX(Formacode!$C:$F,
   MATCH('Niv formacode'!$B17,Formacode!$A:$A,0),
  'Niv formacode'!AA17),""))</f>
        <v/>
      </c>
      <c r="AB17" s="45" t="str" cm="1">
        <f t="array" ref="AB17">IF('Niv formacode'!AB17="","",IFERROR(INDEX(Formacode!$C:$F,
   MATCH('Niv formacode'!$B17,Formacode!$A:$A,0),
  'Niv formacode'!AB17),""))</f>
        <v/>
      </c>
      <c r="AC17" s="45" t="str" cm="1">
        <f t="array" ref="AC17">IF('Niv formacode'!AC17="","",IFERROR(INDEX(Formacode!$C:$F,
   MATCH('Niv formacode'!$B17,Formacode!$A:$A,0),
  'Niv formacode'!AC17),""))</f>
        <v/>
      </c>
      <c r="AD17" s="45" t="str" cm="1">
        <f t="array" ref="AD17">IF('Niv formacode'!AD17="","",IFERROR(INDEX(Formacode!$C:$F,
   MATCH('Niv formacode'!$B17,Formacode!$A:$A,0),
  'Niv formacode'!AD17),""))</f>
        <v/>
      </c>
      <c r="AE17" s="45" t="str" cm="1">
        <f t="array" ref="AE17">IF('Niv formacode'!AE17="","",IFERROR(INDEX(Formacode!$C:$F,
   MATCH('Niv formacode'!$B17,Formacode!$A:$A,0),
  'Niv formacode'!AE17),""))</f>
        <v/>
      </c>
    </row>
    <row r="18" spans="1:31">
      <c r="A18" s="55" t="str">
        <f>_xlfn.XLOOKUP(B18,Formacode!A:A,Formacode!B:B,0,1)</f>
        <v>Chariot automoteur</v>
      </c>
      <c r="B18" s="55" cm="1">
        <f t="array" ref="B18">IFERROR(INDEX('Niv formacode'!$B:$B,SMALL(IF('Niv formacode'!$B:$B&lt;&gt;"",ROW('Niv formacode'!$B:$B)),ROW(B17))),"")</f>
        <v>31768</v>
      </c>
      <c r="C18" s="45" t="str" cm="1">
        <f t="array" ref="C18">IF('Niv formacode'!C18="","",IFERROR(INDEX(Formacode!$C:$F,
   MATCH('Niv formacode'!$B18,Formacode!$A:$A,0),
  'Niv formacode'!C18),""))</f>
        <v/>
      </c>
      <c r="D18" s="45" t="str" cm="1">
        <f t="array" ref="D18">IF('Niv formacode'!D18="","",IFERROR(INDEX(Formacode!$C:$F,
   MATCH('Niv formacode'!$B18,Formacode!$A:$A,0),
  'Niv formacode'!D18),""))</f>
        <v/>
      </c>
      <c r="E18" s="45" cm="1">
        <f t="array" ref="E18">IF('Niv formacode'!E18="","",IFERROR(INDEX(Formacode!$C:$F,
   MATCH('Niv formacode'!$B18,Formacode!$A:$A,0),
  'Niv formacode'!E18),""))</f>
        <v>182</v>
      </c>
      <c r="F18" s="45" t="str" cm="1">
        <f t="array" ref="F18">IF('Niv formacode'!F18="","",IFERROR(INDEX(Formacode!$C:$F,
   MATCH('Niv formacode'!$B18,Formacode!$A:$A,0),
  'Niv formacode'!F18),""))</f>
        <v/>
      </c>
      <c r="G18" s="45" t="str" cm="1">
        <f t="array" ref="G18">IF('Niv formacode'!G18="","",IFERROR(INDEX(Formacode!$C:$F,
   MATCH('Niv formacode'!$B18,Formacode!$A:$A,0),
  'Niv formacode'!G18),""))</f>
        <v/>
      </c>
      <c r="H18" s="45" t="str" cm="1">
        <f t="array" ref="H18">IF('Niv formacode'!H18="","",IFERROR(INDEX(Formacode!$C:$F,
   MATCH('Niv formacode'!$B18,Formacode!$A:$A,0),
  'Niv formacode'!H18),""))</f>
        <v/>
      </c>
      <c r="I18" s="45" t="str" cm="1">
        <f t="array" ref="I18">IF('Niv formacode'!I18="","",IFERROR(INDEX(Formacode!$C:$F,
   MATCH('Niv formacode'!$B18,Formacode!$A:$A,0),
  'Niv formacode'!I18),""))</f>
        <v/>
      </c>
      <c r="J18" s="45" cm="1">
        <f t="array" ref="J18">IF('Niv formacode'!J18="","",IFERROR(INDEX(Formacode!$C:$F,
   MATCH('Niv formacode'!$B18,Formacode!$A:$A,0),
  'Niv formacode'!J18),""))</f>
        <v>182</v>
      </c>
      <c r="K18" s="45" t="str" cm="1">
        <f t="array" ref="K18">IF('Niv formacode'!K18="","",IFERROR(INDEX(Formacode!$C:$F,
   MATCH('Niv formacode'!$B18,Formacode!$A:$A,0),
  'Niv formacode'!K18),""))</f>
        <v/>
      </c>
      <c r="L18" s="45" t="str" cm="1">
        <f t="array" ref="L18">IF('Niv formacode'!L18="","",IFERROR(INDEX(Formacode!$C:$F,
   MATCH('Niv formacode'!$B18,Formacode!$A:$A,0),
  'Niv formacode'!L18),""))</f>
        <v/>
      </c>
      <c r="M18" s="45" t="str" cm="1">
        <f t="array" ref="M18">IF('Niv formacode'!M18="","",IFERROR(INDEX(Formacode!$C:$F,
   MATCH('Niv formacode'!$B18,Formacode!$A:$A,0),
  'Niv formacode'!M18),""))</f>
        <v/>
      </c>
      <c r="N18" s="45" t="str" cm="1">
        <f t="array" ref="N18">IF('Niv formacode'!N18="","",IFERROR(INDEX(Formacode!$C:$F,
   MATCH('Niv formacode'!$B18,Formacode!$A:$A,0),
  'Niv formacode'!N18),""))</f>
        <v/>
      </c>
      <c r="O18" s="45" t="str" cm="1">
        <f t="array" ref="O18">IF('Niv formacode'!O18="","",IFERROR(INDEX(Formacode!$C:$F,
   MATCH('Niv formacode'!$B18,Formacode!$A:$A,0),
  'Niv formacode'!O18),""))</f>
        <v/>
      </c>
      <c r="P18" s="45" t="str" cm="1">
        <f t="array" ref="P18">IF('Niv formacode'!P18="","",IFERROR(INDEX(Formacode!$C:$F,
   MATCH('Niv formacode'!$B18,Formacode!$A:$A,0),
  'Niv formacode'!P18),""))</f>
        <v/>
      </c>
      <c r="Q18" s="45" t="str" cm="1">
        <f t="array" ref="Q18">IF('Niv formacode'!Q18="","",IFERROR(INDEX(Formacode!$C:$F,
   MATCH('Niv formacode'!$B18,Formacode!$A:$A,0),
  'Niv formacode'!Q18),""))</f>
        <v/>
      </c>
      <c r="R18" s="45" t="str" cm="1">
        <f t="array" ref="R18">IF('Niv formacode'!R18="","",IFERROR(INDEX(Formacode!$C:$F,
   MATCH('Niv formacode'!$B18,Formacode!$A:$A,0),
  'Niv formacode'!R18),""))</f>
        <v/>
      </c>
      <c r="S18" s="45" t="str" cm="1">
        <f t="array" ref="S18">IF('Niv formacode'!S18="","",IFERROR(INDEX(Formacode!$C:$F,
   MATCH('Niv formacode'!$B18,Formacode!$A:$A,0),
  'Niv formacode'!S18),""))</f>
        <v/>
      </c>
      <c r="T18" s="45" t="str" cm="1">
        <f t="array" ref="T18">IF('Niv formacode'!T18="","",IFERROR(INDEX(Formacode!$C:$F,
   MATCH('Niv formacode'!$B18,Formacode!$A:$A,0),
  'Niv formacode'!T18),""))</f>
        <v/>
      </c>
      <c r="U18" s="45" t="str" cm="1">
        <f t="array" ref="U18">IF('Niv formacode'!U18="","",IFERROR(INDEX(Formacode!$C:$F,
   MATCH('Niv formacode'!$B18,Formacode!$A:$A,0),
  'Niv formacode'!U18),""))</f>
        <v/>
      </c>
      <c r="V18" s="45" t="str" cm="1">
        <f t="array" ref="V18">IF('Niv formacode'!V18="","",IFERROR(INDEX(Formacode!$C:$F,
   MATCH('Niv formacode'!$B18,Formacode!$A:$A,0),
  'Niv formacode'!V18),""))</f>
        <v/>
      </c>
      <c r="W18" s="45" t="str" cm="1">
        <f t="array" ref="W18">IF('Niv formacode'!W18="","",IFERROR(INDEX(Formacode!$C:$F,
   MATCH('Niv formacode'!$B18,Formacode!$A:$A,0),
  'Niv formacode'!W18),""))</f>
        <v/>
      </c>
      <c r="X18" s="45" t="str" cm="1">
        <f t="array" ref="X18">IF('Niv formacode'!X18="","",IFERROR(INDEX(Formacode!$C:$F,
   MATCH('Niv formacode'!$B18,Formacode!$A:$A,0),
  'Niv formacode'!X18),""))</f>
        <v/>
      </c>
      <c r="Y18" s="45" t="str" cm="1">
        <f t="array" ref="Y18">IF('Niv formacode'!Y18="","",IFERROR(INDEX(Formacode!$C:$F,
   MATCH('Niv formacode'!$B18,Formacode!$A:$A,0),
  'Niv formacode'!Y18),""))</f>
        <v/>
      </c>
      <c r="Z18" s="45" t="str" cm="1">
        <f t="array" ref="Z18">IF('Niv formacode'!Z18="","",IFERROR(INDEX(Formacode!$C:$F,
   MATCH('Niv formacode'!$B18,Formacode!$A:$A,0),
  'Niv formacode'!Z18),""))</f>
        <v/>
      </c>
      <c r="AA18" s="45" t="str" cm="1">
        <f t="array" ref="AA18">IF('Niv formacode'!AA18="","",IFERROR(INDEX(Formacode!$C:$F,
   MATCH('Niv formacode'!$B18,Formacode!$A:$A,0),
  'Niv formacode'!AA18),""))</f>
        <v/>
      </c>
      <c r="AB18" s="45" t="str" cm="1">
        <f t="array" ref="AB18">IF('Niv formacode'!AB18="","",IFERROR(INDEX(Formacode!$C:$F,
   MATCH('Niv formacode'!$B18,Formacode!$A:$A,0),
  'Niv formacode'!AB18),""))</f>
        <v/>
      </c>
      <c r="AC18" s="45" t="str" cm="1">
        <f t="array" ref="AC18">IF('Niv formacode'!AC18="","",IFERROR(INDEX(Formacode!$C:$F,
   MATCH('Niv formacode'!$B18,Formacode!$A:$A,0),
  'Niv formacode'!AC18),""))</f>
        <v/>
      </c>
      <c r="AD18" s="45" t="str" cm="1">
        <f t="array" ref="AD18">IF('Niv formacode'!AD18="","",IFERROR(INDEX(Formacode!$C:$F,
   MATCH('Niv formacode'!$B18,Formacode!$A:$A,0),
  'Niv formacode'!AD18),""))</f>
        <v/>
      </c>
      <c r="AE18" s="45" t="str" cm="1">
        <f t="array" ref="AE18">IF('Niv formacode'!AE18="","",IFERROR(INDEX(Formacode!$C:$F,
   MATCH('Niv formacode'!$B18,Formacode!$A:$A,0),
  'Niv formacode'!AE18),""))</f>
        <v/>
      </c>
    </row>
    <row r="19" spans="1:31">
      <c r="A19" s="55" t="str">
        <f>_xlfn.XLOOKUP(B19,Formacode!A:A,Formacode!B:B,0,1)</f>
        <v>Economie</v>
      </c>
      <c r="B19" s="55" cm="1">
        <f t="array" ref="B19">IFERROR(INDEX('Niv formacode'!$B:$B,SMALL(IF('Niv formacode'!$B:$B&lt;&gt;"",ROW('Niv formacode'!$B:$B)),ROW(B18))),"")</f>
        <v>13154</v>
      </c>
      <c r="C19" s="45" t="str" cm="1">
        <f t="array" ref="C19">IF('Niv formacode'!C19="","",IFERROR(INDEX(Formacode!$C:$F,
   MATCH('Niv formacode'!$B19,Formacode!$A:$A,0),
  'Niv formacode'!C19),""))</f>
        <v/>
      </c>
      <c r="D19" s="45" t="str" cm="1">
        <f t="array" ref="D19">IF('Niv formacode'!D19="","",IFERROR(INDEX(Formacode!$C:$F,
   MATCH('Niv formacode'!$B19,Formacode!$A:$A,0),
  'Niv formacode'!D19),""))</f>
        <v/>
      </c>
      <c r="E19" s="45" t="str" cm="1">
        <f t="array" ref="E19">IF('Niv formacode'!E19="","",IFERROR(INDEX(Formacode!$C:$F,
   MATCH('Niv formacode'!$B19,Formacode!$A:$A,0),
  'Niv formacode'!E19),""))</f>
        <v/>
      </c>
      <c r="F19" s="45" cm="1">
        <f t="array" ref="F19">IF('Niv formacode'!F19="","",IFERROR(INDEX(Formacode!$C:$F,
   MATCH('Niv formacode'!$B19,Formacode!$A:$A,0),
  'Niv formacode'!F19),""))</f>
        <v>42</v>
      </c>
      <c r="G19" s="45" t="str" cm="1">
        <f t="array" ref="G19">IF('Niv formacode'!G19="","",IFERROR(INDEX(Formacode!$C:$F,
   MATCH('Niv formacode'!$B19,Formacode!$A:$A,0),
  'Niv formacode'!G19),""))</f>
        <v/>
      </c>
      <c r="H19" s="45" cm="1">
        <f t="array" ref="H19">IF('Niv formacode'!H19="","",IFERROR(INDEX(Formacode!$C:$F,
   MATCH('Niv formacode'!$B19,Formacode!$A:$A,0),
  'Niv formacode'!H19),""))</f>
        <v>42</v>
      </c>
      <c r="I19" s="45" cm="1">
        <f t="array" ref="I19">IF('Niv formacode'!I19="","",IFERROR(INDEX(Formacode!$C:$F,
   MATCH('Niv formacode'!$B19,Formacode!$A:$A,0),
  'Niv formacode'!I19),""))</f>
        <v>192</v>
      </c>
      <c r="J19" s="45" t="str" cm="1">
        <f t="array" ref="J19">IF('Niv formacode'!J19="","",IFERROR(INDEX(Formacode!$C:$F,
   MATCH('Niv formacode'!$B19,Formacode!$A:$A,0),
  'Niv formacode'!J19),""))</f>
        <v/>
      </c>
      <c r="K19" s="45" cm="1">
        <f t="array" ref="K19">IF('Niv formacode'!K19="","",IFERROR(INDEX(Formacode!$C:$F,
   MATCH('Niv formacode'!$B19,Formacode!$A:$A,0),
  'Niv formacode'!K19),""))</f>
        <v>192</v>
      </c>
      <c r="L19" s="45" cm="1">
        <f t="array" ref="L19">IF('Niv formacode'!L19="","",IFERROR(INDEX(Formacode!$C:$F,
   MATCH('Niv formacode'!$B19,Formacode!$A:$A,0),
  'Niv formacode'!L19),""))</f>
        <v>192</v>
      </c>
      <c r="M19" s="45" t="str" cm="1">
        <f t="array" ref="M19">IF('Niv formacode'!M19="","",IFERROR(INDEX(Formacode!$C:$F,
   MATCH('Niv formacode'!$B19,Formacode!$A:$A,0),
  'Niv formacode'!M19),""))</f>
        <v/>
      </c>
      <c r="N19" s="45" t="str" cm="1">
        <f t="array" ref="N19">IF('Niv formacode'!N19="","",IFERROR(INDEX(Formacode!$C:$F,
   MATCH('Niv formacode'!$B19,Formacode!$A:$A,0),
  'Niv formacode'!N19),""))</f>
        <v/>
      </c>
      <c r="O19" s="45" t="str" cm="1">
        <f t="array" ref="O19">IF('Niv formacode'!O19="","",IFERROR(INDEX(Formacode!$C:$F,
   MATCH('Niv formacode'!$B19,Formacode!$A:$A,0),
  'Niv formacode'!O19),""))</f>
        <v/>
      </c>
      <c r="P19" s="45" t="str" cm="1">
        <f t="array" ref="P19">IF('Niv formacode'!P19="","",IFERROR(INDEX(Formacode!$C:$F,
   MATCH('Niv formacode'!$B19,Formacode!$A:$A,0),
  'Niv formacode'!P19),""))</f>
        <v/>
      </c>
      <c r="Q19" s="45" t="str" cm="1">
        <f t="array" ref="Q19">IF('Niv formacode'!Q19="","",IFERROR(INDEX(Formacode!$C:$F,
   MATCH('Niv formacode'!$B19,Formacode!$A:$A,0),
  'Niv formacode'!Q19),""))</f>
        <v/>
      </c>
      <c r="R19" s="45" t="str" cm="1">
        <f t="array" ref="R19">IF('Niv formacode'!R19="","",IFERROR(INDEX(Formacode!$C:$F,
   MATCH('Niv formacode'!$B19,Formacode!$A:$A,0),
  'Niv formacode'!R19),""))</f>
        <v/>
      </c>
      <c r="S19" s="45" cm="1">
        <f t="array" ref="S19">IF('Niv formacode'!S19="","",IFERROR(INDEX(Formacode!$C:$F,
   MATCH('Niv formacode'!$B19,Formacode!$A:$A,0),
  'Niv formacode'!S19),""))</f>
        <v>192</v>
      </c>
      <c r="T19" s="45" t="str" cm="1">
        <f t="array" ref="T19">IF('Niv formacode'!T19="","",IFERROR(INDEX(Formacode!$C:$F,
   MATCH('Niv formacode'!$B19,Formacode!$A:$A,0),
  'Niv formacode'!T19),""))</f>
        <v/>
      </c>
      <c r="U19" s="45" t="str" cm="1">
        <f t="array" ref="U19">IF('Niv formacode'!U19="","",IFERROR(INDEX(Formacode!$C:$F,
   MATCH('Niv formacode'!$B19,Formacode!$A:$A,0),
  'Niv formacode'!U19),""))</f>
        <v/>
      </c>
      <c r="V19" s="45" t="str" cm="1">
        <f t="array" ref="V19">IF('Niv formacode'!V19="","",IFERROR(INDEX(Formacode!$C:$F,
   MATCH('Niv formacode'!$B19,Formacode!$A:$A,0),
  'Niv formacode'!V19),""))</f>
        <v/>
      </c>
      <c r="W19" s="45" t="str" cm="1">
        <f t="array" ref="W19">IF('Niv formacode'!W19="","",IFERROR(INDEX(Formacode!$C:$F,
   MATCH('Niv formacode'!$B19,Formacode!$A:$A,0),
  'Niv formacode'!W19),""))</f>
        <v/>
      </c>
      <c r="X19" s="45" t="str" cm="1">
        <f t="array" ref="X19">IF('Niv formacode'!X19="","",IFERROR(INDEX(Formacode!$C:$F,
   MATCH('Niv formacode'!$B19,Formacode!$A:$A,0),
  'Niv formacode'!X19),""))</f>
        <v/>
      </c>
      <c r="Y19" s="45" cm="1">
        <f t="array" ref="Y19">IF('Niv formacode'!Y19="","",IFERROR(INDEX(Formacode!$C:$F,
   MATCH('Niv formacode'!$B19,Formacode!$A:$A,0),
  'Niv formacode'!Y19),""))</f>
        <v>192</v>
      </c>
      <c r="Z19" s="45" t="str" cm="1">
        <f t="array" ref="Z19">IF('Niv formacode'!Z19="","",IFERROR(INDEX(Formacode!$C:$F,
   MATCH('Niv formacode'!$B19,Formacode!$A:$A,0),
  'Niv formacode'!Z19),""))</f>
        <v/>
      </c>
      <c r="AA19" s="45" t="str" cm="1">
        <f t="array" ref="AA19">IF('Niv formacode'!AA19="","",IFERROR(INDEX(Formacode!$C:$F,
   MATCH('Niv formacode'!$B19,Formacode!$A:$A,0),
  'Niv formacode'!AA19),""))</f>
        <v/>
      </c>
      <c r="AB19" s="45" t="str" cm="1">
        <f t="array" ref="AB19">IF('Niv formacode'!AB19="","",IFERROR(INDEX(Formacode!$C:$F,
   MATCH('Niv formacode'!$B19,Formacode!$A:$A,0),
  'Niv formacode'!AB19),""))</f>
        <v/>
      </c>
      <c r="AC19" s="45" t="str" cm="1">
        <f t="array" ref="AC19">IF('Niv formacode'!AC19="","",IFERROR(INDEX(Formacode!$C:$F,
   MATCH('Niv formacode'!$B19,Formacode!$A:$A,0),
  'Niv formacode'!AC19),""))</f>
        <v/>
      </c>
      <c r="AD19" s="45" t="str" cm="1">
        <f t="array" ref="AD19">IF('Niv formacode'!AD19="","",IFERROR(INDEX(Formacode!$C:$F,
   MATCH('Niv formacode'!$B19,Formacode!$A:$A,0),
  'Niv formacode'!AD19),""))</f>
        <v/>
      </c>
      <c r="AE19" s="45" t="str" cm="1">
        <f t="array" ref="AE19">IF('Niv formacode'!AE19="","",IFERROR(INDEX(Formacode!$C:$F,
   MATCH('Niv formacode'!$B19,Formacode!$A:$A,0),
  'Niv formacode'!AE19),""))</f>
        <v/>
      </c>
    </row>
    <row r="20" spans="1:31">
      <c r="A20" s="55" t="str">
        <f>_xlfn.XLOOKUP(B20,Formacode!A:A,Formacode!B:B,0,1)</f>
        <v>Mathématiques</v>
      </c>
      <c r="B20" s="55" cm="1">
        <f t="array" ref="B20">IFERROR(INDEX('Niv formacode'!$B:$B,SMALL(IF('Niv formacode'!$B:$B&lt;&gt;"",ROW('Niv formacode'!$B:$B)),ROW(B19))),"")</f>
        <v>11054</v>
      </c>
      <c r="C20" s="45" t="str" cm="1">
        <f t="array" ref="C20">IF('Niv formacode'!C20="","",IFERROR(INDEX(Formacode!$C:$F,
   MATCH('Niv formacode'!$B20,Formacode!$A:$A,0),
  'Niv formacode'!C20),""))</f>
        <v/>
      </c>
      <c r="D20" s="45" t="str" cm="1">
        <f t="array" ref="D20">IF('Niv formacode'!D20="","",IFERROR(INDEX(Formacode!$C:$F,
   MATCH('Niv formacode'!$B20,Formacode!$A:$A,0),
  'Niv formacode'!D20),""))</f>
        <v/>
      </c>
      <c r="E20" s="45" t="str" cm="1">
        <f t="array" ref="E20">IF('Niv formacode'!E20="","",IFERROR(INDEX(Formacode!$C:$F,
   MATCH('Niv formacode'!$B20,Formacode!$A:$A,0),
  'Niv formacode'!E20),""))</f>
        <v/>
      </c>
      <c r="F20" s="45" cm="1">
        <f t="array" ref="F20">IF('Niv formacode'!F20="","",IFERROR(INDEX(Formacode!$C:$F,
   MATCH('Niv formacode'!$B20,Formacode!$A:$A,0),
  'Niv formacode'!F20),""))</f>
        <v>500</v>
      </c>
      <c r="G20" s="45" t="str" cm="1">
        <f t="array" ref="G20">IF('Niv formacode'!G20="","",IFERROR(INDEX(Formacode!$C:$F,
   MATCH('Niv formacode'!$B20,Formacode!$A:$A,0),
  'Niv formacode'!G20),""))</f>
        <v/>
      </c>
      <c r="H20" s="45" t="str" cm="1">
        <f t="array" ref="H20">IF('Niv formacode'!H20="","",IFERROR(INDEX(Formacode!$C:$F,
   MATCH('Niv formacode'!$B20,Formacode!$A:$A,0),
  'Niv formacode'!H20),""))</f>
        <v/>
      </c>
      <c r="I20" s="45" t="str" cm="1">
        <f t="array" ref="I20">IF('Niv formacode'!I20="","",IFERROR(INDEX(Formacode!$C:$F,
   MATCH('Niv formacode'!$B20,Formacode!$A:$A,0),
  'Niv formacode'!I20),""))</f>
        <v/>
      </c>
      <c r="J20" s="45" t="str" cm="1">
        <f t="array" ref="J20">IF('Niv formacode'!J20="","",IFERROR(INDEX(Formacode!$C:$F,
   MATCH('Niv formacode'!$B20,Formacode!$A:$A,0),
  'Niv formacode'!J20),""))</f>
        <v/>
      </c>
      <c r="K20" s="45" cm="1">
        <f t="array" ref="K20">IF('Niv formacode'!K20="","",IFERROR(INDEX(Formacode!$C:$F,
   MATCH('Niv formacode'!$B20,Formacode!$A:$A,0),
  'Niv formacode'!K20),""))</f>
        <v>500</v>
      </c>
      <c r="L20" s="45" t="str" cm="1">
        <f t="array" ref="L20">IF('Niv formacode'!L20="","",IFERROR(INDEX(Formacode!$C:$F,
   MATCH('Niv formacode'!$B20,Formacode!$A:$A,0),
  'Niv formacode'!L20),""))</f>
        <v/>
      </c>
      <c r="M20" s="45" t="str" cm="1">
        <f t="array" ref="M20">IF('Niv formacode'!M20="","",IFERROR(INDEX(Formacode!$C:$F,
   MATCH('Niv formacode'!$B20,Formacode!$A:$A,0),
  'Niv formacode'!M20),""))</f>
        <v/>
      </c>
      <c r="N20" s="45" t="str" cm="1">
        <f t="array" ref="N20">IF('Niv formacode'!N20="","",IFERROR(INDEX(Formacode!$C:$F,
   MATCH('Niv formacode'!$B20,Formacode!$A:$A,0),
  'Niv formacode'!N20),""))</f>
        <v/>
      </c>
      <c r="O20" s="45" t="str" cm="1">
        <f t="array" ref="O20">IF('Niv formacode'!O20="","",IFERROR(INDEX(Formacode!$C:$F,
   MATCH('Niv formacode'!$B20,Formacode!$A:$A,0),
  'Niv formacode'!O20),""))</f>
        <v/>
      </c>
      <c r="P20" s="45" t="str" cm="1">
        <f t="array" ref="P20">IF('Niv formacode'!P20="","",IFERROR(INDEX(Formacode!$C:$F,
   MATCH('Niv formacode'!$B20,Formacode!$A:$A,0),
  'Niv formacode'!P20),""))</f>
        <v/>
      </c>
      <c r="Q20" s="45" t="str" cm="1">
        <f t="array" ref="Q20">IF('Niv formacode'!Q20="","",IFERROR(INDEX(Formacode!$C:$F,
   MATCH('Niv formacode'!$B20,Formacode!$A:$A,0),
  'Niv formacode'!Q20),""))</f>
        <v/>
      </c>
      <c r="R20" s="45" t="str" cm="1">
        <f t="array" ref="R20">IF('Niv formacode'!R20="","",IFERROR(INDEX(Formacode!$C:$F,
   MATCH('Niv formacode'!$B20,Formacode!$A:$A,0),
  'Niv formacode'!R20),""))</f>
        <v/>
      </c>
      <c r="S20" s="45" t="str" cm="1">
        <f t="array" ref="S20">IF('Niv formacode'!S20="","",IFERROR(INDEX(Formacode!$C:$F,
   MATCH('Niv formacode'!$B20,Formacode!$A:$A,0),
  'Niv formacode'!S20),""))</f>
        <v/>
      </c>
      <c r="T20" s="45" t="str" cm="1">
        <f t="array" ref="T20">IF('Niv formacode'!T20="","",IFERROR(INDEX(Formacode!$C:$F,
   MATCH('Niv formacode'!$B20,Formacode!$A:$A,0),
  'Niv formacode'!T20),""))</f>
        <v/>
      </c>
      <c r="U20" s="45" t="str" cm="1">
        <f t="array" ref="U20">IF('Niv formacode'!U20="","",IFERROR(INDEX(Formacode!$C:$F,
   MATCH('Niv formacode'!$B20,Formacode!$A:$A,0),
  'Niv formacode'!U20),""))</f>
        <v/>
      </c>
      <c r="V20" s="45" t="str" cm="1">
        <f t="array" ref="V20">IF('Niv formacode'!V20="","",IFERROR(INDEX(Formacode!$C:$F,
   MATCH('Niv formacode'!$B20,Formacode!$A:$A,0),
  'Niv formacode'!V20),""))</f>
        <v/>
      </c>
      <c r="W20" s="45" t="str" cm="1">
        <f t="array" ref="W20">IF('Niv formacode'!W20="","",IFERROR(INDEX(Formacode!$C:$F,
   MATCH('Niv formacode'!$B20,Formacode!$A:$A,0),
  'Niv formacode'!W20),""))</f>
        <v/>
      </c>
      <c r="X20" s="45" t="str" cm="1">
        <f t="array" ref="X20">IF('Niv formacode'!X20="","",IFERROR(INDEX(Formacode!$C:$F,
   MATCH('Niv formacode'!$B20,Formacode!$A:$A,0),
  'Niv formacode'!X20),""))</f>
        <v/>
      </c>
      <c r="Y20" s="45" cm="1">
        <f t="array" ref="Y20">IF('Niv formacode'!Y20="","",IFERROR(INDEX(Formacode!$C:$F,
   MATCH('Niv formacode'!$B20,Formacode!$A:$A,0),
  'Niv formacode'!Y20),""))</f>
        <v>500</v>
      </c>
      <c r="Z20" s="45" t="str" cm="1">
        <f t="array" ref="Z20">IF('Niv formacode'!Z20="","",IFERROR(INDEX(Formacode!$C:$F,
   MATCH('Niv formacode'!$B20,Formacode!$A:$A,0),
  'Niv formacode'!Z20),""))</f>
        <v/>
      </c>
      <c r="AA20" s="45" t="str" cm="1">
        <f t="array" ref="AA20">IF('Niv formacode'!AA20="","",IFERROR(INDEX(Formacode!$C:$F,
   MATCH('Niv formacode'!$B20,Formacode!$A:$A,0),
  'Niv formacode'!AA20),""))</f>
        <v/>
      </c>
      <c r="AB20" s="45" t="str" cm="1">
        <f t="array" ref="AB20">IF('Niv formacode'!AB20="","",IFERROR(INDEX(Formacode!$C:$F,
   MATCH('Niv formacode'!$B20,Formacode!$A:$A,0),
  'Niv formacode'!AB20),""))</f>
        <v/>
      </c>
      <c r="AC20" s="45" t="str" cm="1">
        <f t="array" ref="AC20">IF('Niv formacode'!AC20="","",IFERROR(INDEX(Formacode!$C:$F,
   MATCH('Niv formacode'!$B20,Formacode!$A:$A,0),
  'Niv formacode'!AC20),""))</f>
        <v/>
      </c>
      <c r="AD20" s="45" t="str" cm="1">
        <f t="array" ref="AD20">IF('Niv formacode'!AD20="","",IFERROR(INDEX(Formacode!$C:$F,
   MATCH('Niv formacode'!$B20,Formacode!$A:$A,0),
  'Niv formacode'!AD20),""))</f>
        <v/>
      </c>
      <c r="AE20" s="45" t="str" cm="1">
        <f t="array" ref="AE20">IF('Niv formacode'!AE20="","",IFERROR(INDEX(Formacode!$C:$F,
   MATCH('Niv formacode'!$B20,Formacode!$A:$A,0),
  'Niv formacode'!AE20),""))</f>
        <v/>
      </c>
    </row>
    <row r="21" spans="1:31">
      <c r="A21" s="55" t="str">
        <f>_xlfn.XLOOKUP(B21,Formacode!A:A,Formacode!B:B,0,1)</f>
        <v>GESTION PERFORMANCE</v>
      </c>
      <c r="B21" s="55" cm="1">
        <f t="array" ref="B21">IFERROR(INDEX('Niv formacode'!$B:$B,SMALL(IF('Niv formacode'!$B:$B&lt;&gt;"",ROW('Niv formacode'!$B:$B)),ROW(B20))),"")</f>
        <v>32079</v>
      </c>
      <c r="C21" s="45" t="str" cm="1">
        <f t="array" ref="C21">IF('Niv formacode'!C21="","",IFERROR(INDEX(Formacode!$C:$F,
   MATCH('Niv formacode'!$B21,Formacode!$A:$A,0),
  'Niv formacode'!C21),""))</f>
        <v/>
      </c>
      <c r="D21" s="45" t="str" cm="1">
        <f t="array" ref="D21">IF('Niv formacode'!D21="","",IFERROR(INDEX(Formacode!$C:$F,
   MATCH('Niv formacode'!$B21,Formacode!$A:$A,0),
  'Niv formacode'!D21),""))</f>
        <v/>
      </c>
      <c r="E21" s="45" t="str" cm="1">
        <f t="array" ref="E21">IF('Niv formacode'!E21="","",IFERROR(INDEX(Formacode!$C:$F,
   MATCH('Niv formacode'!$B21,Formacode!$A:$A,0),
  'Niv formacode'!E21),""))</f>
        <v/>
      </c>
      <c r="F21" s="45" cm="1">
        <f t="array" ref="F21">IF('Niv formacode'!F21="","",IFERROR(INDEX(Formacode!$C:$F,
   MATCH('Niv formacode'!$B21,Formacode!$A:$A,0),
  'Niv formacode'!F21),""))</f>
        <v>263</v>
      </c>
      <c r="G21" s="45" cm="1">
        <f t="array" ref="G21">IF('Niv formacode'!G21="","",IFERROR(INDEX(Formacode!$C:$F,
   MATCH('Niv formacode'!$B21,Formacode!$A:$A,0),
  'Niv formacode'!G21),""))</f>
        <v>263</v>
      </c>
      <c r="H21" s="45" cm="1">
        <f t="array" ref="H21">IF('Niv formacode'!H21="","",IFERROR(INDEX(Formacode!$C:$F,
   MATCH('Niv formacode'!$B21,Formacode!$A:$A,0),
  'Niv formacode'!H21),""))</f>
        <v>263</v>
      </c>
      <c r="I21" s="45" cm="1">
        <f t="array" ref="I21">IF('Niv formacode'!I21="","",IFERROR(INDEX(Formacode!$C:$F,
   MATCH('Niv formacode'!$B21,Formacode!$A:$A,0),
  'Niv formacode'!I21),""))</f>
        <v>263</v>
      </c>
      <c r="J21" s="45" t="str" cm="1">
        <f t="array" ref="J21">IF('Niv formacode'!J21="","",IFERROR(INDEX(Formacode!$C:$F,
   MATCH('Niv formacode'!$B21,Formacode!$A:$A,0),
  'Niv formacode'!J21),""))</f>
        <v/>
      </c>
      <c r="K21" s="45" cm="1">
        <f t="array" ref="K21">IF('Niv formacode'!K21="","",IFERROR(INDEX(Formacode!$C:$F,
   MATCH('Niv formacode'!$B21,Formacode!$A:$A,0),
  'Niv formacode'!K21),""))</f>
        <v>132</v>
      </c>
      <c r="L21" s="45" cm="1">
        <f t="array" ref="L21">IF('Niv formacode'!L21="","",IFERROR(INDEX(Formacode!$C:$F,
   MATCH('Niv formacode'!$B21,Formacode!$A:$A,0),
  'Niv formacode'!L21),""))</f>
        <v>548</v>
      </c>
      <c r="M21" s="45" t="str" cm="1">
        <f t="array" ref="M21">IF('Niv formacode'!M21="","",IFERROR(INDEX(Formacode!$C:$F,
   MATCH('Niv formacode'!$B21,Formacode!$A:$A,0),
  'Niv formacode'!M21),""))</f>
        <v/>
      </c>
      <c r="N21" s="45" t="str" cm="1">
        <f t="array" ref="N21">IF('Niv formacode'!N21="","",IFERROR(INDEX(Formacode!$C:$F,
   MATCH('Niv formacode'!$B21,Formacode!$A:$A,0),
  'Niv formacode'!N21),""))</f>
        <v/>
      </c>
      <c r="O21" s="45" cm="1">
        <f t="array" ref="O21">IF('Niv formacode'!O21="","",IFERROR(INDEX(Formacode!$C:$F,
   MATCH('Niv formacode'!$B21,Formacode!$A:$A,0),
  'Niv formacode'!O21),""))</f>
        <v>263</v>
      </c>
      <c r="P21" s="45" t="str" cm="1">
        <f t="array" ref="P21">IF('Niv formacode'!P21="","",IFERROR(INDEX(Formacode!$C:$F,
   MATCH('Niv formacode'!$B21,Formacode!$A:$A,0),
  'Niv formacode'!P21),""))</f>
        <v/>
      </c>
      <c r="Q21" s="45" t="str" cm="1">
        <f t="array" ref="Q21">IF('Niv formacode'!Q21="","",IFERROR(INDEX(Formacode!$C:$F,
   MATCH('Niv formacode'!$B21,Formacode!$A:$A,0),
  'Niv formacode'!Q21),""))</f>
        <v/>
      </c>
      <c r="R21" s="45" cm="1">
        <f t="array" ref="R21">IF('Niv formacode'!R21="","",IFERROR(INDEX(Formacode!$C:$F,
   MATCH('Niv formacode'!$B21,Formacode!$A:$A,0),
  'Niv formacode'!R21),""))</f>
        <v>263</v>
      </c>
      <c r="S21" s="45" cm="1">
        <f t="array" ref="S21">IF('Niv formacode'!S21="","",IFERROR(INDEX(Formacode!$C:$F,
   MATCH('Niv formacode'!$B21,Formacode!$A:$A,0),
  'Niv formacode'!S21),""))</f>
        <v>263</v>
      </c>
      <c r="T21" s="45" t="str" cm="1">
        <f t="array" ref="T21">IF('Niv formacode'!T21="","",IFERROR(INDEX(Formacode!$C:$F,
   MATCH('Niv formacode'!$B21,Formacode!$A:$A,0),
  'Niv formacode'!T21),""))</f>
        <v/>
      </c>
      <c r="U21" s="45" t="str" cm="1">
        <f t="array" ref="U21">IF('Niv formacode'!U21="","",IFERROR(INDEX(Formacode!$C:$F,
   MATCH('Niv formacode'!$B21,Formacode!$A:$A,0),
  'Niv formacode'!U21),""))</f>
        <v/>
      </c>
      <c r="V21" s="45" t="str" cm="1">
        <f t="array" ref="V21">IF('Niv formacode'!V21="","",IFERROR(INDEX(Formacode!$C:$F,
   MATCH('Niv formacode'!$B21,Formacode!$A:$A,0),
  'Niv formacode'!V21),""))</f>
        <v/>
      </c>
      <c r="W21" s="45" t="str" cm="1">
        <f t="array" ref="W21">IF('Niv formacode'!W21="","",IFERROR(INDEX(Formacode!$C:$F,
   MATCH('Niv formacode'!$B21,Formacode!$A:$A,0),
  'Niv formacode'!W21),""))</f>
        <v/>
      </c>
      <c r="X21" s="45" t="str" cm="1">
        <f t="array" ref="X21">IF('Niv formacode'!X21="","",IFERROR(INDEX(Formacode!$C:$F,
   MATCH('Niv formacode'!$B21,Formacode!$A:$A,0),
  'Niv formacode'!X21),""))</f>
        <v/>
      </c>
      <c r="Y21" s="45" cm="1">
        <f t="array" ref="Y21">IF('Niv formacode'!Y21="","",IFERROR(INDEX(Formacode!$C:$F,
   MATCH('Niv formacode'!$B21,Formacode!$A:$A,0),
  'Niv formacode'!Y21),""))</f>
        <v>132</v>
      </c>
      <c r="Z21" s="45" t="str" cm="1">
        <f t="array" ref="Z21">IF('Niv formacode'!Z21="","",IFERROR(INDEX(Formacode!$C:$F,
   MATCH('Niv formacode'!$B21,Formacode!$A:$A,0),
  'Niv formacode'!Z21),""))</f>
        <v/>
      </c>
      <c r="AA21" s="45" t="str" cm="1">
        <f t="array" ref="AA21">IF('Niv formacode'!AA21="","",IFERROR(INDEX(Formacode!$C:$F,
   MATCH('Niv formacode'!$B21,Formacode!$A:$A,0),
  'Niv formacode'!AA21),""))</f>
        <v/>
      </c>
      <c r="AB21" s="45" t="str" cm="1">
        <f t="array" ref="AB21">IF('Niv formacode'!AB21="","",IFERROR(INDEX(Formacode!$C:$F,
   MATCH('Niv formacode'!$B21,Formacode!$A:$A,0),
  'Niv formacode'!AB21),""))</f>
        <v/>
      </c>
      <c r="AC21" s="45" t="str" cm="1">
        <f t="array" ref="AC21">IF('Niv formacode'!AC21="","",IFERROR(INDEX(Formacode!$C:$F,
   MATCH('Niv formacode'!$B21,Formacode!$A:$A,0),
  'Niv formacode'!AC21),""))</f>
        <v/>
      </c>
      <c r="AD21" s="45" t="str" cm="1">
        <f t="array" ref="AD21">IF('Niv formacode'!AD21="","",IFERROR(INDEX(Formacode!$C:$F,
   MATCH('Niv formacode'!$B21,Formacode!$A:$A,0),
  'Niv formacode'!AD21),""))</f>
        <v/>
      </c>
      <c r="AE21" s="45" t="str" cm="1">
        <f t="array" ref="AE21">IF('Niv formacode'!AE21="","",IFERROR(INDEX(Formacode!$C:$F,
   MATCH('Niv formacode'!$B21,Formacode!$A:$A,0),
  'Niv formacode'!AE21),""))</f>
        <v/>
      </c>
    </row>
    <row r="22" spans="1:31">
      <c r="A22" s="55" t="str">
        <f>_xlfn.XLOOKUP(B22,Formacode!A:A,Formacode!B:B,0,1)</f>
        <v>Informatique industrielle</v>
      </c>
      <c r="B22" s="55" cm="1">
        <f t="array" ref="B22">IFERROR(INDEX('Niv formacode'!$B:$B,SMALL(IF('Niv formacode'!$B:$B&lt;&gt;"",ROW('Niv formacode'!$B:$B)),ROW(B21))),"")</f>
        <v>31058</v>
      </c>
      <c r="C22" s="45" t="str" cm="1">
        <f t="array" ref="C22">IF('Niv formacode'!C22="","",IFERROR(INDEX(Formacode!$C:$F,
   MATCH('Niv formacode'!$B22,Formacode!$A:$A,0),
  'Niv formacode'!C22),""))</f>
        <v/>
      </c>
      <c r="D22" s="45" t="str" cm="1">
        <f t="array" ref="D22">IF('Niv formacode'!D22="","",IFERROR(INDEX(Formacode!$C:$F,
   MATCH('Niv formacode'!$B22,Formacode!$A:$A,0),
  'Niv formacode'!D22),""))</f>
        <v/>
      </c>
      <c r="E22" s="45" t="str" cm="1">
        <f t="array" ref="E22">IF('Niv formacode'!E22="","",IFERROR(INDEX(Formacode!$C:$F,
   MATCH('Niv formacode'!$B22,Formacode!$A:$A,0),
  'Niv formacode'!E22),""))</f>
        <v/>
      </c>
      <c r="F22" s="45" cm="1">
        <f t="array" ref="F22">IF('Niv formacode'!F22="","",IFERROR(INDEX(Formacode!$C:$F,
   MATCH('Niv formacode'!$B22,Formacode!$A:$A,0),
  'Niv formacode'!F22),""))</f>
        <v>109</v>
      </c>
      <c r="G22" s="45" t="str" cm="1">
        <f t="array" ref="G22">IF('Niv formacode'!G22="","",IFERROR(INDEX(Formacode!$C:$F,
   MATCH('Niv formacode'!$B22,Formacode!$A:$A,0),
  'Niv formacode'!G22),""))</f>
        <v/>
      </c>
      <c r="H22" s="45" cm="1">
        <f t="array" ref="H22">IF('Niv formacode'!H22="","",IFERROR(INDEX(Formacode!$C:$F,
   MATCH('Niv formacode'!$B22,Formacode!$A:$A,0),
  'Niv formacode'!H22),""))</f>
        <v>109</v>
      </c>
      <c r="I22" s="45" t="str" cm="1">
        <f t="array" ref="I22">IF('Niv formacode'!I22="","",IFERROR(INDEX(Formacode!$C:$F,
   MATCH('Niv formacode'!$B22,Formacode!$A:$A,0),
  'Niv formacode'!I22),""))</f>
        <v/>
      </c>
      <c r="J22" s="45" t="str" cm="1">
        <f t="array" ref="J22">IF('Niv formacode'!J22="","",IFERROR(INDEX(Formacode!$C:$F,
   MATCH('Niv formacode'!$B22,Formacode!$A:$A,0),
  'Niv formacode'!J22),""))</f>
        <v/>
      </c>
      <c r="K22" s="45" cm="1">
        <f t="array" ref="K22">IF('Niv formacode'!K22="","",IFERROR(INDEX(Formacode!$C:$F,
   MATCH('Niv formacode'!$B22,Formacode!$A:$A,0),
  'Niv formacode'!K22),""))</f>
        <v>245</v>
      </c>
      <c r="L22" s="45" cm="1">
        <f t="array" ref="L22">IF('Niv formacode'!L22="","",IFERROR(INDEX(Formacode!$C:$F,
   MATCH('Niv formacode'!$B22,Formacode!$A:$A,0),
  'Niv formacode'!L22),""))</f>
        <v>245</v>
      </c>
      <c r="M22" s="45" t="str" cm="1">
        <f t="array" ref="M22">IF('Niv formacode'!M22="","",IFERROR(INDEX(Formacode!$C:$F,
   MATCH('Niv formacode'!$B22,Formacode!$A:$A,0),
  'Niv formacode'!M22),""))</f>
        <v/>
      </c>
      <c r="N22" s="45" t="str" cm="1">
        <f t="array" ref="N22">IF('Niv formacode'!N22="","",IFERROR(INDEX(Formacode!$C:$F,
   MATCH('Niv formacode'!$B22,Formacode!$A:$A,0),
  'Niv formacode'!N22),""))</f>
        <v/>
      </c>
      <c r="O22" s="45" cm="1">
        <f t="array" ref="O22">IF('Niv formacode'!O22="","",IFERROR(INDEX(Formacode!$C:$F,
   MATCH('Niv formacode'!$B22,Formacode!$A:$A,0),
  'Niv formacode'!O22),""))</f>
        <v>245</v>
      </c>
      <c r="P22" s="45" t="str" cm="1">
        <f t="array" ref="P22">IF('Niv formacode'!P22="","",IFERROR(INDEX(Formacode!$C:$F,
   MATCH('Niv formacode'!$B22,Formacode!$A:$A,0),
  'Niv formacode'!P22),""))</f>
        <v/>
      </c>
      <c r="Q22" s="45" t="str" cm="1">
        <f t="array" ref="Q22">IF('Niv formacode'!Q22="","",IFERROR(INDEX(Formacode!$C:$F,
   MATCH('Niv formacode'!$B22,Formacode!$A:$A,0),
  'Niv formacode'!Q22),""))</f>
        <v/>
      </c>
      <c r="R22" s="45" t="str" cm="1">
        <f t="array" ref="R22">IF('Niv formacode'!R22="","",IFERROR(INDEX(Formacode!$C:$F,
   MATCH('Niv formacode'!$B22,Formacode!$A:$A,0),
  'Niv formacode'!R22),""))</f>
        <v/>
      </c>
      <c r="S22" s="45" t="str" cm="1">
        <f t="array" ref="S22">IF('Niv formacode'!S22="","",IFERROR(INDEX(Formacode!$C:$F,
   MATCH('Niv formacode'!$B22,Formacode!$A:$A,0),
  'Niv formacode'!S22),""))</f>
        <v/>
      </c>
      <c r="T22" s="45" t="str" cm="1">
        <f t="array" ref="T22">IF('Niv formacode'!T22="","",IFERROR(INDEX(Formacode!$C:$F,
   MATCH('Niv formacode'!$B22,Formacode!$A:$A,0),
  'Niv formacode'!T22),""))</f>
        <v/>
      </c>
      <c r="U22" s="45" t="str" cm="1">
        <f t="array" ref="U22">IF('Niv formacode'!U22="","",IFERROR(INDEX(Formacode!$C:$F,
   MATCH('Niv formacode'!$B22,Formacode!$A:$A,0),
  'Niv formacode'!U22),""))</f>
        <v/>
      </c>
      <c r="V22" s="45" t="str" cm="1">
        <f t="array" ref="V22">IF('Niv formacode'!V22="","",IFERROR(INDEX(Formacode!$C:$F,
   MATCH('Niv formacode'!$B22,Formacode!$A:$A,0),
  'Niv formacode'!V22),""))</f>
        <v/>
      </c>
      <c r="W22" s="45" t="str" cm="1">
        <f t="array" ref="W22">IF('Niv formacode'!W22="","",IFERROR(INDEX(Formacode!$C:$F,
   MATCH('Niv formacode'!$B22,Formacode!$A:$A,0),
  'Niv formacode'!W22),""))</f>
        <v/>
      </c>
      <c r="X22" s="45" cm="1">
        <f t="array" ref="X22">IF('Niv formacode'!X22="","",IFERROR(INDEX(Formacode!$C:$F,
   MATCH('Niv formacode'!$B22,Formacode!$A:$A,0),
  'Niv formacode'!X22),""))</f>
        <v>109</v>
      </c>
      <c r="Y22" s="45" cm="1">
        <f t="array" ref="Y22">IF('Niv formacode'!Y22="","",IFERROR(INDEX(Formacode!$C:$F,
   MATCH('Niv formacode'!$B22,Formacode!$A:$A,0),
  'Niv formacode'!Y22),""))</f>
        <v>245</v>
      </c>
      <c r="Z22" s="45" t="str" cm="1">
        <f t="array" ref="Z22">IF('Niv formacode'!Z22="","",IFERROR(INDEX(Formacode!$C:$F,
   MATCH('Niv formacode'!$B22,Formacode!$A:$A,0),
  'Niv formacode'!Z22),""))</f>
        <v/>
      </c>
      <c r="AA22" s="45" t="str" cm="1">
        <f t="array" ref="AA22">IF('Niv formacode'!AA22="","",IFERROR(INDEX(Formacode!$C:$F,
   MATCH('Niv formacode'!$B22,Formacode!$A:$A,0),
  'Niv formacode'!AA22),""))</f>
        <v/>
      </c>
      <c r="AB22" s="45" t="str" cm="1">
        <f t="array" ref="AB22">IF('Niv formacode'!AB22="","",IFERROR(INDEX(Formacode!$C:$F,
   MATCH('Niv formacode'!$B22,Formacode!$A:$A,0),
  'Niv formacode'!AB22),""))</f>
        <v/>
      </c>
      <c r="AC22" s="45" cm="1">
        <f t="array" ref="AC22">IF('Niv formacode'!AC22="","",IFERROR(INDEX(Formacode!$C:$F,
   MATCH('Niv formacode'!$B22,Formacode!$A:$A,0),
  'Niv formacode'!AC22),""))</f>
        <v>109</v>
      </c>
      <c r="AD22" s="45" cm="1">
        <f t="array" ref="AD22">IF('Niv formacode'!AD22="","",IFERROR(INDEX(Formacode!$C:$F,
   MATCH('Niv formacode'!$B22,Formacode!$A:$A,0),
  'Niv formacode'!AD22),""))</f>
        <v>109</v>
      </c>
      <c r="AE22" s="45" cm="1">
        <f t="array" ref="AE22">IF('Niv formacode'!AE22="","",IFERROR(INDEX(Formacode!$C:$F,
   MATCH('Niv formacode'!$B22,Formacode!$A:$A,0),
  'Niv formacode'!AE22),""))</f>
        <v>109</v>
      </c>
    </row>
    <row r="23" spans="1:31">
      <c r="A23" s="55" t="str">
        <f>_xlfn.XLOOKUP(B23,Formacode!A:A,Formacode!B:B,0,1)</f>
        <v>Droit</v>
      </c>
      <c r="B23" s="55" cm="1">
        <f t="array" ref="B23">IFERROR(INDEX('Niv formacode'!$B:$B,SMALL(IF('Niv formacode'!$B:$B&lt;&gt;"",ROW('Niv formacode'!$B:$B)),ROW(B22))),"")</f>
        <v>13254</v>
      </c>
      <c r="C23" s="45" t="str" cm="1">
        <f t="array" ref="C23">IF('Niv formacode'!C23="","",IFERROR(INDEX(Formacode!$C:$F,
   MATCH('Niv formacode'!$B23,Formacode!$A:$A,0),
  'Niv formacode'!C23),""))</f>
        <v/>
      </c>
      <c r="D23" s="45" t="str" cm="1">
        <f t="array" ref="D23">IF('Niv formacode'!D23="","",IFERROR(INDEX(Formacode!$C:$F,
   MATCH('Niv formacode'!$B23,Formacode!$A:$A,0),
  'Niv formacode'!D23),""))</f>
        <v/>
      </c>
      <c r="E23" s="45" t="str" cm="1">
        <f t="array" ref="E23">IF('Niv formacode'!E23="","",IFERROR(INDEX(Formacode!$C:$F,
   MATCH('Niv formacode'!$B23,Formacode!$A:$A,0),
  'Niv formacode'!E23),""))</f>
        <v/>
      </c>
      <c r="F23" s="45" cm="1">
        <f t="array" ref="F23">IF('Niv formacode'!F23="","",IFERROR(INDEX(Formacode!$C:$F,
   MATCH('Niv formacode'!$B23,Formacode!$A:$A,0),
  'Niv formacode'!F23),""))</f>
        <v>42</v>
      </c>
      <c r="G23" s="45" t="str" cm="1">
        <f t="array" ref="G23">IF('Niv formacode'!G23="","",IFERROR(INDEX(Formacode!$C:$F,
   MATCH('Niv formacode'!$B23,Formacode!$A:$A,0),
  'Niv formacode'!G23),""))</f>
        <v/>
      </c>
      <c r="H23" s="45" cm="1">
        <f t="array" ref="H23">IF('Niv formacode'!H23="","",IFERROR(INDEX(Formacode!$C:$F,
   MATCH('Niv formacode'!$B23,Formacode!$A:$A,0),
  'Niv formacode'!H23),""))</f>
        <v>42</v>
      </c>
      <c r="I23" s="45" cm="1">
        <f t="array" ref="I23">IF('Niv formacode'!I23="","",IFERROR(INDEX(Formacode!$C:$F,
   MATCH('Niv formacode'!$B23,Formacode!$A:$A,0),
  'Niv formacode'!I23),""))</f>
        <v>192</v>
      </c>
      <c r="J23" s="45" t="str" cm="1">
        <f t="array" ref="J23">IF('Niv formacode'!J23="","",IFERROR(INDEX(Formacode!$C:$F,
   MATCH('Niv formacode'!$B23,Formacode!$A:$A,0),
  'Niv formacode'!J23),""))</f>
        <v/>
      </c>
      <c r="K23" s="45" t="str" cm="1">
        <f t="array" ref="K23">IF('Niv formacode'!K23="","",IFERROR(INDEX(Formacode!$C:$F,
   MATCH('Niv formacode'!$B23,Formacode!$A:$A,0),
  'Niv formacode'!K23),""))</f>
        <v/>
      </c>
      <c r="L23" s="45" cm="1">
        <f t="array" ref="L23">IF('Niv formacode'!L23="","",IFERROR(INDEX(Formacode!$C:$F,
   MATCH('Niv formacode'!$B23,Formacode!$A:$A,0),
  'Niv formacode'!L23),""))</f>
        <v>192</v>
      </c>
      <c r="M23" s="45" t="str" cm="1">
        <f t="array" ref="M23">IF('Niv formacode'!M23="","",IFERROR(INDEX(Formacode!$C:$F,
   MATCH('Niv formacode'!$B23,Formacode!$A:$A,0),
  'Niv formacode'!M23),""))</f>
        <v/>
      </c>
      <c r="N23" s="45" t="str" cm="1">
        <f t="array" ref="N23">IF('Niv formacode'!N23="","",IFERROR(INDEX(Formacode!$C:$F,
   MATCH('Niv formacode'!$B23,Formacode!$A:$A,0),
  'Niv formacode'!N23),""))</f>
        <v/>
      </c>
      <c r="O23" s="45" t="str" cm="1">
        <f t="array" ref="O23">IF('Niv formacode'!O23="","",IFERROR(INDEX(Formacode!$C:$F,
   MATCH('Niv formacode'!$B23,Formacode!$A:$A,0),
  'Niv formacode'!O23),""))</f>
        <v/>
      </c>
      <c r="P23" s="45" t="str" cm="1">
        <f t="array" ref="P23">IF('Niv formacode'!P23="","",IFERROR(INDEX(Formacode!$C:$F,
   MATCH('Niv formacode'!$B23,Formacode!$A:$A,0),
  'Niv formacode'!P23),""))</f>
        <v/>
      </c>
      <c r="Q23" s="45" t="str" cm="1">
        <f t="array" ref="Q23">IF('Niv formacode'!Q23="","",IFERROR(INDEX(Formacode!$C:$F,
   MATCH('Niv formacode'!$B23,Formacode!$A:$A,0),
  'Niv formacode'!Q23),""))</f>
        <v/>
      </c>
      <c r="R23" s="45" t="str" cm="1">
        <f t="array" ref="R23">IF('Niv formacode'!R23="","",IFERROR(INDEX(Formacode!$C:$F,
   MATCH('Niv formacode'!$B23,Formacode!$A:$A,0),
  'Niv formacode'!R23),""))</f>
        <v/>
      </c>
      <c r="S23" s="45" cm="1">
        <f t="array" ref="S23">IF('Niv formacode'!S23="","",IFERROR(INDEX(Formacode!$C:$F,
   MATCH('Niv formacode'!$B23,Formacode!$A:$A,0),
  'Niv formacode'!S23),""))</f>
        <v>192</v>
      </c>
      <c r="T23" s="45" t="str" cm="1">
        <f t="array" ref="T23">IF('Niv formacode'!T23="","",IFERROR(INDEX(Formacode!$C:$F,
   MATCH('Niv formacode'!$B23,Formacode!$A:$A,0),
  'Niv formacode'!T23),""))</f>
        <v/>
      </c>
      <c r="U23" s="45" t="str" cm="1">
        <f t="array" ref="U23">IF('Niv formacode'!U23="","",IFERROR(INDEX(Formacode!$C:$F,
   MATCH('Niv formacode'!$B23,Formacode!$A:$A,0),
  'Niv formacode'!U23),""))</f>
        <v/>
      </c>
      <c r="V23" s="45" t="str" cm="1">
        <f t="array" ref="V23">IF('Niv formacode'!V23="","",IFERROR(INDEX(Formacode!$C:$F,
   MATCH('Niv formacode'!$B23,Formacode!$A:$A,0),
  'Niv formacode'!V23),""))</f>
        <v/>
      </c>
      <c r="W23" s="45" t="str" cm="1">
        <f t="array" ref="W23">IF('Niv formacode'!W23="","",IFERROR(INDEX(Formacode!$C:$F,
   MATCH('Niv formacode'!$B23,Formacode!$A:$A,0),
  'Niv formacode'!W23),""))</f>
        <v/>
      </c>
      <c r="X23" s="45" t="str" cm="1">
        <f t="array" ref="X23">IF('Niv formacode'!X23="","",IFERROR(INDEX(Formacode!$C:$F,
   MATCH('Niv formacode'!$B23,Formacode!$A:$A,0),
  'Niv formacode'!X23),""))</f>
        <v/>
      </c>
      <c r="Y23" s="45" cm="1">
        <f t="array" ref="Y23">IF('Niv formacode'!Y23="","",IFERROR(INDEX(Formacode!$C:$F,
   MATCH('Niv formacode'!$B23,Formacode!$A:$A,0),
  'Niv formacode'!Y23),""))</f>
        <v>192</v>
      </c>
      <c r="Z23" s="45" t="str" cm="1">
        <f t="array" ref="Z23">IF('Niv formacode'!Z23="","",IFERROR(INDEX(Formacode!$C:$F,
   MATCH('Niv formacode'!$B23,Formacode!$A:$A,0),
  'Niv formacode'!Z23),""))</f>
        <v/>
      </c>
      <c r="AA23" s="45" t="str" cm="1">
        <f t="array" ref="AA23">IF('Niv formacode'!AA23="","",IFERROR(INDEX(Formacode!$C:$F,
   MATCH('Niv formacode'!$B23,Formacode!$A:$A,0),
  'Niv formacode'!AA23),""))</f>
        <v/>
      </c>
      <c r="AB23" s="45" t="str" cm="1">
        <f t="array" ref="AB23">IF('Niv formacode'!AB23="","",IFERROR(INDEX(Formacode!$C:$F,
   MATCH('Niv formacode'!$B23,Formacode!$A:$A,0),
  'Niv formacode'!AB23),""))</f>
        <v/>
      </c>
      <c r="AC23" s="45" t="str" cm="1">
        <f t="array" ref="AC23">IF('Niv formacode'!AC23="","",IFERROR(INDEX(Formacode!$C:$F,
   MATCH('Niv formacode'!$B23,Formacode!$A:$A,0),
  'Niv formacode'!AC23),""))</f>
        <v/>
      </c>
      <c r="AD23" s="45" t="str" cm="1">
        <f t="array" ref="AD23">IF('Niv formacode'!AD23="","",IFERROR(INDEX(Formacode!$C:$F,
   MATCH('Niv formacode'!$B23,Formacode!$A:$A,0),
  'Niv formacode'!AD23),""))</f>
        <v/>
      </c>
      <c r="AE23" s="45" t="str" cm="1">
        <f t="array" ref="AE23">IF('Niv formacode'!AE23="","",IFERROR(INDEX(Formacode!$C:$F,
   MATCH('Niv formacode'!$B23,Formacode!$A:$A,0),
  'Niv formacode'!AE23),""))</f>
        <v/>
      </c>
    </row>
    <row r="24" spans="1:31">
      <c r="A24" s="55" t="str">
        <f>_xlfn.XLOOKUP(B24,Formacode!A:A,Formacode!B:B,0,1)</f>
        <v>Gestion production</v>
      </c>
      <c r="B24" s="55" cm="1">
        <f t="array" ref="B24">IFERROR(INDEX('Niv formacode'!$B:$B,SMALL(IF('Niv formacode'!$B:$B&lt;&gt;"",ROW('Niv formacode'!$B:$B)),ROW(B23))),"")</f>
        <v>31652</v>
      </c>
      <c r="C24" s="45" t="str" cm="1">
        <f t="array" ref="C24">IF('Niv formacode'!C24="","",IFERROR(INDEX(Formacode!$C:$F,
   MATCH('Niv formacode'!$B24,Formacode!$A:$A,0),
  'Niv formacode'!C24),""))</f>
        <v/>
      </c>
      <c r="D24" s="45" t="str" cm="1">
        <f t="array" ref="D24">IF('Niv formacode'!D24="","",IFERROR(INDEX(Formacode!$C:$F,
   MATCH('Niv formacode'!$B24,Formacode!$A:$A,0),
  'Niv formacode'!D24),""))</f>
        <v/>
      </c>
      <c r="E24" s="45" t="str" cm="1">
        <f t="array" ref="E24">IF('Niv formacode'!E24="","",IFERROR(INDEX(Formacode!$C:$F,
   MATCH('Niv formacode'!$B24,Formacode!$A:$A,0),
  'Niv formacode'!E24),""))</f>
        <v/>
      </c>
      <c r="F24" s="45" t="str" cm="1">
        <f t="array" ref="F24">IF('Niv formacode'!F24="","",IFERROR(INDEX(Formacode!$C:$F,
   MATCH('Niv formacode'!$B24,Formacode!$A:$A,0),
  'Niv formacode'!F24),""))</f>
        <v/>
      </c>
      <c r="G24" s="45" t="str" cm="1">
        <f t="array" ref="G24">IF('Niv formacode'!G24="","",IFERROR(INDEX(Formacode!$C:$F,
   MATCH('Niv formacode'!$B24,Formacode!$A:$A,0),
  'Niv formacode'!G24),""))</f>
        <v/>
      </c>
      <c r="H24" s="45" cm="1">
        <f t="array" ref="H24">IF('Niv formacode'!H24="","",IFERROR(INDEX(Formacode!$C:$F,
   MATCH('Niv formacode'!$B24,Formacode!$A:$A,0),
  'Niv formacode'!H24),""))</f>
        <v>280</v>
      </c>
      <c r="I24" s="45" cm="1">
        <f t="array" ref="I24">IF('Niv formacode'!I24="","",IFERROR(INDEX(Formacode!$C:$F,
   MATCH('Niv formacode'!$B24,Formacode!$A:$A,0),
  'Niv formacode'!I24),""))</f>
        <v>496</v>
      </c>
      <c r="J24" s="45" t="str" cm="1">
        <f t="array" ref="J24">IF('Niv formacode'!J24="","",IFERROR(INDEX(Formacode!$C:$F,
   MATCH('Niv formacode'!$B24,Formacode!$A:$A,0),
  'Niv formacode'!J24),""))</f>
        <v/>
      </c>
      <c r="K24" s="45" cm="1">
        <f t="array" ref="K24">IF('Niv formacode'!K24="","",IFERROR(INDEX(Formacode!$C:$F,
   MATCH('Niv formacode'!$B24,Formacode!$A:$A,0),
  'Niv formacode'!K24),""))</f>
        <v>78</v>
      </c>
      <c r="L24" s="45" cm="1">
        <f t="array" ref="L24">IF('Niv formacode'!L24="","",IFERROR(INDEX(Formacode!$C:$F,
   MATCH('Niv formacode'!$B24,Formacode!$A:$A,0),
  'Niv formacode'!L24),""))</f>
        <v>496</v>
      </c>
      <c r="M24" s="45" t="str" cm="1">
        <f t="array" ref="M24">IF('Niv formacode'!M24="","",IFERROR(INDEX(Formacode!$C:$F,
   MATCH('Niv formacode'!$B24,Formacode!$A:$A,0),
  'Niv formacode'!M24),""))</f>
        <v/>
      </c>
      <c r="N24" s="45" t="str" cm="1">
        <f t="array" ref="N24">IF('Niv formacode'!N24="","",IFERROR(INDEX(Formacode!$C:$F,
   MATCH('Niv formacode'!$B24,Formacode!$A:$A,0),
  'Niv formacode'!N24),""))</f>
        <v/>
      </c>
      <c r="O24" s="45" cm="1">
        <f t="array" ref="O24">IF('Niv formacode'!O24="","",IFERROR(INDEX(Formacode!$C:$F,
   MATCH('Niv formacode'!$B24,Formacode!$A:$A,0),
  'Niv formacode'!O24),""))</f>
        <v>78</v>
      </c>
      <c r="P24" s="45" t="str" cm="1">
        <f t="array" ref="P24">IF('Niv formacode'!P24="","",IFERROR(INDEX(Formacode!$C:$F,
   MATCH('Niv formacode'!$B24,Formacode!$A:$A,0),
  'Niv formacode'!P24),""))</f>
        <v/>
      </c>
      <c r="Q24" s="45" t="str" cm="1">
        <f t="array" ref="Q24">IF('Niv formacode'!Q24="","",IFERROR(INDEX(Formacode!$C:$F,
   MATCH('Niv formacode'!$B24,Formacode!$A:$A,0),
  'Niv formacode'!Q24),""))</f>
        <v/>
      </c>
      <c r="R24" s="45" t="str" cm="1">
        <f t="array" ref="R24">IF('Niv formacode'!R24="","",IFERROR(INDEX(Formacode!$C:$F,
   MATCH('Niv formacode'!$B24,Formacode!$A:$A,0),
  'Niv formacode'!R24),""))</f>
        <v/>
      </c>
      <c r="S24" s="45" t="str" cm="1">
        <f t="array" ref="S24">IF('Niv formacode'!S24="","",IFERROR(INDEX(Formacode!$C:$F,
   MATCH('Niv formacode'!$B24,Formacode!$A:$A,0),
  'Niv formacode'!S24),""))</f>
        <v/>
      </c>
      <c r="T24" s="45" t="str" cm="1">
        <f t="array" ref="T24">IF('Niv formacode'!T24="","",IFERROR(INDEX(Formacode!$C:$F,
   MATCH('Niv formacode'!$B24,Formacode!$A:$A,0),
  'Niv formacode'!T24),""))</f>
        <v/>
      </c>
      <c r="U24" s="45" t="str" cm="1">
        <f t="array" ref="U24">IF('Niv formacode'!U24="","",IFERROR(INDEX(Formacode!$C:$F,
   MATCH('Niv formacode'!$B24,Formacode!$A:$A,0),
  'Niv formacode'!U24),""))</f>
        <v/>
      </c>
      <c r="V24" s="45" t="str" cm="1">
        <f t="array" ref="V24">IF('Niv formacode'!V24="","",IFERROR(INDEX(Formacode!$C:$F,
   MATCH('Niv formacode'!$B24,Formacode!$A:$A,0),
  'Niv formacode'!V24),""))</f>
        <v/>
      </c>
      <c r="W24" s="45" t="str" cm="1">
        <f t="array" ref="W24">IF('Niv formacode'!W24="","",IFERROR(INDEX(Formacode!$C:$F,
   MATCH('Niv formacode'!$B24,Formacode!$A:$A,0),
  'Niv formacode'!W24),""))</f>
        <v/>
      </c>
      <c r="X24" s="45" t="str" cm="1">
        <f t="array" ref="X24">IF('Niv formacode'!X24="","",IFERROR(INDEX(Formacode!$C:$F,
   MATCH('Niv formacode'!$B24,Formacode!$A:$A,0),
  'Niv formacode'!X24),""))</f>
        <v/>
      </c>
      <c r="Y24" s="45" t="str" cm="1">
        <f t="array" ref="Y24">IF('Niv formacode'!Y24="","",IFERROR(INDEX(Formacode!$C:$F,
   MATCH('Niv formacode'!$B24,Formacode!$A:$A,0),
  'Niv formacode'!Y24),""))</f>
        <v/>
      </c>
      <c r="Z24" s="45" t="str" cm="1">
        <f t="array" ref="Z24">IF('Niv formacode'!Z24="","",IFERROR(INDEX(Formacode!$C:$F,
   MATCH('Niv formacode'!$B24,Formacode!$A:$A,0),
  'Niv formacode'!Z24),""))</f>
        <v/>
      </c>
      <c r="AA24" s="45" t="str" cm="1">
        <f t="array" ref="AA24">IF('Niv formacode'!AA24="","",IFERROR(INDEX(Formacode!$C:$F,
   MATCH('Niv formacode'!$B24,Formacode!$A:$A,0),
  'Niv formacode'!AA24),""))</f>
        <v/>
      </c>
      <c r="AB24" s="45" t="str" cm="1">
        <f t="array" ref="AB24">IF('Niv formacode'!AB24="","",IFERROR(INDEX(Formacode!$C:$F,
   MATCH('Niv formacode'!$B24,Formacode!$A:$A,0),
  'Niv formacode'!AB24),""))</f>
        <v/>
      </c>
      <c r="AC24" s="45" t="str" cm="1">
        <f t="array" ref="AC24">IF('Niv formacode'!AC24="","",IFERROR(INDEX(Formacode!$C:$F,
   MATCH('Niv formacode'!$B24,Formacode!$A:$A,0),
  'Niv formacode'!AC24),""))</f>
        <v/>
      </c>
      <c r="AD24" s="45" t="str" cm="1">
        <f t="array" ref="AD24">IF('Niv formacode'!AD24="","",IFERROR(INDEX(Formacode!$C:$F,
   MATCH('Niv formacode'!$B24,Formacode!$A:$A,0),
  'Niv formacode'!AD24),""))</f>
        <v/>
      </c>
      <c r="AE24" s="45" t="str" cm="1">
        <f t="array" ref="AE24">IF('Niv formacode'!AE24="","",IFERROR(INDEX(Formacode!$C:$F,
   MATCH('Niv formacode'!$B24,Formacode!$A:$A,0),
  'Niv formacode'!AE24),""))</f>
        <v/>
      </c>
    </row>
    <row r="25" spans="1:31">
      <c r="A25" s="55" t="str">
        <f>_xlfn.XLOOKUP(B25,Formacode!A:A,Formacode!B:B,0,1)</f>
        <v>Ordonnancement</v>
      </c>
      <c r="B25" s="55" cm="1">
        <f t="array" ref="B25">IFERROR(INDEX('Niv formacode'!$B:$B,SMALL(IF('Niv formacode'!$B:$B&lt;&gt;"",ROW('Niv formacode'!$B:$B)),ROW(B24))),"")</f>
        <v>31662</v>
      </c>
      <c r="C25" s="45" t="str" cm="1">
        <f t="array" ref="C25">IF('Niv formacode'!C25="","",IFERROR(INDEX(Formacode!$C:$F,
   MATCH('Niv formacode'!$B25,Formacode!$A:$A,0),
  'Niv formacode'!C25),""))</f>
        <v/>
      </c>
      <c r="D25" s="45" t="str" cm="1">
        <f t="array" ref="D25">IF('Niv formacode'!D25="","",IFERROR(INDEX(Formacode!$C:$F,
   MATCH('Niv formacode'!$B25,Formacode!$A:$A,0),
  'Niv formacode'!D25),""))</f>
        <v/>
      </c>
      <c r="E25" s="45" t="str" cm="1">
        <f t="array" ref="E25">IF('Niv formacode'!E25="","",IFERROR(INDEX(Formacode!$C:$F,
   MATCH('Niv formacode'!$B25,Formacode!$A:$A,0),
  'Niv formacode'!E25),""))</f>
        <v/>
      </c>
      <c r="F25" s="45" t="str" cm="1">
        <f t="array" ref="F25">IF('Niv formacode'!F25="","",IFERROR(INDEX(Formacode!$C:$F,
   MATCH('Niv formacode'!$B25,Formacode!$A:$A,0),
  'Niv formacode'!F25),""))</f>
        <v/>
      </c>
      <c r="G25" s="45" t="str" cm="1">
        <f t="array" ref="G25">IF('Niv formacode'!G25="","",IFERROR(INDEX(Formacode!$C:$F,
   MATCH('Niv formacode'!$B25,Formacode!$A:$A,0),
  'Niv formacode'!G25),""))</f>
        <v/>
      </c>
      <c r="H25" s="45" t="str" cm="1">
        <f t="array" ref="H25">IF('Niv formacode'!H25="","",IFERROR(INDEX(Formacode!$C:$F,
   MATCH('Niv formacode'!$B25,Formacode!$A:$A,0),
  'Niv formacode'!H25),""))</f>
        <v/>
      </c>
      <c r="I25" s="45" cm="1">
        <f t="array" ref="I25">IF('Niv formacode'!I25="","",IFERROR(INDEX(Formacode!$C:$F,
   MATCH('Niv formacode'!$B25,Formacode!$A:$A,0),
  'Niv formacode'!I25),""))</f>
        <v>201</v>
      </c>
      <c r="J25" s="45" t="str" cm="1">
        <f t="array" ref="J25">IF('Niv formacode'!J25="","",IFERROR(INDEX(Formacode!$C:$F,
   MATCH('Niv formacode'!$B25,Formacode!$A:$A,0),
  'Niv formacode'!J25),""))</f>
        <v/>
      </c>
      <c r="K25" s="45" t="str" cm="1">
        <f t="array" ref="K25">IF('Niv formacode'!K25="","",IFERROR(INDEX(Formacode!$C:$F,
   MATCH('Niv formacode'!$B25,Formacode!$A:$A,0),
  'Niv formacode'!K25),""))</f>
        <v/>
      </c>
      <c r="L25" s="45" t="str" cm="1">
        <f t="array" ref="L25">IF('Niv formacode'!L25="","",IFERROR(INDEX(Formacode!$C:$F,
   MATCH('Niv formacode'!$B25,Formacode!$A:$A,0),
  'Niv formacode'!L25),""))</f>
        <v/>
      </c>
      <c r="M25" s="45" t="str" cm="1">
        <f t="array" ref="M25">IF('Niv formacode'!M25="","",IFERROR(INDEX(Formacode!$C:$F,
   MATCH('Niv formacode'!$B25,Formacode!$A:$A,0),
  'Niv formacode'!M25),""))</f>
        <v/>
      </c>
      <c r="N25" s="45" t="str" cm="1">
        <f t="array" ref="N25">IF('Niv formacode'!N25="","",IFERROR(INDEX(Formacode!$C:$F,
   MATCH('Niv formacode'!$B25,Formacode!$A:$A,0),
  'Niv formacode'!N25),""))</f>
        <v/>
      </c>
      <c r="O25" s="45" t="str" cm="1">
        <f t="array" ref="O25">IF('Niv formacode'!O25="","",IFERROR(INDEX(Formacode!$C:$F,
   MATCH('Niv formacode'!$B25,Formacode!$A:$A,0),
  'Niv formacode'!O25),""))</f>
        <v/>
      </c>
      <c r="P25" s="45" t="str" cm="1">
        <f t="array" ref="P25">IF('Niv formacode'!P25="","",IFERROR(INDEX(Formacode!$C:$F,
   MATCH('Niv formacode'!$B25,Formacode!$A:$A,0),
  'Niv formacode'!P25),""))</f>
        <v/>
      </c>
      <c r="Q25" s="45" t="str" cm="1">
        <f t="array" ref="Q25">IF('Niv formacode'!Q25="","",IFERROR(INDEX(Formacode!$C:$F,
   MATCH('Niv formacode'!$B25,Formacode!$A:$A,0),
  'Niv formacode'!Q25),""))</f>
        <v/>
      </c>
      <c r="R25" s="45" t="str" cm="1">
        <f t="array" ref="R25">IF('Niv formacode'!R25="","",IFERROR(INDEX(Formacode!$C:$F,
   MATCH('Niv formacode'!$B25,Formacode!$A:$A,0),
  'Niv formacode'!R25),""))</f>
        <v/>
      </c>
      <c r="S25" s="45" t="str" cm="1">
        <f t="array" ref="S25">IF('Niv formacode'!S25="","",IFERROR(INDEX(Formacode!$C:$F,
   MATCH('Niv formacode'!$B25,Formacode!$A:$A,0),
  'Niv formacode'!S25),""))</f>
        <v/>
      </c>
      <c r="T25" s="45" t="str" cm="1">
        <f t="array" ref="T25">IF('Niv formacode'!T25="","",IFERROR(INDEX(Formacode!$C:$F,
   MATCH('Niv formacode'!$B25,Formacode!$A:$A,0),
  'Niv formacode'!T25),""))</f>
        <v/>
      </c>
      <c r="U25" s="45" t="str" cm="1">
        <f t="array" ref="U25">IF('Niv formacode'!U25="","",IFERROR(INDEX(Formacode!$C:$F,
   MATCH('Niv formacode'!$B25,Formacode!$A:$A,0),
  'Niv formacode'!U25),""))</f>
        <v/>
      </c>
      <c r="V25" s="45" t="str" cm="1">
        <f t="array" ref="V25">IF('Niv formacode'!V25="","",IFERROR(INDEX(Formacode!$C:$F,
   MATCH('Niv formacode'!$B25,Formacode!$A:$A,0),
  'Niv formacode'!V25),""))</f>
        <v/>
      </c>
      <c r="W25" s="45" t="str" cm="1">
        <f t="array" ref="W25">IF('Niv formacode'!W25="","",IFERROR(INDEX(Formacode!$C:$F,
   MATCH('Niv formacode'!$B25,Formacode!$A:$A,0),
  'Niv formacode'!W25),""))</f>
        <v/>
      </c>
      <c r="X25" s="45" t="str" cm="1">
        <f t="array" ref="X25">IF('Niv formacode'!X25="","",IFERROR(INDEX(Formacode!$C:$F,
   MATCH('Niv formacode'!$B25,Formacode!$A:$A,0),
  'Niv formacode'!X25),""))</f>
        <v/>
      </c>
      <c r="Y25" s="45" t="str" cm="1">
        <f t="array" ref="Y25">IF('Niv formacode'!Y25="","",IFERROR(INDEX(Formacode!$C:$F,
   MATCH('Niv formacode'!$B25,Formacode!$A:$A,0),
  'Niv formacode'!Y25),""))</f>
        <v/>
      </c>
      <c r="Z25" s="45" t="str" cm="1">
        <f t="array" ref="Z25">IF('Niv formacode'!Z25="","",IFERROR(INDEX(Formacode!$C:$F,
   MATCH('Niv formacode'!$B25,Formacode!$A:$A,0),
  'Niv formacode'!Z25),""))</f>
        <v/>
      </c>
      <c r="AA25" s="45" t="str" cm="1">
        <f t="array" ref="AA25">IF('Niv formacode'!AA25="","",IFERROR(INDEX(Formacode!$C:$F,
   MATCH('Niv formacode'!$B25,Formacode!$A:$A,0),
  'Niv formacode'!AA25),""))</f>
        <v/>
      </c>
      <c r="AB25" s="45" t="str" cm="1">
        <f t="array" ref="AB25">IF('Niv formacode'!AB25="","",IFERROR(INDEX(Formacode!$C:$F,
   MATCH('Niv formacode'!$B25,Formacode!$A:$A,0),
  'Niv formacode'!AB25),""))</f>
        <v/>
      </c>
      <c r="AC25" s="45" t="str" cm="1">
        <f t="array" ref="AC25">IF('Niv formacode'!AC25="","",IFERROR(INDEX(Formacode!$C:$F,
   MATCH('Niv formacode'!$B25,Formacode!$A:$A,0),
  'Niv formacode'!AC25),""))</f>
        <v/>
      </c>
      <c r="AD25" s="45" t="str" cm="1">
        <f t="array" ref="AD25">IF('Niv formacode'!AD25="","",IFERROR(INDEX(Formacode!$C:$F,
   MATCH('Niv formacode'!$B25,Formacode!$A:$A,0),
  'Niv formacode'!AD25),""))</f>
        <v/>
      </c>
      <c r="AE25" s="45" t="str" cm="1">
        <f t="array" ref="AE25">IF('Niv formacode'!AE25="","",IFERROR(INDEX(Formacode!$C:$F,
   MATCH('Niv formacode'!$B25,Formacode!$A:$A,0),
  'Niv formacode'!AE25),""))</f>
        <v/>
      </c>
    </row>
    <row r="26" spans="1:31">
      <c r="A26" s="55" t="str">
        <f>_xlfn.XLOOKUP(B26,Formacode!A:A,Formacode!B:B,0,1)</f>
        <v>Approvisionnement</v>
      </c>
      <c r="B26" s="55" cm="1">
        <f t="array" ref="B26">IFERROR(INDEX('Niv formacode'!$B:$B,SMALL(IF('Niv formacode'!$B:$B&lt;&gt;"",ROW('Niv formacode'!$B:$B)),ROW(B25))),"")</f>
        <v>31660</v>
      </c>
      <c r="C26" s="45" t="str" cm="1">
        <f t="array" ref="C26">IF('Niv formacode'!C26="","",IFERROR(INDEX(Formacode!$C:$F,
   MATCH('Niv formacode'!$B26,Formacode!$A:$A,0),
  'Niv formacode'!C26),""))</f>
        <v/>
      </c>
      <c r="D26" s="45" t="str" cm="1">
        <f t="array" ref="D26">IF('Niv formacode'!D26="","",IFERROR(INDEX(Formacode!$C:$F,
   MATCH('Niv formacode'!$B26,Formacode!$A:$A,0),
  'Niv formacode'!D26),""))</f>
        <v/>
      </c>
      <c r="E26" s="45" t="str" cm="1">
        <f t="array" ref="E26">IF('Niv formacode'!E26="","",IFERROR(INDEX(Formacode!$C:$F,
   MATCH('Niv formacode'!$B26,Formacode!$A:$A,0),
  'Niv formacode'!E26),""))</f>
        <v/>
      </c>
      <c r="F26" s="45" t="str" cm="1">
        <f t="array" ref="F26">IF('Niv formacode'!F26="","",IFERROR(INDEX(Formacode!$C:$F,
   MATCH('Niv formacode'!$B26,Formacode!$A:$A,0),
  'Niv formacode'!F26),""))</f>
        <v/>
      </c>
      <c r="G26" s="45" t="str" cm="1">
        <f t="array" ref="G26">IF('Niv formacode'!G26="","",IFERROR(INDEX(Formacode!$C:$F,
   MATCH('Niv formacode'!$B26,Formacode!$A:$A,0),
  'Niv formacode'!G26),""))</f>
        <v/>
      </c>
      <c r="H26" s="45" t="str" cm="1">
        <f t="array" ref="H26">IF('Niv formacode'!H26="","",IFERROR(INDEX(Formacode!$C:$F,
   MATCH('Niv formacode'!$B26,Formacode!$A:$A,0),
  'Niv formacode'!H26),""))</f>
        <v/>
      </c>
      <c r="I26" s="45" cm="1">
        <f t="array" ref="I26">IF('Niv formacode'!I26="","",IFERROR(INDEX(Formacode!$C:$F,
   MATCH('Niv formacode'!$B26,Formacode!$A:$A,0),
  'Niv formacode'!I26),""))</f>
        <v>79</v>
      </c>
      <c r="J26" s="45" t="str" cm="1">
        <f t="array" ref="J26">IF('Niv formacode'!J26="","",IFERROR(INDEX(Formacode!$C:$F,
   MATCH('Niv formacode'!$B26,Formacode!$A:$A,0),
  'Niv formacode'!J26),""))</f>
        <v/>
      </c>
      <c r="K26" s="45" cm="1">
        <f t="array" ref="K26">IF('Niv formacode'!K26="","",IFERROR(INDEX(Formacode!$C:$F,
   MATCH('Niv formacode'!$B26,Formacode!$A:$A,0),
  'Niv formacode'!K26),""))</f>
        <v>227</v>
      </c>
      <c r="L26" s="45" t="str" cm="1">
        <f t="array" ref="L26">IF('Niv formacode'!L26="","",IFERROR(INDEX(Formacode!$C:$F,
   MATCH('Niv formacode'!$B26,Formacode!$A:$A,0),
  'Niv formacode'!L26),""))</f>
        <v/>
      </c>
      <c r="M26" s="45" t="str" cm="1">
        <f t="array" ref="M26">IF('Niv formacode'!M26="","",IFERROR(INDEX(Formacode!$C:$F,
   MATCH('Niv formacode'!$B26,Formacode!$A:$A,0),
  'Niv formacode'!M26),""))</f>
        <v/>
      </c>
      <c r="N26" s="45" t="str" cm="1">
        <f t="array" ref="N26">IF('Niv formacode'!N26="","",IFERROR(INDEX(Formacode!$C:$F,
   MATCH('Niv formacode'!$B26,Formacode!$A:$A,0),
  'Niv formacode'!N26),""))</f>
        <v/>
      </c>
      <c r="O26" s="45" t="str" cm="1">
        <f t="array" ref="O26">IF('Niv formacode'!O26="","",IFERROR(INDEX(Formacode!$C:$F,
   MATCH('Niv formacode'!$B26,Formacode!$A:$A,0),
  'Niv formacode'!O26),""))</f>
        <v/>
      </c>
      <c r="P26" s="45" t="str" cm="1">
        <f t="array" ref="P26">IF('Niv formacode'!P26="","",IFERROR(INDEX(Formacode!$C:$F,
   MATCH('Niv formacode'!$B26,Formacode!$A:$A,0),
  'Niv formacode'!P26),""))</f>
        <v/>
      </c>
      <c r="Q26" s="45" t="str" cm="1">
        <f t="array" ref="Q26">IF('Niv formacode'!Q26="","",IFERROR(INDEX(Formacode!$C:$F,
   MATCH('Niv formacode'!$B26,Formacode!$A:$A,0),
  'Niv formacode'!Q26),""))</f>
        <v/>
      </c>
      <c r="R26" s="45" cm="1">
        <f t="array" ref="R26">IF('Niv formacode'!R26="","",IFERROR(INDEX(Formacode!$C:$F,
   MATCH('Niv formacode'!$B26,Formacode!$A:$A,0),
  'Niv formacode'!R26),""))</f>
        <v>227</v>
      </c>
      <c r="S26" s="45" t="str" cm="1">
        <f t="array" ref="S26">IF('Niv formacode'!S26="","",IFERROR(INDEX(Formacode!$C:$F,
   MATCH('Niv formacode'!$B26,Formacode!$A:$A,0),
  'Niv formacode'!S26),""))</f>
        <v/>
      </c>
      <c r="T26" s="45" t="str" cm="1">
        <f t="array" ref="T26">IF('Niv formacode'!T26="","",IFERROR(INDEX(Formacode!$C:$F,
   MATCH('Niv formacode'!$B26,Formacode!$A:$A,0),
  'Niv formacode'!T26),""))</f>
        <v/>
      </c>
      <c r="U26" s="45" t="str" cm="1">
        <f t="array" ref="U26">IF('Niv formacode'!U26="","",IFERROR(INDEX(Formacode!$C:$F,
   MATCH('Niv formacode'!$B26,Formacode!$A:$A,0),
  'Niv formacode'!U26),""))</f>
        <v/>
      </c>
      <c r="V26" s="45" t="str" cm="1">
        <f t="array" ref="V26">IF('Niv formacode'!V26="","",IFERROR(INDEX(Formacode!$C:$F,
   MATCH('Niv formacode'!$B26,Formacode!$A:$A,0),
  'Niv formacode'!V26),""))</f>
        <v/>
      </c>
      <c r="W26" s="45" t="str" cm="1">
        <f t="array" ref="W26">IF('Niv formacode'!W26="","",IFERROR(INDEX(Formacode!$C:$F,
   MATCH('Niv formacode'!$B26,Formacode!$A:$A,0),
  'Niv formacode'!W26),""))</f>
        <v/>
      </c>
      <c r="X26" s="45" t="str" cm="1">
        <f t="array" ref="X26">IF('Niv formacode'!X26="","",IFERROR(INDEX(Formacode!$C:$F,
   MATCH('Niv formacode'!$B26,Formacode!$A:$A,0),
  'Niv formacode'!X26),""))</f>
        <v/>
      </c>
      <c r="Y26" s="45" t="str" cm="1">
        <f t="array" ref="Y26">IF('Niv formacode'!Y26="","",IFERROR(INDEX(Formacode!$C:$F,
   MATCH('Niv formacode'!$B26,Formacode!$A:$A,0),
  'Niv formacode'!Y26),""))</f>
        <v/>
      </c>
      <c r="Z26" s="45" t="str" cm="1">
        <f t="array" ref="Z26">IF('Niv formacode'!Z26="","",IFERROR(INDEX(Formacode!$C:$F,
   MATCH('Niv formacode'!$B26,Formacode!$A:$A,0),
  'Niv formacode'!Z26),""))</f>
        <v/>
      </c>
      <c r="AA26" s="45" t="str" cm="1">
        <f t="array" ref="AA26">IF('Niv formacode'!AA26="","",IFERROR(INDEX(Formacode!$C:$F,
   MATCH('Niv formacode'!$B26,Formacode!$A:$A,0),
  'Niv formacode'!AA26),""))</f>
        <v/>
      </c>
      <c r="AB26" s="45" t="str" cm="1">
        <f t="array" ref="AB26">IF('Niv formacode'!AB26="","",IFERROR(INDEX(Formacode!$C:$F,
   MATCH('Niv formacode'!$B26,Formacode!$A:$A,0),
  'Niv formacode'!AB26),""))</f>
        <v/>
      </c>
      <c r="AC26" s="45" t="str" cm="1">
        <f t="array" ref="AC26">IF('Niv formacode'!AC26="","",IFERROR(INDEX(Formacode!$C:$F,
   MATCH('Niv formacode'!$B26,Formacode!$A:$A,0),
  'Niv formacode'!AC26),""))</f>
        <v/>
      </c>
      <c r="AD26" s="45" t="str" cm="1">
        <f t="array" ref="AD26">IF('Niv formacode'!AD26="","",IFERROR(INDEX(Formacode!$C:$F,
   MATCH('Niv formacode'!$B26,Formacode!$A:$A,0),
  'Niv formacode'!AD26),""))</f>
        <v/>
      </c>
      <c r="AE26" s="45" t="str" cm="1">
        <f t="array" ref="AE26">IF('Niv formacode'!AE26="","",IFERROR(INDEX(Formacode!$C:$F,
   MATCH('Niv formacode'!$B26,Formacode!$A:$A,0),
  'Niv formacode'!AE26),""))</f>
        <v/>
      </c>
    </row>
    <row r="27" spans="1:31">
      <c r="A27" s="55" t="str">
        <f>_xlfn.XLOOKUP(B27,Formacode!A:A,Formacode!B:B,0,1)</f>
        <v>Langues</v>
      </c>
      <c r="B27" s="55" cm="1">
        <f t="array" ref="B27">IFERROR(INDEX('Niv formacode'!$B:$B,SMALL(IF('Niv formacode'!$B:$B&lt;&gt;"",ROW('Niv formacode'!$B:$B)),ROW(B26))),"")</f>
        <v>15254</v>
      </c>
      <c r="C27" s="45" t="str" cm="1">
        <f t="array" ref="C27">IF('Niv formacode'!C27="","",IFERROR(INDEX(Formacode!$C:$F,
   MATCH('Niv formacode'!$B27,Formacode!$A:$A,0),
  'Niv formacode'!C27),""))</f>
        <v/>
      </c>
      <c r="D27" s="45" t="str" cm="1">
        <f t="array" ref="D27">IF('Niv formacode'!D27="","",IFERROR(INDEX(Formacode!$C:$F,
   MATCH('Niv formacode'!$B27,Formacode!$A:$A,0),
  'Niv formacode'!D27),""))</f>
        <v/>
      </c>
      <c r="E27" s="45" t="str" cm="1">
        <f t="array" ref="E27">IF('Niv formacode'!E27="","",IFERROR(INDEX(Formacode!$C:$F,
   MATCH('Niv formacode'!$B27,Formacode!$A:$A,0),
  'Niv formacode'!E27),""))</f>
        <v/>
      </c>
      <c r="F27" s="45" t="str" cm="1">
        <f t="array" ref="F27">IF('Niv formacode'!F27="","",IFERROR(INDEX(Formacode!$C:$F,
   MATCH('Niv formacode'!$B27,Formacode!$A:$A,0),
  'Niv formacode'!F27),""))</f>
        <v/>
      </c>
      <c r="G27" s="45" t="str" cm="1">
        <f t="array" ref="G27">IF('Niv formacode'!G27="","",IFERROR(INDEX(Formacode!$C:$F,
   MATCH('Niv formacode'!$B27,Formacode!$A:$A,0),
  'Niv formacode'!G27),""))</f>
        <v/>
      </c>
      <c r="H27" s="45" t="str" cm="1">
        <f t="array" ref="H27">IF('Niv formacode'!H27="","",IFERROR(INDEX(Formacode!$C:$F,
   MATCH('Niv formacode'!$B27,Formacode!$A:$A,0),
  'Niv formacode'!H27),""))</f>
        <v/>
      </c>
      <c r="I27" s="45" t="str" cm="1">
        <f t="array" ref="I27">IF('Niv formacode'!I27="","",IFERROR(INDEX(Formacode!$C:$F,
   MATCH('Niv formacode'!$B27,Formacode!$A:$A,0),
  'Niv formacode'!I27),""))</f>
        <v/>
      </c>
      <c r="J27" s="45" t="str" cm="1">
        <f t="array" ref="J27">IF('Niv formacode'!J27="","",IFERROR(INDEX(Formacode!$C:$F,
   MATCH('Niv formacode'!$B27,Formacode!$A:$A,0),
  'Niv formacode'!J27),""))</f>
        <v/>
      </c>
      <c r="K27" s="45" cm="1">
        <f t="array" ref="K27">IF('Niv formacode'!K27="","",IFERROR(INDEX(Formacode!$C:$F,
   MATCH('Niv formacode'!$B27,Formacode!$A:$A,0),
  'Niv formacode'!K27),""))</f>
        <v>400</v>
      </c>
      <c r="L27" s="45" t="str" cm="1">
        <f t="array" ref="L27">IF('Niv formacode'!L27="","",IFERROR(INDEX(Formacode!$C:$F,
   MATCH('Niv formacode'!$B27,Formacode!$A:$A,0),
  'Niv formacode'!L27),""))</f>
        <v/>
      </c>
      <c r="M27" s="45" t="str" cm="1">
        <f t="array" ref="M27">IF('Niv formacode'!M27="","",IFERROR(INDEX(Formacode!$C:$F,
   MATCH('Niv formacode'!$B27,Formacode!$A:$A,0),
  'Niv formacode'!M27),""))</f>
        <v/>
      </c>
      <c r="N27" s="45" t="str" cm="1">
        <f t="array" ref="N27">IF('Niv formacode'!N27="","",IFERROR(INDEX(Formacode!$C:$F,
   MATCH('Niv formacode'!$B27,Formacode!$A:$A,0),
  'Niv formacode'!N27),""))</f>
        <v/>
      </c>
      <c r="O27" s="45" t="str" cm="1">
        <f t="array" ref="O27">IF('Niv formacode'!O27="","",IFERROR(INDEX(Formacode!$C:$F,
   MATCH('Niv formacode'!$B27,Formacode!$A:$A,0),
  'Niv formacode'!O27),""))</f>
        <v/>
      </c>
      <c r="P27" s="45" t="str" cm="1">
        <f t="array" ref="P27">IF('Niv formacode'!P27="","",IFERROR(INDEX(Formacode!$C:$F,
   MATCH('Niv formacode'!$B27,Formacode!$A:$A,0),
  'Niv formacode'!P27),""))</f>
        <v/>
      </c>
      <c r="Q27" s="45" t="str" cm="1">
        <f t="array" ref="Q27">IF('Niv formacode'!Q27="","",IFERROR(INDEX(Formacode!$C:$F,
   MATCH('Niv formacode'!$B27,Formacode!$A:$A,0),
  'Niv formacode'!Q27),""))</f>
        <v/>
      </c>
      <c r="R27" s="45" t="str" cm="1">
        <f t="array" ref="R27">IF('Niv formacode'!R27="","",IFERROR(INDEX(Formacode!$C:$F,
   MATCH('Niv formacode'!$B27,Formacode!$A:$A,0),
  'Niv formacode'!R27),""))</f>
        <v/>
      </c>
      <c r="S27" s="45" cm="1">
        <f t="array" ref="S27">IF('Niv formacode'!S27="","",IFERROR(INDEX(Formacode!$C:$F,
   MATCH('Niv formacode'!$B27,Formacode!$A:$A,0),
  'Niv formacode'!S27),""))</f>
        <v>400</v>
      </c>
      <c r="T27" s="45" t="str" cm="1">
        <f t="array" ref="T27">IF('Niv formacode'!T27="","",IFERROR(INDEX(Formacode!$C:$F,
   MATCH('Niv formacode'!$B27,Formacode!$A:$A,0),
  'Niv formacode'!T27),""))</f>
        <v/>
      </c>
      <c r="U27" s="45" t="str" cm="1">
        <f t="array" ref="U27">IF('Niv formacode'!U27="","",IFERROR(INDEX(Formacode!$C:$F,
   MATCH('Niv formacode'!$B27,Formacode!$A:$A,0),
  'Niv formacode'!U27),""))</f>
        <v/>
      </c>
      <c r="V27" s="45" t="str" cm="1">
        <f t="array" ref="V27">IF('Niv formacode'!V27="","",IFERROR(INDEX(Formacode!$C:$F,
   MATCH('Niv formacode'!$B27,Formacode!$A:$A,0),
  'Niv formacode'!V27),""))</f>
        <v/>
      </c>
      <c r="W27" s="45" t="str" cm="1">
        <f t="array" ref="W27">IF('Niv formacode'!W27="","",IFERROR(INDEX(Formacode!$C:$F,
   MATCH('Niv formacode'!$B27,Formacode!$A:$A,0),
  'Niv formacode'!W27),""))</f>
        <v/>
      </c>
      <c r="X27" s="45" t="str" cm="1">
        <f t="array" ref="X27">IF('Niv formacode'!X27="","",IFERROR(INDEX(Formacode!$C:$F,
   MATCH('Niv formacode'!$B27,Formacode!$A:$A,0),
  'Niv formacode'!X27),""))</f>
        <v/>
      </c>
      <c r="Y27" s="45" t="str" cm="1">
        <f t="array" ref="Y27">IF('Niv formacode'!Y27="","",IFERROR(INDEX(Formacode!$C:$F,
   MATCH('Niv formacode'!$B27,Formacode!$A:$A,0),
  'Niv formacode'!Y27),""))</f>
        <v/>
      </c>
      <c r="Z27" s="45" t="str" cm="1">
        <f t="array" ref="Z27">IF('Niv formacode'!Z27="","",IFERROR(INDEX(Formacode!$C:$F,
   MATCH('Niv formacode'!$B27,Formacode!$A:$A,0),
  'Niv formacode'!Z27),""))</f>
        <v/>
      </c>
      <c r="AA27" s="45" t="str" cm="1">
        <f t="array" ref="AA27">IF('Niv formacode'!AA27="","",IFERROR(INDEX(Formacode!$C:$F,
   MATCH('Niv formacode'!$B27,Formacode!$A:$A,0),
  'Niv formacode'!AA27),""))</f>
        <v/>
      </c>
      <c r="AB27" s="45" t="str" cm="1">
        <f t="array" ref="AB27">IF('Niv formacode'!AB27="","",IFERROR(INDEX(Formacode!$C:$F,
   MATCH('Niv formacode'!$B27,Formacode!$A:$A,0),
  'Niv formacode'!AB27),""))</f>
        <v/>
      </c>
      <c r="AC27" s="45" t="str" cm="1">
        <f t="array" ref="AC27">IF('Niv formacode'!AC27="","",IFERROR(INDEX(Formacode!$C:$F,
   MATCH('Niv formacode'!$B27,Formacode!$A:$A,0),
  'Niv formacode'!AC27),""))</f>
        <v/>
      </c>
      <c r="AD27" s="45" t="str" cm="1">
        <f t="array" ref="AD27">IF('Niv formacode'!AD27="","",IFERROR(INDEX(Formacode!$C:$F,
   MATCH('Niv formacode'!$B27,Formacode!$A:$A,0),
  'Niv formacode'!AD27),""))</f>
        <v/>
      </c>
      <c r="AE27" s="45" t="str" cm="1">
        <f t="array" ref="AE27">IF('Niv formacode'!AE27="","",IFERROR(INDEX(Formacode!$C:$F,
   MATCH('Niv formacode'!$B27,Formacode!$A:$A,0),
  'Niv formacode'!AE27),""))</f>
        <v/>
      </c>
    </row>
    <row r="28" spans="1:31">
      <c r="A28" s="55" t="str">
        <f>_xlfn.XLOOKUP(B28,Formacode!A:A,Formacode!B:B,0,1)</f>
        <v>Qualité achats</v>
      </c>
      <c r="B28" s="55" cm="1">
        <f t="array" ref="B28">IFERROR(INDEX('Niv formacode'!$B:$B,SMALL(IF('Niv formacode'!$B:$B&lt;&gt;"",ROW('Niv formacode'!$B:$B)),ROW(B27))),"")</f>
        <v>34005</v>
      </c>
      <c r="C28" s="45" t="str" cm="1">
        <f t="array" ref="C28">IF('Niv formacode'!C28="","",IFERROR(INDEX(Formacode!$C:$F,
   MATCH('Niv formacode'!$B28,Formacode!$A:$A,0),
  'Niv formacode'!C28),""))</f>
        <v/>
      </c>
      <c r="D28" s="45" t="str" cm="1">
        <f t="array" ref="D28">IF('Niv formacode'!D28="","",IFERROR(INDEX(Formacode!$C:$F,
   MATCH('Niv formacode'!$B28,Formacode!$A:$A,0),
  'Niv formacode'!D28),""))</f>
        <v/>
      </c>
      <c r="E28" s="45" t="str" cm="1">
        <f t="array" ref="E28">IF('Niv formacode'!E28="","",IFERROR(INDEX(Formacode!$C:$F,
   MATCH('Niv formacode'!$B28,Formacode!$A:$A,0),
  'Niv formacode'!E28),""))</f>
        <v/>
      </c>
      <c r="F28" s="45" t="str" cm="1">
        <f t="array" ref="F28">IF('Niv formacode'!F28="","",IFERROR(INDEX(Formacode!$C:$F,
   MATCH('Niv formacode'!$B28,Formacode!$A:$A,0),
  'Niv formacode'!F28),""))</f>
        <v/>
      </c>
      <c r="G28" s="45" t="str" cm="1">
        <f t="array" ref="G28">IF('Niv formacode'!G28="","",IFERROR(INDEX(Formacode!$C:$F,
   MATCH('Niv formacode'!$B28,Formacode!$A:$A,0),
  'Niv formacode'!G28),""))</f>
        <v/>
      </c>
      <c r="H28" s="45" t="str" cm="1">
        <f t="array" ref="H28">IF('Niv formacode'!H28="","",IFERROR(INDEX(Formacode!$C:$F,
   MATCH('Niv formacode'!$B28,Formacode!$A:$A,0),
  'Niv formacode'!H28),""))</f>
        <v/>
      </c>
      <c r="I28" s="45" t="str" cm="1">
        <f t="array" ref="I28">IF('Niv formacode'!I28="","",IFERROR(INDEX(Formacode!$C:$F,
   MATCH('Niv formacode'!$B28,Formacode!$A:$A,0),
  'Niv formacode'!I28),""))</f>
        <v/>
      </c>
      <c r="J28" s="45" t="str" cm="1">
        <f t="array" ref="J28">IF('Niv formacode'!J28="","",IFERROR(INDEX(Formacode!$C:$F,
   MATCH('Niv formacode'!$B28,Formacode!$A:$A,0),
  'Niv formacode'!J28),""))</f>
        <v/>
      </c>
      <c r="K28" s="45" cm="1">
        <f t="array" ref="K28">IF('Niv formacode'!K28="","",IFERROR(INDEX(Formacode!$C:$F,
   MATCH('Niv formacode'!$B28,Formacode!$A:$A,0),
  'Niv formacode'!K28),""))</f>
        <v>15</v>
      </c>
      <c r="L28" s="45" t="str" cm="1">
        <f t="array" ref="L28">IF('Niv formacode'!L28="","",IFERROR(INDEX(Formacode!$C:$F,
   MATCH('Niv formacode'!$B28,Formacode!$A:$A,0),
  'Niv formacode'!L28),""))</f>
        <v/>
      </c>
      <c r="M28" s="45" t="str" cm="1">
        <f t="array" ref="M28">IF('Niv formacode'!M28="","",IFERROR(INDEX(Formacode!$C:$F,
   MATCH('Niv formacode'!$B28,Formacode!$A:$A,0),
  'Niv formacode'!M28),""))</f>
        <v/>
      </c>
      <c r="N28" s="45" t="str" cm="1">
        <f t="array" ref="N28">IF('Niv formacode'!N28="","",IFERROR(INDEX(Formacode!$C:$F,
   MATCH('Niv formacode'!$B28,Formacode!$A:$A,0),
  'Niv formacode'!N28),""))</f>
        <v/>
      </c>
      <c r="O28" s="45" t="str" cm="1">
        <f t="array" ref="O28">IF('Niv formacode'!O28="","",IFERROR(INDEX(Formacode!$C:$F,
   MATCH('Niv formacode'!$B28,Formacode!$A:$A,0),
  'Niv formacode'!O28),""))</f>
        <v/>
      </c>
      <c r="P28" s="45" t="str" cm="1">
        <f t="array" ref="P28">IF('Niv formacode'!P28="","",IFERROR(INDEX(Formacode!$C:$F,
   MATCH('Niv formacode'!$B28,Formacode!$A:$A,0),
  'Niv formacode'!P28),""))</f>
        <v/>
      </c>
      <c r="Q28" s="45" t="str" cm="1">
        <f t="array" ref="Q28">IF('Niv formacode'!Q28="","",IFERROR(INDEX(Formacode!$C:$F,
   MATCH('Niv formacode'!$B28,Formacode!$A:$A,0),
  'Niv formacode'!Q28),""))</f>
        <v/>
      </c>
      <c r="R28" s="45" t="str" cm="1">
        <f t="array" ref="R28">IF('Niv formacode'!R28="","",IFERROR(INDEX(Formacode!$C:$F,
   MATCH('Niv formacode'!$B28,Formacode!$A:$A,0),
  'Niv formacode'!R28),""))</f>
        <v/>
      </c>
      <c r="S28" s="45" cm="1">
        <f t="array" ref="S28">IF('Niv formacode'!S28="","",IFERROR(INDEX(Formacode!$C:$F,
   MATCH('Niv formacode'!$B28,Formacode!$A:$A,0),
  'Niv formacode'!S28),""))</f>
        <v>150</v>
      </c>
      <c r="T28" s="45" t="str" cm="1">
        <f t="array" ref="T28">IF('Niv formacode'!T28="","",IFERROR(INDEX(Formacode!$C:$F,
   MATCH('Niv formacode'!$B28,Formacode!$A:$A,0),
  'Niv formacode'!T28),""))</f>
        <v/>
      </c>
      <c r="U28" s="45" t="str" cm="1">
        <f t="array" ref="U28">IF('Niv formacode'!U28="","",IFERROR(INDEX(Formacode!$C:$F,
   MATCH('Niv formacode'!$B28,Formacode!$A:$A,0),
  'Niv formacode'!U28),""))</f>
        <v/>
      </c>
      <c r="V28" s="45" t="str" cm="1">
        <f t="array" ref="V28">IF('Niv formacode'!V28="","",IFERROR(INDEX(Formacode!$C:$F,
   MATCH('Niv formacode'!$B28,Formacode!$A:$A,0),
  'Niv formacode'!V28),""))</f>
        <v/>
      </c>
      <c r="W28" s="45" t="str" cm="1">
        <f t="array" ref="W28">IF('Niv formacode'!W28="","",IFERROR(INDEX(Formacode!$C:$F,
   MATCH('Niv formacode'!$B28,Formacode!$A:$A,0),
  'Niv formacode'!W28),""))</f>
        <v/>
      </c>
      <c r="X28" s="45" t="str" cm="1">
        <f t="array" ref="X28">IF('Niv formacode'!X28="","",IFERROR(INDEX(Formacode!$C:$F,
   MATCH('Niv formacode'!$B28,Formacode!$A:$A,0),
  'Niv formacode'!X28),""))</f>
        <v/>
      </c>
      <c r="Y28" s="45" t="str" cm="1">
        <f t="array" ref="Y28">IF('Niv formacode'!Y28="","",IFERROR(INDEX(Formacode!$C:$F,
   MATCH('Niv formacode'!$B28,Formacode!$A:$A,0),
  'Niv formacode'!Y28),""))</f>
        <v/>
      </c>
      <c r="Z28" s="45" t="str" cm="1">
        <f t="array" ref="Z28">IF('Niv formacode'!Z28="","",IFERROR(INDEX(Formacode!$C:$F,
   MATCH('Niv formacode'!$B28,Formacode!$A:$A,0),
  'Niv formacode'!Z28),""))</f>
        <v/>
      </c>
      <c r="AA28" s="45" t="str" cm="1">
        <f t="array" ref="AA28">IF('Niv formacode'!AA28="","",IFERROR(INDEX(Formacode!$C:$F,
   MATCH('Niv formacode'!$B28,Formacode!$A:$A,0),
  'Niv formacode'!AA28),""))</f>
        <v/>
      </c>
      <c r="AB28" s="45" t="str" cm="1">
        <f t="array" ref="AB28">IF('Niv formacode'!AB28="","",IFERROR(INDEX(Formacode!$C:$F,
   MATCH('Niv formacode'!$B28,Formacode!$A:$A,0),
  'Niv formacode'!AB28),""))</f>
        <v/>
      </c>
      <c r="AC28" s="45" t="str" cm="1">
        <f t="array" ref="AC28">IF('Niv formacode'!AC28="","",IFERROR(INDEX(Formacode!$C:$F,
   MATCH('Niv formacode'!$B28,Formacode!$A:$A,0),
  'Niv formacode'!AC28),""))</f>
        <v/>
      </c>
      <c r="AD28" s="45" t="str" cm="1">
        <f t="array" ref="AD28">IF('Niv formacode'!AD28="","",IFERROR(INDEX(Formacode!$C:$F,
   MATCH('Niv formacode'!$B28,Formacode!$A:$A,0),
  'Niv formacode'!AD28),""))</f>
        <v/>
      </c>
      <c r="AE28" s="45" t="str" cm="1">
        <f t="array" ref="AE28">IF('Niv formacode'!AE28="","",IFERROR(INDEX(Formacode!$C:$F,
   MATCH('Niv formacode'!$B28,Formacode!$A:$A,0),
  'Niv formacode'!AE28),""))</f>
        <v/>
      </c>
    </row>
    <row r="29" spans="1:31">
      <c r="A29" s="55" t="str">
        <f>_xlfn.XLOOKUP(B29,Formacode!A:A,Formacode!B:B,0,1)</f>
        <v>Génie des procédés</v>
      </c>
      <c r="B29" s="55" cm="1">
        <f t="array" ref="B29">IFERROR(INDEX('Niv formacode'!$B:$B,SMALL(IF('Niv formacode'!$B:$B&lt;&gt;"",ROW('Niv formacode'!$B:$B)),ROW(B28))),"")</f>
        <v>31608</v>
      </c>
      <c r="C29" s="45" t="str" cm="1">
        <f t="array" ref="C29">IF('Niv formacode'!C29="","",IFERROR(INDEX(Formacode!$C:$F,
   MATCH('Niv formacode'!$B29,Formacode!$A:$A,0),
  'Niv formacode'!C29),""))</f>
        <v/>
      </c>
      <c r="D29" s="45" t="str" cm="1">
        <f t="array" ref="D29">IF('Niv formacode'!D29="","",IFERROR(INDEX(Formacode!$C:$F,
   MATCH('Niv formacode'!$B29,Formacode!$A:$A,0),
  'Niv formacode'!D29),""))</f>
        <v/>
      </c>
      <c r="E29" s="45" t="str" cm="1">
        <f t="array" ref="E29">IF('Niv formacode'!E29="","",IFERROR(INDEX(Formacode!$C:$F,
   MATCH('Niv formacode'!$B29,Formacode!$A:$A,0),
  'Niv formacode'!E29),""))</f>
        <v/>
      </c>
      <c r="F29" s="45" t="str" cm="1">
        <f t="array" ref="F29">IF('Niv formacode'!F29="","",IFERROR(INDEX(Formacode!$C:$F,
   MATCH('Niv formacode'!$B29,Formacode!$A:$A,0),
  'Niv formacode'!F29),""))</f>
        <v/>
      </c>
      <c r="G29" s="45" t="str" cm="1">
        <f t="array" ref="G29">IF('Niv formacode'!G29="","",IFERROR(INDEX(Formacode!$C:$F,
   MATCH('Niv formacode'!$B29,Formacode!$A:$A,0),
  'Niv formacode'!G29),""))</f>
        <v/>
      </c>
      <c r="H29" s="45" t="str" cm="1">
        <f t="array" ref="H29">IF('Niv formacode'!H29="","",IFERROR(INDEX(Formacode!$C:$F,
   MATCH('Niv formacode'!$B29,Formacode!$A:$A,0),
  'Niv formacode'!H29),""))</f>
        <v/>
      </c>
      <c r="I29" s="45" t="str" cm="1">
        <f t="array" ref="I29">IF('Niv formacode'!I29="","",IFERROR(INDEX(Formacode!$C:$F,
   MATCH('Niv formacode'!$B29,Formacode!$A:$A,0),
  'Niv formacode'!I29),""))</f>
        <v/>
      </c>
      <c r="J29" s="45" t="str" cm="1">
        <f t="array" ref="J29">IF('Niv formacode'!J29="","",IFERROR(INDEX(Formacode!$C:$F,
   MATCH('Niv formacode'!$B29,Formacode!$A:$A,0),
  'Niv formacode'!J29),""))</f>
        <v/>
      </c>
      <c r="K29" s="45" t="str" cm="1">
        <f t="array" ref="K29">IF('Niv formacode'!K29="","",IFERROR(INDEX(Formacode!$C:$F,
   MATCH('Niv formacode'!$B29,Formacode!$A:$A,0),
  'Niv formacode'!K29),""))</f>
        <v/>
      </c>
      <c r="L29" s="45" cm="1">
        <f t="array" ref="L29">IF('Niv formacode'!L29="","",IFERROR(INDEX(Formacode!$C:$F,
   MATCH('Niv formacode'!$B29,Formacode!$A:$A,0),
  'Niv formacode'!L29),""))</f>
        <v>568</v>
      </c>
      <c r="M29" s="45" t="str" cm="1">
        <f t="array" ref="M29">IF('Niv formacode'!M29="","",IFERROR(INDEX(Formacode!$C:$F,
   MATCH('Niv formacode'!$B29,Formacode!$A:$A,0),
  'Niv formacode'!M29),""))</f>
        <v/>
      </c>
      <c r="N29" s="45" t="str" cm="1">
        <f t="array" ref="N29">IF('Niv formacode'!N29="","",IFERROR(INDEX(Formacode!$C:$F,
   MATCH('Niv formacode'!$B29,Formacode!$A:$A,0),
  'Niv formacode'!N29),""))</f>
        <v/>
      </c>
      <c r="O29" s="45" cm="1">
        <f t="array" ref="O29">IF('Niv formacode'!O29="","",IFERROR(INDEX(Formacode!$C:$F,
   MATCH('Niv formacode'!$B29,Formacode!$A:$A,0),
  'Niv formacode'!O29),""))</f>
        <v>568</v>
      </c>
      <c r="P29" s="45" t="str" cm="1">
        <f t="array" ref="P29">IF('Niv formacode'!P29="","",IFERROR(INDEX(Formacode!$C:$F,
   MATCH('Niv formacode'!$B29,Formacode!$A:$A,0),
  'Niv formacode'!P29),""))</f>
        <v/>
      </c>
      <c r="Q29" s="45" t="str" cm="1">
        <f t="array" ref="Q29">IF('Niv formacode'!Q29="","",IFERROR(INDEX(Formacode!$C:$F,
   MATCH('Niv formacode'!$B29,Formacode!$A:$A,0),
  'Niv formacode'!Q29),""))</f>
        <v/>
      </c>
      <c r="R29" s="45" t="str" cm="1">
        <f t="array" ref="R29">IF('Niv formacode'!R29="","",IFERROR(INDEX(Formacode!$C:$F,
   MATCH('Niv formacode'!$B29,Formacode!$A:$A,0),
  'Niv formacode'!R29),""))</f>
        <v/>
      </c>
      <c r="S29" s="45" t="str" cm="1">
        <f t="array" ref="S29">IF('Niv formacode'!S29="","",IFERROR(INDEX(Formacode!$C:$F,
   MATCH('Niv formacode'!$B29,Formacode!$A:$A,0),
  'Niv formacode'!S29),""))</f>
        <v/>
      </c>
      <c r="T29" s="45" t="str" cm="1">
        <f t="array" ref="T29">IF('Niv formacode'!T29="","",IFERROR(INDEX(Formacode!$C:$F,
   MATCH('Niv formacode'!$B29,Formacode!$A:$A,0),
  'Niv formacode'!T29),""))</f>
        <v/>
      </c>
      <c r="U29" s="45" t="str" cm="1">
        <f t="array" ref="U29">IF('Niv formacode'!U29="","",IFERROR(INDEX(Formacode!$C:$F,
   MATCH('Niv formacode'!$B29,Formacode!$A:$A,0),
  'Niv formacode'!U29),""))</f>
        <v/>
      </c>
      <c r="V29" s="45" t="str" cm="1">
        <f t="array" ref="V29">IF('Niv formacode'!V29="","",IFERROR(INDEX(Formacode!$C:$F,
   MATCH('Niv formacode'!$B29,Formacode!$A:$A,0),
  'Niv formacode'!V29),""))</f>
        <v/>
      </c>
      <c r="W29" s="45" t="str" cm="1">
        <f t="array" ref="W29">IF('Niv formacode'!W29="","",IFERROR(INDEX(Formacode!$C:$F,
   MATCH('Niv formacode'!$B29,Formacode!$A:$A,0),
  'Niv formacode'!W29),""))</f>
        <v/>
      </c>
      <c r="X29" s="45" cm="1">
        <f t="array" ref="X29">IF('Niv formacode'!X29="","",IFERROR(INDEX(Formacode!$C:$F,
   MATCH('Niv formacode'!$B29,Formacode!$A:$A,0),
  'Niv formacode'!X29),""))</f>
        <v>235</v>
      </c>
      <c r="Y29" s="45" t="str" cm="1">
        <f t="array" ref="Y29">IF('Niv formacode'!Y29="","",IFERROR(INDEX(Formacode!$C:$F,
   MATCH('Niv formacode'!$B29,Formacode!$A:$A,0),
  'Niv formacode'!Y29),""))</f>
        <v/>
      </c>
      <c r="Z29" s="45" t="str" cm="1">
        <f t="array" ref="Z29">IF('Niv formacode'!Z29="","",IFERROR(INDEX(Formacode!$C:$F,
   MATCH('Niv formacode'!$B29,Formacode!$A:$A,0),
  'Niv formacode'!Z29),""))</f>
        <v/>
      </c>
      <c r="AA29" s="45" t="str" cm="1">
        <f t="array" ref="AA29">IF('Niv formacode'!AA29="","",IFERROR(INDEX(Formacode!$C:$F,
   MATCH('Niv formacode'!$B29,Formacode!$A:$A,0),
  'Niv formacode'!AA29),""))</f>
        <v/>
      </c>
      <c r="AB29" s="45" t="str" cm="1">
        <f t="array" ref="AB29">IF('Niv formacode'!AB29="","",IFERROR(INDEX(Formacode!$C:$F,
   MATCH('Niv formacode'!$B29,Formacode!$A:$A,0),
  'Niv formacode'!AB29),""))</f>
        <v/>
      </c>
      <c r="AC29" s="45" t="str" cm="1">
        <f t="array" ref="AC29">IF('Niv formacode'!AC29="","",IFERROR(INDEX(Formacode!$C:$F,
   MATCH('Niv formacode'!$B29,Formacode!$A:$A,0),
  'Niv formacode'!AC29),""))</f>
        <v/>
      </c>
      <c r="AD29" s="45" t="str" cm="1">
        <f t="array" ref="AD29">IF('Niv formacode'!AD29="","",IFERROR(INDEX(Formacode!$C:$F,
   MATCH('Niv formacode'!$B29,Formacode!$A:$A,0),
  'Niv formacode'!AD29),""))</f>
        <v/>
      </c>
      <c r="AE29" s="45" t="str" cm="1">
        <f t="array" ref="AE29">IF('Niv formacode'!AE29="","",IFERROR(INDEX(Formacode!$C:$F,
   MATCH('Niv formacode'!$B29,Formacode!$A:$A,0),
  'Niv formacode'!AE29),""))</f>
        <v/>
      </c>
    </row>
    <row r="30" spans="1:31">
      <c r="A30" s="55" t="str">
        <f>_xlfn.XLOOKUP(B30,Formacode!A:A,Formacode!B:B,0,1)</f>
        <v>Livraison</v>
      </c>
      <c r="B30" s="55" cm="1">
        <f t="array" ref="B30">IFERROR(INDEX('Niv formacode'!$B:$B,SMALL(IF('Niv formacode'!$B:$B&lt;&gt;"",ROW('Niv formacode'!$B:$B)),ROW(B29))),"")</f>
        <v>31807</v>
      </c>
      <c r="C30" s="45" t="str" cm="1">
        <f t="array" ref="C30">IF('Niv formacode'!C30="","",IFERROR(INDEX(Formacode!$C:$F,
   MATCH('Niv formacode'!$B30,Formacode!$A:$A,0),
  'Niv formacode'!C30),""))</f>
        <v/>
      </c>
      <c r="D30" s="45" t="str" cm="1">
        <f t="array" ref="D30">IF('Niv formacode'!D30="","",IFERROR(INDEX(Formacode!$C:$F,
   MATCH('Niv formacode'!$B30,Formacode!$A:$A,0),
  'Niv formacode'!D30),""))</f>
        <v/>
      </c>
      <c r="E30" s="45" t="str" cm="1">
        <f t="array" ref="E30">IF('Niv formacode'!E30="","",IFERROR(INDEX(Formacode!$C:$F,
   MATCH('Niv formacode'!$B30,Formacode!$A:$A,0),
  'Niv formacode'!E30),""))</f>
        <v/>
      </c>
      <c r="F30" s="45" t="str" cm="1">
        <f t="array" ref="F30">IF('Niv formacode'!F30="","",IFERROR(INDEX(Formacode!$C:$F,
   MATCH('Niv formacode'!$B30,Formacode!$A:$A,0),
  'Niv formacode'!F30),""))</f>
        <v/>
      </c>
      <c r="G30" s="45" t="str" cm="1">
        <f t="array" ref="G30">IF('Niv formacode'!G30="","",IFERROR(INDEX(Formacode!$C:$F,
   MATCH('Niv formacode'!$B30,Formacode!$A:$A,0),
  'Niv formacode'!G30),""))</f>
        <v/>
      </c>
      <c r="H30" s="45" t="str" cm="1">
        <f t="array" ref="H30">IF('Niv formacode'!H30="","",IFERROR(INDEX(Formacode!$C:$F,
   MATCH('Niv formacode'!$B30,Formacode!$A:$A,0),
  'Niv formacode'!H30),""))</f>
        <v/>
      </c>
      <c r="I30" s="45" t="str" cm="1">
        <f t="array" ref="I30">IF('Niv formacode'!I30="","",IFERROR(INDEX(Formacode!$C:$F,
   MATCH('Niv formacode'!$B30,Formacode!$A:$A,0),
  'Niv formacode'!I30),""))</f>
        <v/>
      </c>
      <c r="J30" s="45" t="str" cm="1">
        <f t="array" ref="J30">IF('Niv formacode'!J30="","",IFERROR(INDEX(Formacode!$C:$F,
   MATCH('Niv formacode'!$B30,Formacode!$A:$A,0),
  'Niv formacode'!J30),""))</f>
        <v/>
      </c>
      <c r="K30" s="45" t="str" cm="1">
        <f t="array" ref="K30">IF('Niv formacode'!K30="","",IFERROR(INDEX(Formacode!$C:$F,
   MATCH('Niv formacode'!$B30,Formacode!$A:$A,0),
  'Niv formacode'!K30),""))</f>
        <v/>
      </c>
      <c r="L30" s="45" t="str" cm="1">
        <f t="array" ref="L30">IF('Niv formacode'!L30="","",IFERROR(INDEX(Formacode!$C:$F,
   MATCH('Niv formacode'!$B30,Formacode!$A:$A,0),
  'Niv formacode'!L30),""))</f>
        <v/>
      </c>
      <c r="M30" s="45" cm="1">
        <f t="array" ref="M30">IF('Niv formacode'!M30="","",IFERROR(INDEX(Formacode!$C:$F,
   MATCH('Niv formacode'!$B30,Formacode!$A:$A,0),
  'Niv formacode'!M30),""))</f>
        <v>209</v>
      </c>
      <c r="N30" s="45" t="str" cm="1">
        <f t="array" ref="N30">IF('Niv formacode'!N30="","",IFERROR(INDEX(Formacode!$C:$F,
   MATCH('Niv formacode'!$B30,Formacode!$A:$A,0),
  'Niv formacode'!N30),""))</f>
        <v/>
      </c>
      <c r="O30" s="45" t="str" cm="1">
        <f t="array" ref="O30">IF('Niv formacode'!O30="","",IFERROR(INDEX(Formacode!$C:$F,
   MATCH('Niv formacode'!$B30,Formacode!$A:$A,0),
  'Niv formacode'!O30),""))</f>
        <v/>
      </c>
      <c r="P30" s="45" cm="1">
        <f t="array" ref="P30">IF('Niv formacode'!P30="","",IFERROR(INDEX(Formacode!$C:$F,
   MATCH('Niv formacode'!$B30,Formacode!$A:$A,0),
  'Niv formacode'!P30),""))</f>
        <v>209</v>
      </c>
      <c r="Q30" s="45" t="str" cm="1">
        <f t="array" ref="Q30">IF('Niv formacode'!Q30="","",IFERROR(INDEX(Formacode!$C:$F,
   MATCH('Niv formacode'!$B30,Formacode!$A:$A,0),
  'Niv formacode'!Q30),""))</f>
        <v/>
      </c>
      <c r="R30" s="45" t="str" cm="1">
        <f t="array" ref="R30">IF('Niv formacode'!R30="","",IFERROR(INDEX(Formacode!$C:$F,
   MATCH('Niv formacode'!$B30,Formacode!$A:$A,0),
  'Niv formacode'!R30),""))</f>
        <v/>
      </c>
      <c r="S30" s="45" t="str" cm="1">
        <f t="array" ref="S30">IF('Niv formacode'!S30="","",IFERROR(INDEX(Formacode!$C:$F,
   MATCH('Niv formacode'!$B30,Formacode!$A:$A,0),
  'Niv formacode'!S30),""))</f>
        <v/>
      </c>
      <c r="T30" s="45" t="str" cm="1">
        <f t="array" ref="T30">IF('Niv formacode'!T30="","",IFERROR(INDEX(Formacode!$C:$F,
   MATCH('Niv formacode'!$B30,Formacode!$A:$A,0),
  'Niv formacode'!T30),""))</f>
        <v/>
      </c>
      <c r="U30" s="45" t="str" cm="1">
        <f t="array" ref="U30">IF('Niv formacode'!U30="","",IFERROR(INDEX(Formacode!$C:$F,
   MATCH('Niv formacode'!$B30,Formacode!$A:$A,0),
  'Niv formacode'!U30),""))</f>
        <v/>
      </c>
      <c r="V30" s="45" t="str" cm="1">
        <f t="array" ref="V30">IF('Niv formacode'!V30="","",IFERROR(INDEX(Formacode!$C:$F,
   MATCH('Niv formacode'!$B30,Formacode!$A:$A,0),
  'Niv formacode'!V30),""))</f>
        <v/>
      </c>
      <c r="W30" s="45" t="str" cm="1">
        <f t="array" ref="W30">IF('Niv formacode'!W30="","",IFERROR(INDEX(Formacode!$C:$F,
   MATCH('Niv formacode'!$B30,Formacode!$A:$A,0),
  'Niv formacode'!W30),""))</f>
        <v/>
      </c>
      <c r="X30" s="45" t="str" cm="1">
        <f t="array" ref="X30">IF('Niv formacode'!X30="","",IFERROR(INDEX(Formacode!$C:$F,
   MATCH('Niv formacode'!$B30,Formacode!$A:$A,0),
  'Niv formacode'!X30),""))</f>
        <v/>
      </c>
      <c r="Y30" s="45" t="str" cm="1">
        <f t="array" ref="Y30">IF('Niv formacode'!Y30="","",IFERROR(INDEX(Formacode!$C:$F,
   MATCH('Niv formacode'!$B30,Formacode!$A:$A,0),
  'Niv formacode'!Y30),""))</f>
        <v/>
      </c>
      <c r="Z30" s="45" t="str" cm="1">
        <f t="array" ref="Z30">IF('Niv formacode'!Z30="","",IFERROR(INDEX(Formacode!$C:$F,
   MATCH('Niv formacode'!$B30,Formacode!$A:$A,0),
  'Niv formacode'!Z30),""))</f>
        <v/>
      </c>
      <c r="AA30" s="45" t="str" cm="1">
        <f t="array" ref="AA30">IF('Niv formacode'!AA30="","",IFERROR(INDEX(Formacode!$C:$F,
   MATCH('Niv formacode'!$B30,Formacode!$A:$A,0),
  'Niv formacode'!AA30),""))</f>
        <v/>
      </c>
      <c r="AB30" s="45" t="str" cm="1">
        <f t="array" ref="AB30">IF('Niv formacode'!AB30="","",IFERROR(INDEX(Formacode!$C:$F,
   MATCH('Niv formacode'!$B30,Formacode!$A:$A,0),
  'Niv formacode'!AB30),""))</f>
        <v/>
      </c>
      <c r="AC30" s="45" t="str" cm="1">
        <f t="array" ref="AC30">IF('Niv formacode'!AC30="","",IFERROR(INDEX(Formacode!$C:$F,
   MATCH('Niv formacode'!$B30,Formacode!$A:$A,0),
  'Niv formacode'!AC30),""))</f>
        <v/>
      </c>
      <c r="AD30" s="45" t="str" cm="1">
        <f t="array" ref="AD30">IF('Niv formacode'!AD30="","",IFERROR(INDEX(Formacode!$C:$F,
   MATCH('Niv formacode'!$B30,Formacode!$A:$A,0),
  'Niv formacode'!AD30),""))</f>
        <v/>
      </c>
      <c r="AE30" s="45" t="str" cm="1">
        <f t="array" ref="AE30">IF('Niv formacode'!AE30="","",IFERROR(INDEX(Formacode!$C:$F,
   MATCH('Niv formacode'!$B30,Formacode!$A:$A,0),
  'Niv formacode'!AE30),""))</f>
        <v/>
      </c>
    </row>
    <row r="31" spans="1:31">
      <c r="A31" s="55" t="str">
        <f>_xlfn.XLOOKUP(B31,Formacode!A:A,Formacode!B:B,0,1)</f>
        <v>Transport routier</v>
      </c>
      <c r="B31" s="55" cm="1">
        <f t="array" ref="B31">IFERROR(INDEX('Niv formacode'!$B:$B,SMALL(IF('Niv formacode'!$B:$B&lt;&gt;"",ROW('Niv formacode'!$B:$B)),ROW(B30))),"")</f>
        <v>31833</v>
      </c>
      <c r="C31" s="45" t="str" cm="1">
        <f t="array" ref="C31">IF('Niv formacode'!C31="","",IFERROR(INDEX(Formacode!$C:$F,
   MATCH('Niv formacode'!$B31,Formacode!$A:$A,0),
  'Niv formacode'!C31),""))</f>
        <v/>
      </c>
      <c r="D31" s="45" t="str" cm="1">
        <f t="array" ref="D31">IF('Niv formacode'!D31="","",IFERROR(INDEX(Formacode!$C:$F,
   MATCH('Niv formacode'!$B31,Formacode!$A:$A,0),
  'Niv formacode'!D31),""))</f>
        <v/>
      </c>
      <c r="E31" s="45" t="str" cm="1">
        <f t="array" ref="E31">IF('Niv formacode'!E31="","",IFERROR(INDEX(Formacode!$C:$F,
   MATCH('Niv formacode'!$B31,Formacode!$A:$A,0),
  'Niv formacode'!E31),""))</f>
        <v/>
      </c>
      <c r="F31" s="45" t="str" cm="1">
        <f t="array" ref="F31">IF('Niv formacode'!F31="","",IFERROR(INDEX(Formacode!$C:$F,
   MATCH('Niv formacode'!$B31,Formacode!$A:$A,0),
  'Niv formacode'!F31),""))</f>
        <v/>
      </c>
      <c r="G31" s="45" t="str" cm="1">
        <f t="array" ref="G31">IF('Niv formacode'!G31="","",IFERROR(INDEX(Formacode!$C:$F,
   MATCH('Niv formacode'!$B31,Formacode!$A:$A,0),
  'Niv formacode'!G31),""))</f>
        <v/>
      </c>
      <c r="H31" s="45" t="str" cm="1">
        <f t="array" ref="H31">IF('Niv formacode'!H31="","",IFERROR(INDEX(Formacode!$C:$F,
   MATCH('Niv formacode'!$B31,Formacode!$A:$A,0),
  'Niv formacode'!H31),""))</f>
        <v/>
      </c>
      <c r="I31" s="45" t="str" cm="1">
        <f t="array" ref="I31">IF('Niv formacode'!I31="","",IFERROR(INDEX(Formacode!$C:$F,
   MATCH('Niv formacode'!$B31,Formacode!$A:$A,0),
  'Niv formacode'!I31),""))</f>
        <v/>
      </c>
      <c r="J31" s="45" t="str" cm="1">
        <f t="array" ref="J31">IF('Niv formacode'!J31="","",IFERROR(INDEX(Formacode!$C:$F,
   MATCH('Niv formacode'!$B31,Formacode!$A:$A,0),
  'Niv formacode'!J31),""))</f>
        <v/>
      </c>
      <c r="K31" s="45" t="str" cm="1">
        <f t="array" ref="K31">IF('Niv formacode'!K31="","",IFERROR(INDEX(Formacode!$C:$F,
   MATCH('Niv formacode'!$B31,Formacode!$A:$A,0),
  'Niv formacode'!K31),""))</f>
        <v/>
      </c>
      <c r="L31" s="45" t="str" cm="1">
        <f t="array" ref="L31">IF('Niv formacode'!L31="","",IFERROR(INDEX(Formacode!$C:$F,
   MATCH('Niv formacode'!$B31,Formacode!$A:$A,0),
  'Niv formacode'!L31),""))</f>
        <v/>
      </c>
      <c r="M31" s="45" cm="1">
        <f t="array" ref="M31">IF('Niv formacode'!M31="","",IFERROR(INDEX(Formacode!$C:$F,
   MATCH('Niv formacode'!$B31,Formacode!$A:$A,0),
  'Niv formacode'!M31),""))</f>
        <v>480</v>
      </c>
      <c r="N31" s="45" t="str" cm="1">
        <f t="array" ref="N31">IF('Niv formacode'!N31="","",IFERROR(INDEX(Formacode!$C:$F,
   MATCH('Niv formacode'!$B31,Formacode!$A:$A,0),
  'Niv formacode'!N31),""))</f>
        <v/>
      </c>
      <c r="O31" s="45" t="str" cm="1">
        <f t="array" ref="O31">IF('Niv formacode'!O31="","",IFERROR(INDEX(Formacode!$C:$F,
   MATCH('Niv formacode'!$B31,Formacode!$A:$A,0),
  'Niv formacode'!O31),""))</f>
        <v/>
      </c>
      <c r="P31" s="45" cm="1">
        <f t="array" ref="P31">IF('Niv formacode'!P31="","",IFERROR(INDEX(Formacode!$C:$F,
   MATCH('Niv formacode'!$B31,Formacode!$A:$A,0),
  'Niv formacode'!P31),""))</f>
        <v>480</v>
      </c>
      <c r="Q31" s="45" t="str" cm="1">
        <f t="array" ref="Q31">IF('Niv formacode'!Q31="","",IFERROR(INDEX(Formacode!$C:$F,
   MATCH('Niv formacode'!$B31,Formacode!$A:$A,0),
  'Niv formacode'!Q31),""))</f>
        <v/>
      </c>
      <c r="R31" s="45" t="str" cm="1">
        <f t="array" ref="R31">IF('Niv formacode'!R31="","",IFERROR(INDEX(Formacode!$C:$F,
   MATCH('Niv formacode'!$B31,Formacode!$A:$A,0),
  'Niv formacode'!R31),""))</f>
        <v/>
      </c>
      <c r="S31" s="45" t="str" cm="1">
        <f t="array" ref="S31">IF('Niv formacode'!S31="","",IFERROR(INDEX(Formacode!$C:$F,
   MATCH('Niv formacode'!$B31,Formacode!$A:$A,0),
  'Niv formacode'!S31),""))</f>
        <v/>
      </c>
      <c r="T31" s="45" t="str" cm="1">
        <f t="array" ref="T31">IF('Niv formacode'!T31="","",IFERROR(INDEX(Formacode!$C:$F,
   MATCH('Niv formacode'!$B31,Formacode!$A:$A,0),
  'Niv formacode'!T31),""))</f>
        <v/>
      </c>
      <c r="U31" s="45" t="str" cm="1">
        <f t="array" ref="U31">IF('Niv formacode'!U31="","",IFERROR(INDEX(Formacode!$C:$F,
   MATCH('Niv formacode'!$B31,Formacode!$A:$A,0),
  'Niv formacode'!U31),""))</f>
        <v/>
      </c>
      <c r="V31" s="45" t="str" cm="1">
        <f t="array" ref="V31">IF('Niv formacode'!V31="","",IFERROR(INDEX(Formacode!$C:$F,
   MATCH('Niv formacode'!$B31,Formacode!$A:$A,0),
  'Niv formacode'!V31),""))</f>
        <v/>
      </c>
      <c r="W31" s="45" t="str" cm="1">
        <f t="array" ref="W31">IF('Niv formacode'!W31="","",IFERROR(INDEX(Formacode!$C:$F,
   MATCH('Niv formacode'!$B31,Formacode!$A:$A,0),
  'Niv formacode'!W31),""))</f>
        <v/>
      </c>
      <c r="X31" s="45" t="str" cm="1">
        <f t="array" ref="X31">IF('Niv formacode'!X31="","",IFERROR(INDEX(Formacode!$C:$F,
   MATCH('Niv formacode'!$B31,Formacode!$A:$A,0),
  'Niv formacode'!X31),""))</f>
        <v/>
      </c>
      <c r="Y31" s="45" t="str" cm="1">
        <f t="array" ref="Y31">IF('Niv formacode'!Y31="","",IFERROR(INDEX(Formacode!$C:$F,
   MATCH('Niv formacode'!$B31,Formacode!$A:$A,0),
  'Niv formacode'!Y31),""))</f>
        <v/>
      </c>
      <c r="Z31" s="45" t="str" cm="1">
        <f t="array" ref="Z31">IF('Niv formacode'!Z31="","",IFERROR(INDEX(Formacode!$C:$F,
   MATCH('Niv formacode'!$B31,Formacode!$A:$A,0),
  'Niv formacode'!Z31),""))</f>
        <v/>
      </c>
      <c r="AA31" s="45" t="str" cm="1">
        <f t="array" ref="AA31">IF('Niv formacode'!AA31="","",IFERROR(INDEX(Formacode!$C:$F,
   MATCH('Niv formacode'!$B31,Formacode!$A:$A,0),
  'Niv formacode'!AA31),""))</f>
        <v/>
      </c>
      <c r="AB31" s="45" t="str" cm="1">
        <f t="array" ref="AB31">IF('Niv formacode'!AB31="","",IFERROR(INDEX(Formacode!$C:$F,
   MATCH('Niv formacode'!$B31,Formacode!$A:$A,0),
  'Niv formacode'!AB31),""))</f>
        <v/>
      </c>
      <c r="AC31" s="45" t="str" cm="1">
        <f t="array" ref="AC31">IF('Niv formacode'!AC31="","",IFERROR(INDEX(Formacode!$C:$F,
   MATCH('Niv formacode'!$B31,Formacode!$A:$A,0),
  'Niv formacode'!AC31),""))</f>
        <v/>
      </c>
      <c r="AD31" s="45" t="str" cm="1">
        <f t="array" ref="AD31">IF('Niv formacode'!AD31="","",IFERROR(INDEX(Formacode!$C:$F,
   MATCH('Niv formacode'!$B31,Formacode!$A:$A,0),
  'Niv formacode'!AD31),""))</f>
        <v/>
      </c>
      <c r="AE31" s="45" t="str" cm="1">
        <f t="array" ref="AE31">IF('Niv formacode'!AE31="","",IFERROR(INDEX(Formacode!$C:$F,
   MATCH('Niv formacode'!$B31,Formacode!$A:$A,0),
  'Niv formacode'!AE31),""))</f>
        <v/>
      </c>
    </row>
    <row r="32" spans="1:31">
      <c r="A32" s="55" t="str">
        <f>_xlfn.XLOOKUP(B32,Formacode!A:A,Formacode!B:B,0,1)</f>
        <v>Nettoyage locaux</v>
      </c>
      <c r="B32" s="55" cm="1">
        <f t="array" ref="B32">IFERROR(INDEX('Niv formacode'!$B:$B,SMALL(IF('Niv formacode'!$B:$B&lt;&gt;"",ROW('Niv formacode'!$B:$B)),ROW(B31))),"")</f>
        <v>42093</v>
      </c>
      <c r="C32" s="45" t="str" cm="1">
        <f t="array" ref="C32">IF('Niv formacode'!C32="","",IFERROR(INDEX(Formacode!$C:$F,
   MATCH('Niv formacode'!$B32,Formacode!$A:$A,0),
  'Niv formacode'!C32),""))</f>
        <v/>
      </c>
      <c r="D32" s="45" t="str" cm="1">
        <f t="array" ref="D32">IF('Niv formacode'!D32="","",IFERROR(INDEX(Formacode!$C:$F,
   MATCH('Niv formacode'!$B32,Formacode!$A:$A,0),
  'Niv formacode'!D32),""))</f>
        <v/>
      </c>
      <c r="E32" s="45" t="str" cm="1">
        <f t="array" ref="E32">IF('Niv formacode'!E32="","",IFERROR(INDEX(Formacode!$C:$F,
   MATCH('Niv formacode'!$B32,Formacode!$A:$A,0),
  'Niv formacode'!E32),""))</f>
        <v/>
      </c>
      <c r="F32" s="45" t="str" cm="1">
        <f t="array" ref="F32">IF('Niv formacode'!F32="","",IFERROR(INDEX(Formacode!$C:$F,
   MATCH('Niv formacode'!$B32,Formacode!$A:$A,0),
  'Niv formacode'!F32),""))</f>
        <v/>
      </c>
      <c r="G32" s="45" t="str" cm="1">
        <f t="array" ref="G32">IF('Niv formacode'!G32="","",IFERROR(INDEX(Formacode!$C:$F,
   MATCH('Niv formacode'!$B32,Formacode!$A:$A,0),
  'Niv formacode'!G32),""))</f>
        <v/>
      </c>
      <c r="H32" s="45" t="str" cm="1">
        <f t="array" ref="H32">IF('Niv formacode'!H32="","",IFERROR(INDEX(Formacode!$C:$F,
   MATCH('Niv formacode'!$B32,Formacode!$A:$A,0),
  'Niv formacode'!H32),""))</f>
        <v/>
      </c>
      <c r="I32" s="45" t="str" cm="1">
        <f t="array" ref="I32">IF('Niv formacode'!I32="","",IFERROR(INDEX(Formacode!$C:$F,
   MATCH('Niv formacode'!$B32,Formacode!$A:$A,0),
  'Niv formacode'!I32),""))</f>
        <v/>
      </c>
      <c r="J32" s="45" t="str" cm="1">
        <f t="array" ref="J32">IF('Niv formacode'!J32="","",IFERROR(INDEX(Formacode!$C:$F,
   MATCH('Niv formacode'!$B32,Formacode!$A:$A,0),
  'Niv formacode'!J32),""))</f>
        <v/>
      </c>
      <c r="K32" s="45" t="str" cm="1">
        <f t="array" ref="K32">IF('Niv formacode'!K32="","",IFERROR(INDEX(Formacode!$C:$F,
   MATCH('Niv formacode'!$B32,Formacode!$A:$A,0),
  'Niv formacode'!K32),""))</f>
        <v/>
      </c>
      <c r="L32" s="45" t="str" cm="1">
        <f t="array" ref="L32">IF('Niv formacode'!L32="","",IFERROR(INDEX(Formacode!$C:$F,
   MATCH('Niv formacode'!$B32,Formacode!$A:$A,0),
  'Niv formacode'!L32),""))</f>
        <v/>
      </c>
      <c r="M32" s="45" t="str" cm="1">
        <f t="array" ref="M32">IF('Niv formacode'!M32="","",IFERROR(INDEX(Formacode!$C:$F,
   MATCH('Niv formacode'!$B32,Formacode!$A:$A,0),
  'Niv formacode'!M32),""))</f>
        <v/>
      </c>
      <c r="N32" s="45" t="str" cm="1">
        <f t="array" ref="N32">IF('Niv formacode'!N32="","",IFERROR(INDEX(Formacode!$C:$F,
   MATCH('Niv formacode'!$B32,Formacode!$A:$A,0),
  'Niv formacode'!N32),""))</f>
        <v/>
      </c>
      <c r="O32" s="45" t="str" cm="1">
        <f t="array" ref="O32">IF('Niv formacode'!O32="","",IFERROR(INDEX(Formacode!$C:$F,
   MATCH('Niv formacode'!$B32,Formacode!$A:$A,0),
  'Niv formacode'!O32),""))</f>
        <v/>
      </c>
      <c r="P32" s="45" t="str" cm="1">
        <f t="array" ref="P32">IF('Niv formacode'!P32="","",IFERROR(INDEX(Formacode!$C:$F,
   MATCH('Niv formacode'!$B32,Formacode!$A:$A,0),
  'Niv formacode'!P32),""))</f>
        <v/>
      </c>
      <c r="Q32" s="45" cm="1">
        <f t="array" ref="Q32">IF('Niv formacode'!Q32="","",IFERROR(INDEX(Formacode!$C:$F,
   MATCH('Niv formacode'!$B32,Formacode!$A:$A,0),
  'Niv formacode'!Q32),""))</f>
        <v>424</v>
      </c>
      <c r="R32" s="45" t="str" cm="1">
        <f t="array" ref="R32">IF('Niv formacode'!R32="","",IFERROR(INDEX(Formacode!$C:$F,
   MATCH('Niv formacode'!$B32,Formacode!$A:$A,0),
  'Niv formacode'!R32),""))</f>
        <v/>
      </c>
      <c r="S32" s="45" t="str" cm="1">
        <f t="array" ref="S32">IF('Niv formacode'!S32="","",IFERROR(INDEX(Formacode!$C:$F,
   MATCH('Niv formacode'!$B32,Formacode!$A:$A,0),
  'Niv formacode'!S32),""))</f>
        <v/>
      </c>
      <c r="T32" s="45" t="str" cm="1">
        <f t="array" ref="T32">IF('Niv formacode'!T32="","",IFERROR(INDEX(Formacode!$C:$F,
   MATCH('Niv formacode'!$B32,Formacode!$A:$A,0),
  'Niv formacode'!T32),""))</f>
        <v/>
      </c>
      <c r="U32" s="45" t="str" cm="1">
        <f t="array" ref="U32">IF('Niv formacode'!U32="","",IFERROR(INDEX(Formacode!$C:$F,
   MATCH('Niv formacode'!$B32,Formacode!$A:$A,0),
  'Niv formacode'!U32),""))</f>
        <v/>
      </c>
      <c r="V32" s="45" t="str" cm="1">
        <f t="array" ref="V32">IF('Niv formacode'!V32="","",IFERROR(INDEX(Formacode!$C:$F,
   MATCH('Niv formacode'!$B32,Formacode!$A:$A,0),
  'Niv formacode'!V32),""))</f>
        <v/>
      </c>
      <c r="W32" s="45" t="str" cm="1">
        <f t="array" ref="W32">IF('Niv formacode'!W32="","",IFERROR(INDEX(Formacode!$C:$F,
   MATCH('Niv formacode'!$B32,Formacode!$A:$A,0),
  'Niv formacode'!W32),""))</f>
        <v/>
      </c>
      <c r="X32" s="45" t="str" cm="1">
        <f t="array" ref="X32">IF('Niv formacode'!X32="","",IFERROR(INDEX(Formacode!$C:$F,
   MATCH('Niv formacode'!$B32,Formacode!$A:$A,0),
  'Niv formacode'!X32),""))</f>
        <v/>
      </c>
      <c r="Y32" s="45" t="str" cm="1">
        <f t="array" ref="Y32">IF('Niv formacode'!Y32="","",IFERROR(INDEX(Formacode!$C:$F,
   MATCH('Niv formacode'!$B32,Formacode!$A:$A,0),
  'Niv formacode'!Y32),""))</f>
        <v/>
      </c>
      <c r="Z32" s="45" t="str" cm="1">
        <f t="array" ref="Z32">IF('Niv formacode'!Z32="","",IFERROR(INDEX(Formacode!$C:$F,
   MATCH('Niv formacode'!$B32,Formacode!$A:$A,0),
  'Niv formacode'!Z32),""))</f>
        <v/>
      </c>
      <c r="AA32" s="45" t="str" cm="1">
        <f t="array" ref="AA32">IF('Niv formacode'!AA32="","",IFERROR(INDEX(Formacode!$C:$F,
   MATCH('Niv formacode'!$B32,Formacode!$A:$A,0),
  'Niv formacode'!AA32),""))</f>
        <v/>
      </c>
      <c r="AB32" s="45" t="str" cm="1">
        <f t="array" ref="AB32">IF('Niv formacode'!AB32="","",IFERROR(INDEX(Formacode!$C:$F,
   MATCH('Niv formacode'!$B32,Formacode!$A:$A,0),
  'Niv formacode'!AB32),""))</f>
        <v/>
      </c>
      <c r="AC32" s="45" t="str" cm="1">
        <f t="array" ref="AC32">IF('Niv formacode'!AC32="","",IFERROR(INDEX(Formacode!$C:$F,
   MATCH('Niv formacode'!$B32,Formacode!$A:$A,0),
  'Niv formacode'!AC32),""))</f>
        <v/>
      </c>
      <c r="AD32" s="45" t="str" cm="1">
        <f t="array" ref="AD32">IF('Niv formacode'!AD32="","",IFERROR(INDEX(Formacode!$C:$F,
   MATCH('Niv formacode'!$B32,Formacode!$A:$A,0),
  'Niv formacode'!AD32),""))</f>
        <v/>
      </c>
      <c r="AE32" s="45" t="str" cm="1">
        <f t="array" ref="AE32">IF('Niv formacode'!AE32="","",IFERROR(INDEX(Formacode!$C:$F,
   MATCH('Niv formacode'!$B32,Formacode!$A:$A,0),
  'Niv formacode'!AE32),""))</f>
        <v/>
      </c>
    </row>
    <row r="33" spans="1:31">
      <c r="A33" s="55" t="str">
        <f>_xlfn.XLOOKUP(B33,Formacode!A:A,Formacode!B:B,0,1)</f>
        <v>Gestion fournisseur</v>
      </c>
      <c r="B33" s="55" cm="1">
        <f t="array" ref="B33">IFERROR(INDEX('Niv formacode'!$B:$B,SMALL(IF('Niv formacode'!$B:$B&lt;&gt;"",ROW('Niv formacode'!$B:$B)),ROW(B32))),"")</f>
        <v>34022</v>
      </c>
      <c r="C33" s="45" t="str" cm="1">
        <f t="array" ref="C33">IF('Niv formacode'!C33="","",IFERROR(INDEX(Formacode!$C:$F,
   MATCH('Niv formacode'!$B33,Formacode!$A:$A,0),
  'Niv formacode'!C33),""))</f>
        <v/>
      </c>
      <c r="D33" s="45" t="str" cm="1">
        <f t="array" ref="D33">IF('Niv formacode'!D33="","",IFERROR(INDEX(Formacode!$C:$F,
   MATCH('Niv formacode'!$B33,Formacode!$A:$A,0),
  'Niv formacode'!D33),""))</f>
        <v/>
      </c>
      <c r="E33" s="45" t="str" cm="1">
        <f t="array" ref="E33">IF('Niv formacode'!E33="","",IFERROR(INDEX(Formacode!$C:$F,
   MATCH('Niv formacode'!$B33,Formacode!$A:$A,0),
  'Niv formacode'!E33),""))</f>
        <v/>
      </c>
      <c r="F33" s="45" t="str" cm="1">
        <f t="array" ref="F33">IF('Niv formacode'!F33="","",IFERROR(INDEX(Formacode!$C:$F,
   MATCH('Niv formacode'!$B33,Formacode!$A:$A,0),
  'Niv formacode'!F33),""))</f>
        <v/>
      </c>
      <c r="G33" s="45" t="str" cm="1">
        <f t="array" ref="G33">IF('Niv formacode'!G33="","",IFERROR(INDEX(Formacode!$C:$F,
   MATCH('Niv formacode'!$B33,Formacode!$A:$A,0),
  'Niv formacode'!G33),""))</f>
        <v/>
      </c>
      <c r="H33" s="45" t="str" cm="1">
        <f t="array" ref="H33">IF('Niv formacode'!H33="","",IFERROR(INDEX(Formacode!$C:$F,
   MATCH('Niv formacode'!$B33,Formacode!$A:$A,0),
  'Niv formacode'!H33),""))</f>
        <v/>
      </c>
      <c r="I33" s="45" t="str" cm="1">
        <f t="array" ref="I33">IF('Niv formacode'!I33="","",IFERROR(INDEX(Formacode!$C:$F,
   MATCH('Niv formacode'!$B33,Formacode!$A:$A,0),
  'Niv formacode'!I33),""))</f>
        <v/>
      </c>
      <c r="J33" s="45" t="str" cm="1">
        <f t="array" ref="J33">IF('Niv formacode'!J33="","",IFERROR(INDEX(Formacode!$C:$F,
   MATCH('Niv formacode'!$B33,Formacode!$A:$A,0),
  'Niv formacode'!J33),""))</f>
        <v/>
      </c>
      <c r="K33" s="45" t="str" cm="1">
        <f t="array" ref="K33">IF('Niv formacode'!K33="","",IFERROR(INDEX(Formacode!$C:$F,
   MATCH('Niv formacode'!$B33,Formacode!$A:$A,0),
  'Niv formacode'!K33),""))</f>
        <v/>
      </c>
      <c r="L33" s="45" t="str" cm="1">
        <f t="array" ref="L33">IF('Niv formacode'!L33="","",IFERROR(INDEX(Formacode!$C:$F,
   MATCH('Niv formacode'!$B33,Formacode!$A:$A,0),
  'Niv formacode'!L33),""))</f>
        <v/>
      </c>
      <c r="M33" s="45" t="str" cm="1">
        <f t="array" ref="M33">IF('Niv formacode'!M33="","",IFERROR(INDEX(Formacode!$C:$F,
   MATCH('Niv formacode'!$B33,Formacode!$A:$A,0),
  'Niv formacode'!M33),""))</f>
        <v/>
      </c>
      <c r="N33" s="45" t="str" cm="1">
        <f t="array" ref="N33">IF('Niv formacode'!N33="","",IFERROR(INDEX(Formacode!$C:$F,
   MATCH('Niv formacode'!$B33,Formacode!$A:$A,0),
  'Niv formacode'!N33),""))</f>
        <v/>
      </c>
      <c r="O33" s="45" t="str" cm="1">
        <f t="array" ref="O33">IF('Niv formacode'!O33="","",IFERROR(INDEX(Formacode!$C:$F,
   MATCH('Niv formacode'!$B33,Formacode!$A:$A,0),
  'Niv formacode'!O33),""))</f>
        <v/>
      </c>
      <c r="P33" s="45" t="str" cm="1">
        <f t="array" ref="P33">IF('Niv formacode'!P33="","",IFERROR(INDEX(Formacode!$C:$F,
   MATCH('Niv formacode'!$B33,Formacode!$A:$A,0),
  'Niv formacode'!P33),""))</f>
        <v/>
      </c>
      <c r="Q33" s="45" t="str" cm="1">
        <f t="array" ref="Q33">IF('Niv formacode'!Q33="","",IFERROR(INDEX(Formacode!$C:$F,
   MATCH('Niv formacode'!$B33,Formacode!$A:$A,0),
  'Niv formacode'!Q33),""))</f>
        <v/>
      </c>
      <c r="R33" s="45" t="str" cm="1">
        <f t="array" ref="R33">IF('Niv formacode'!R33="","",IFERROR(INDEX(Formacode!$C:$F,
   MATCH('Niv formacode'!$B33,Formacode!$A:$A,0),
  'Niv formacode'!R33),""))</f>
        <v/>
      </c>
      <c r="S33" s="45" cm="1">
        <f t="array" ref="S33">IF('Niv formacode'!S33="","",IFERROR(INDEX(Formacode!$C:$F,
   MATCH('Niv formacode'!$B33,Formacode!$A:$A,0),
  'Niv formacode'!S33),""))</f>
        <v>547</v>
      </c>
      <c r="T33" s="45" t="str" cm="1">
        <f t="array" ref="T33">IF('Niv formacode'!T33="","",IFERROR(INDEX(Formacode!$C:$F,
   MATCH('Niv formacode'!$B33,Formacode!$A:$A,0),
  'Niv formacode'!T33),""))</f>
        <v/>
      </c>
      <c r="U33" s="45" t="str" cm="1">
        <f t="array" ref="U33">IF('Niv formacode'!U33="","",IFERROR(INDEX(Formacode!$C:$F,
   MATCH('Niv formacode'!$B33,Formacode!$A:$A,0),
  'Niv formacode'!U33),""))</f>
        <v/>
      </c>
      <c r="V33" s="45" t="str" cm="1">
        <f t="array" ref="V33">IF('Niv formacode'!V33="","",IFERROR(INDEX(Formacode!$C:$F,
   MATCH('Niv formacode'!$B33,Formacode!$A:$A,0),
  'Niv formacode'!V33),""))</f>
        <v/>
      </c>
      <c r="W33" s="45" t="str" cm="1">
        <f t="array" ref="W33">IF('Niv formacode'!W33="","",IFERROR(INDEX(Formacode!$C:$F,
   MATCH('Niv formacode'!$B33,Formacode!$A:$A,0),
  'Niv formacode'!W33),""))</f>
        <v/>
      </c>
      <c r="X33" s="45" t="str" cm="1">
        <f t="array" ref="X33">IF('Niv formacode'!X33="","",IFERROR(INDEX(Formacode!$C:$F,
   MATCH('Niv formacode'!$B33,Formacode!$A:$A,0),
  'Niv formacode'!X33),""))</f>
        <v/>
      </c>
      <c r="Y33" s="45" t="str" cm="1">
        <f t="array" ref="Y33">IF('Niv formacode'!Y33="","",IFERROR(INDEX(Formacode!$C:$F,
   MATCH('Niv formacode'!$B33,Formacode!$A:$A,0),
  'Niv formacode'!Y33),""))</f>
        <v/>
      </c>
      <c r="Z33" s="45" t="str" cm="1">
        <f t="array" ref="Z33">IF('Niv formacode'!Z33="","",IFERROR(INDEX(Formacode!$C:$F,
   MATCH('Niv formacode'!$B33,Formacode!$A:$A,0),
  'Niv formacode'!Z33),""))</f>
        <v/>
      </c>
      <c r="AA33" s="45" t="str" cm="1">
        <f t="array" ref="AA33">IF('Niv formacode'!AA33="","",IFERROR(INDEX(Formacode!$C:$F,
   MATCH('Niv formacode'!$B33,Formacode!$A:$A,0),
  'Niv formacode'!AA33),""))</f>
        <v/>
      </c>
      <c r="AB33" s="45" t="str" cm="1">
        <f t="array" ref="AB33">IF('Niv formacode'!AB33="","",IFERROR(INDEX(Formacode!$C:$F,
   MATCH('Niv formacode'!$B33,Formacode!$A:$A,0),
  'Niv formacode'!AB33),""))</f>
        <v/>
      </c>
      <c r="AC33" s="45" t="str" cm="1">
        <f t="array" ref="AC33">IF('Niv formacode'!AC33="","",IFERROR(INDEX(Formacode!$C:$F,
   MATCH('Niv formacode'!$B33,Formacode!$A:$A,0),
  'Niv formacode'!AC33),""))</f>
        <v/>
      </c>
      <c r="AD33" s="45" t="str" cm="1">
        <f t="array" ref="AD33">IF('Niv formacode'!AD33="","",IFERROR(INDEX(Formacode!$C:$F,
   MATCH('Niv formacode'!$B33,Formacode!$A:$A,0),
  'Niv formacode'!AD33),""))</f>
        <v/>
      </c>
      <c r="AE33" s="45" t="str" cm="1">
        <f t="array" ref="AE33">IF('Niv formacode'!AE33="","",IFERROR(INDEX(Formacode!$C:$F,
   MATCH('Niv formacode'!$B33,Formacode!$A:$A,0),
  'Niv formacode'!AE33),""))</f>
        <v/>
      </c>
    </row>
    <row r="34" spans="1:31">
      <c r="A34" s="55" t="str">
        <f>_xlfn.XLOOKUP(B34,Formacode!A:A,Formacode!B:B,0,1)</f>
        <v>Negociation achat</v>
      </c>
      <c r="B34" s="55" cm="1">
        <f t="array" ref="B34">IFERROR(INDEX('Niv formacode'!$B:$B,SMALL(IF('Niv formacode'!$B:$B&lt;&gt;"",ROW('Niv formacode'!$B:$B)),ROW(B33))),"")</f>
        <v>34002</v>
      </c>
      <c r="C34" s="45" t="str" cm="1">
        <f t="array" ref="C34">IF('Niv formacode'!C34="","",IFERROR(INDEX(Formacode!$C:$F,
   MATCH('Niv formacode'!$B34,Formacode!$A:$A,0),
  'Niv formacode'!C34),""))</f>
        <v/>
      </c>
      <c r="D34" s="45" t="str" cm="1">
        <f t="array" ref="D34">IF('Niv formacode'!D34="","",IFERROR(INDEX(Formacode!$C:$F,
   MATCH('Niv formacode'!$B34,Formacode!$A:$A,0),
  'Niv formacode'!D34),""))</f>
        <v/>
      </c>
      <c r="E34" s="45" t="str" cm="1">
        <f t="array" ref="E34">IF('Niv formacode'!E34="","",IFERROR(INDEX(Formacode!$C:$F,
   MATCH('Niv formacode'!$B34,Formacode!$A:$A,0),
  'Niv formacode'!E34),""))</f>
        <v/>
      </c>
      <c r="F34" s="45" t="str" cm="1">
        <f t="array" ref="F34">IF('Niv formacode'!F34="","",IFERROR(INDEX(Formacode!$C:$F,
   MATCH('Niv formacode'!$B34,Formacode!$A:$A,0),
  'Niv formacode'!F34),""))</f>
        <v/>
      </c>
      <c r="G34" s="45" t="str" cm="1">
        <f t="array" ref="G34">IF('Niv formacode'!G34="","",IFERROR(INDEX(Formacode!$C:$F,
   MATCH('Niv formacode'!$B34,Formacode!$A:$A,0),
  'Niv formacode'!G34),""))</f>
        <v/>
      </c>
      <c r="H34" s="45" t="str" cm="1">
        <f t="array" ref="H34">IF('Niv formacode'!H34="","",IFERROR(INDEX(Formacode!$C:$F,
   MATCH('Niv formacode'!$B34,Formacode!$A:$A,0),
  'Niv formacode'!H34),""))</f>
        <v/>
      </c>
      <c r="I34" s="45" t="str" cm="1">
        <f t="array" ref="I34">IF('Niv formacode'!I34="","",IFERROR(INDEX(Formacode!$C:$F,
   MATCH('Niv formacode'!$B34,Formacode!$A:$A,0),
  'Niv formacode'!I34),""))</f>
        <v/>
      </c>
      <c r="J34" s="45" t="str" cm="1">
        <f t="array" ref="J34">IF('Niv formacode'!J34="","",IFERROR(INDEX(Formacode!$C:$F,
   MATCH('Niv formacode'!$B34,Formacode!$A:$A,0),
  'Niv formacode'!J34),""))</f>
        <v/>
      </c>
      <c r="K34" s="45" t="str" cm="1">
        <f t="array" ref="K34">IF('Niv formacode'!K34="","",IFERROR(INDEX(Formacode!$C:$F,
   MATCH('Niv formacode'!$B34,Formacode!$A:$A,0),
  'Niv formacode'!K34),""))</f>
        <v/>
      </c>
      <c r="L34" s="45" t="str" cm="1">
        <f t="array" ref="L34">IF('Niv formacode'!L34="","",IFERROR(INDEX(Formacode!$C:$F,
   MATCH('Niv formacode'!$B34,Formacode!$A:$A,0),
  'Niv formacode'!L34),""))</f>
        <v/>
      </c>
      <c r="M34" s="45" t="str" cm="1">
        <f t="array" ref="M34">IF('Niv formacode'!M34="","",IFERROR(INDEX(Formacode!$C:$F,
   MATCH('Niv formacode'!$B34,Formacode!$A:$A,0),
  'Niv formacode'!M34),""))</f>
        <v/>
      </c>
      <c r="N34" s="45" t="str" cm="1">
        <f t="array" ref="N34">IF('Niv formacode'!N34="","",IFERROR(INDEX(Formacode!$C:$F,
   MATCH('Niv formacode'!$B34,Formacode!$A:$A,0),
  'Niv formacode'!N34),""))</f>
        <v/>
      </c>
      <c r="O34" s="45" t="str" cm="1">
        <f t="array" ref="O34">IF('Niv formacode'!O34="","",IFERROR(INDEX(Formacode!$C:$F,
   MATCH('Niv formacode'!$B34,Formacode!$A:$A,0),
  'Niv formacode'!O34),""))</f>
        <v/>
      </c>
      <c r="P34" s="45" t="str" cm="1">
        <f t="array" ref="P34">IF('Niv formacode'!P34="","",IFERROR(INDEX(Formacode!$C:$F,
   MATCH('Niv formacode'!$B34,Formacode!$A:$A,0),
  'Niv formacode'!P34),""))</f>
        <v/>
      </c>
      <c r="Q34" s="45" t="str" cm="1">
        <f t="array" ref="Q34">IF('Niv formacode'!Q34="","",IFERROR(INDEX(Formacode!$C:$F,
   MATCH('Niv formacode'!$B34,Formacode!$A:$A,0),
  'Niv formacode'!Q34),""))</f>
        <v/>
      </c>
      <c r="R34" s="45" t="str" cm="1">
        <f t="array" ref="R34">IF('Niv formacode'!R34="","",IFERROR(INDEX(Formacode!$C:$F,
   MATCH('Niv formacode'!$B34,Formacode!$A:$A,0),
  'Niv formacode'!R34),""))</f>
        <v/>
      </c>
      <c r="S34" s="45" cm="1">
        <f t="array" ref="S34">IF('Niv formacode'!S34="","",IFERROR(INDEX(Formacode!$C:$F,
   MATCH('Niv formacode'!$B34,Formacode!$A:$A,0),
  'Niv formacode'!S34),""))</f>
        <v>525</v>
      </c>
      <c r="T34" s="45" t="str" cm="1">
        <f t="array" ref="T34">IF('Niv formacode'!T34="","",IFERROR(INDEX(Formacode!$C:$F,
   MATCH('Niv formacode'!$B34,Formacode!$A:$A,0),
  'Niv formacode'!T34),""))</f>
        <v/>
      </c>
      <c r="U34" s="45" t="str" cm="1">
        <f t="array" ref="U34">IF('Niv formacode'!U34="","",IFERROR(INDEX(Formacode!$C:$F,
   MATCH('Niv formacode'!$B34,Formacode!$A:$A,0),
  'Niv formacode'!U34),""))</f>
        <v/>
      </c>
      <c r="V34" s="45" t="str" cm="1">
        <f t="array" ref="V34">IF('Niv formacode'!V34="","",IFERROR(INDEX(Formacode!$C:$F,
   MATCH('Niv formacode'!$B34,Formacode!$A:$A,0),
  'Niv formacode'!V34),""))</f>
        <v/>
      </c>
      <c r="W34" s="45" t="str" cm="1">
        <f t="array" ref="W34">IF('Niv formacode'!W34="","",IFERROR(INDEX(Formacode!$C:$F,
   MATCH('Niv formacode'!$B34,Formacode!$A:$A,0),
  'Niv formacode'!W34),""))</f>
        <v/>
      </c>
      <c r="X34" s="45" t="str" cm="1">
        <f t="array" ref="X34">IF('Niv formacode'!X34="","",IFERROR(INDEX(Formacode!$C:$F,
   MATCH('Niv formacode'!$B34,Formacode!$A:$A,0),
  'Niv formacode'!X34),""))</f>
        <v/>
      </c>
      <c r="Y34" s="45" t="str" cm="1">
        <f t="array" ref="Y34">IF('Niv formacode'!Y34="","",IFERROR(INDEX(Formacode!$C:$F,
   MATCH('Niv formacode'!$B34,Formacode!$A:$A,0),
  'Niv formacode'!Y34),""))</f>
        <v/>
      </c>
      <c r="Z34" s="45" t="str" cm="1">
        <f t="array" ref="Z34">IF('Niv formacode'!Z34="","",IFERROR(INDEX(Formacode!$C:$F,
   MATCH('Niv formacode'!$B34,Formacode!$A:$A,0),
  'Niv formacode'!Z34),""))</f>
        <v/>
      </c>
      <c r="AA34" s="45" t="str" cm="1">
        <f t="array" ref="AA34">IF('Niv formacode'!AA34="","",IFERROR(INDEX(Formacode!$C:$F,
   MATCH('Niv formacode'!$B34,Formacode!$A:$A,0),
  'Niv formacode'!AA34),""))</f>
        <v/>
      </c>
      <c r="AB34" s="45" t="str" cm="1">
        <f t="array" ref="AB34">IF('Niv formacode'!AB34="","",IFERROR(INDEX(Formacode!$C:$F,
   MATCH('Niv formacode'!$B34,Formacode!$A:$A,0),
  'Niv formacode'!AB34),""))</f>
        <v/>
      </c>
      <c r="AC34" s="45" t="str" cm="1">
        <f t="array" ref="AC34">IF('Niv formacode'!AC34="","",IFERROR(INDEX(Formacode!$C:$F,
   MATCH('Niv formacode'!$B34,Formacode!$A:$A,0),
  'Niv formacode'!AC34),""))</f>
        <v/>
      </c>
      <c r="AD34" s="45" t="str" cm="1">
        <f t="array" ref="AD34">IF('Niv formacode'!AD34="","",IFERROR(INDEX(Formacode!$C:$F,
   MATCH('Niv formacode'!$B34,Formacode!$A:$A,0),
  'Niv formacode'!AD34),""))</f>
        <v/>
      </c>
      <c r="AE34" s="45" t="str" cm="1">
        <f t="array" ref="AE34">IF('Niv formacode'!AE34="","",IFERROR(INDEX(Formacode!$C:$F,
   MATCH('Niv formacode'!$B34,Formacode!$A:$A,0),
  'Niv formacode'!AE34),""))</f>
        <v/>
      </c>
    </row>
    <row r="35" spans="1:31">
      <c r="A35" s="55" t="str">
        <f>_xlfn.XLOOKUP(B35,Formacode!A:A,Formacode!B:B,0,1)</f>
        <v>Strategie commerciale</v>
      </c>
      <c r="B35" s="55" cm="1">
        <f t="array" ref="B35">IFERROR(INDEX('Niv formacode'!$B:$B,SMALL(IF('Niv formacode'!$B:$B&lt;&gt;"",ROW('Niv formacode'!$B:$B)),ROW(B34))),"")</f>
        <v>34085</v>
      </c>
      <c r="C35" s="45" t="str" cm="1">
        <f t="array" ref="C35">IF('Niv formacode'!C35="","",IFERROR(INDEX(Formacode!$C:$F,
   MATCH('Niv formacode'!$B35,Formacode!$A:$A,0),
  'Niv formacode'!C35),""))</f>
        <v/>
      </c>
      <c r="D35" s="45" t="str" cm="1">
        <f t="array" ref="D35">IF('Niv formacode'!D35="","",IFERROR(INDEX(Formacode!$C:$F,
   MATCH('Niv formacode'!$B35,Formacode!$A:$A,0),
  'Niv formacode'!D35),""))</f>
        <v/>
      </c>
      <c r="E35" s="45" t="str" cm="1">
        <f t="array" ref="E35">IF('Niv formacode'!E35="","",IFERROR(INDEX(Formacode!$C:$F,
   MATCH('Niv formacode'!$B35,Formacode!$A:$A,0),
  'Niv formacode'!E35),""))</f>
        <v/>
      </c>
      <c r="F35" s="45" t="str" cm="1">
        <f t="array" ref="F35">IF('Niv formacode'!F35="","",IFERROR(INDEX(Formacode!$C:$F,
   MATCH('Niv formacode'!$B35,Formacode!$A:$A,0),
  'Niv formacode'!F35),""))</f>
        <v/>
      </c>
      <c r="G35" s="45" t="str" cm="1">
        <f t="array" ref="G35">IF('Niv formacode'!G35="","",IFERROR(INDEX(Formacode!$C:$F,
   MATCH('Niv formacode'!$B35,Formacode!$A:$A,0),
  'Niv formacode'!G35),""))</f>
        <v/>
      </c>
      <c r="H35" s="45" t="str" cm="1">
        <f t="array" ref="H35">IF('Niv formacode'!H35="","",IFERROR(INDEX(Formacode!$C:$F,
   MATCH('Niv formacode'!$B35,Formacode!$A:$A,0),
  'Niv formacode'!H35),""))</f>
        <v/>
      </c>
      <c r="I35" s="45" t="str" cm="1">
        <f t="array" ref="I35">IF('Niv formacode'!I35="","",IFERROR(INDEX(Formacode!$C:$F,
   MATCH('Niv formacode'!$B35,Formacode!$A:$A,0),
  'Niv formacode'!I35),""))</f>
        <v/>
      </c>
      <c r="J35" s="45" t="str" cm="1">
        <f t="array" ref="J35">IF('Niv formacode'!J35="","",IFERROR(INDEX(Formacode!$C:$F,
   MATCH('Niv formacode'!$B35,Formacode!$A:$A,0),
  'Niv formacode'!J35),""))</f>
        <v/>
      </c>
      <c r="K35" s="45" t="str" cm="1">
        <f t="array" ref="K35">IF('Niv formacode'!K35="","",IFERROR(INDEX(Formacode!$C:$F,
   MATCH('Niv formacode'!$B35,Formacode!$A:$A,0),
  'Niv formacode'!K35),""))</f>
        <v/>
      </c>
      <c r="L35" s="45" t="str" cm="1">
        <f t="array" ref="L35">IF('Niv formacode'!L35="","",IFERROR(INDEX(Formacode!$C:$F,
   MATCH('Niv formacode'!$B35,Formacode!$A:$A,0),
  'Niv formacode'!L35),""))</f>
        <v/>
      </c>
      <c r="M35" s="45" t="str" cm="1">
        <f t="array" ref="M35">IF('Niv formacode'!M35="","",IFERROR(INDEX(Formacode!$C:$F,
   MATCH('Niv formacode'!$B35,Formacode!$A:$A,0),
  'Niv formacode'!M35),""))</f>
        <v/>
      </c>
      <c r="N35" s="45" t="str" cm="1">
        <f t="array" ref="N35">IF('Niv formacode'!N35="","",IFERROR(INDEX(Formacode!$C:$F,
   MATCH('Niv formacode'!$B35,Formacode!$A:$A,0),
  'Niv formacode'!N35),""))</f>
        <v/>
      </c>
      <c r="O35" s="45" t="str" cm="1">
        <f t="array" ref="O35">IF('Niv formacode'!O35="","",IFERROR(INDEX(Formacode!$C:$F,
   MATCH('Niv formacode'!$B35,Formacode!$A:$A,0),
  'Niv formacode'!O35),""))</f>
        <v/>
      </c>
      <c r="P35" s="45" t="str" cm="1">
        <f t="array" ref="P35">IF('Niv formacode'!P35="","",IFERROR(INDEX(Formacode!$C:$F,
   MATCH('Niv formacode'!$B35,Formacode!$A:$A,0),
  'Niv formacode'!P35),""))</f>
        <v/>
      </c>
      <c r="Q35" s="45" t="str" cm="1">
        <f t="array" ref="Q35">IF('Niv formacode'!Q35="","",IFERROR(INDEX(Formacode!$C:$F,
   MATCH('Niv formacode'!$B35,Formacode!$A:$A,0),
  'Niv formacode'!Q35),""))</f>
        <v/>
      </c>
      <c r="R35" s="45" t="str" cm="1">
        <f t="array" ref="R35">IF('Niv formacode'!R35="","",IFERROR(INDEX(Formacode!$C:$F,
   MATCH('Niv formacode'!$B35,Formacode!$A:$A,0),
  'Niv formacode'!R35),""))</f>
        <v/>
      </c>
      <c r="S35" s="45" cm="1">
        <f t="array" ref="S35">IF('Niv formacode'!S35="","",IFERROR(INDEX(Formacode!$C:$F,
   MATCH('Niv formacode'!$B35,Formacode!$A:$A,0),
  'Niv formacode'!S35),""))</f>
        <v>98</v>
      </c>
      <c r="T35" s="45" t="str" cm="1">
        <f t="array" ref="T35">IF('Niv formacode'!T35="","",IFERROR(INDEX(Formacode!$C:$F,
   MATCH('Niv formacode'!$B35,Formacode!$A:$A,0),
  'Niv formacode'!T35),""))</f>
        <v/>
      </c>
      <c r="U35" s="45" t="str" cm="1">
        <f t="array" ref="U35">IF('Niv formacode'!U35="","",IFERROR(INDEX(Formacode!$C:$F,
   MATCH('Niv formacode'!$B35,Formacode!$A:$A,0),
  'Niv formacode'!U35),""))</f>
        <v/>
      </c>
      <c r="V35" s="45" t="str" cm="1">
        <f t="array" ref="V35">IF('Niv formacode'!V35="","",IFERROR(INDEX(Formacode!$C:$F,
   MATCH('Niv formacode'!$B35,Formacode!$A:$A,0),
  'Niv formacode'!V35),""))</f>
        <v/>
      </c>
      <c r="W35" s="45" t="str" cm="1">
        <f t="array" ref="W35">IF('Niv formacode'!W35="","",IFERROR(INDEX(Formacode!$C:$F,
   MATCH('Niv formacode'!$B35,Formacode!$A:$A,0),
  'Niv formacode'!W35),""))</f>
        <v/>
      </c>
      <c r="X35" s="45" t="str" cm="1">
        <f t="array" ref="X35">IF('Niv formacode'!X35="","",IFERROR(INDEX(Formacode!$C:$F,
   MATCH('Niv formacode'!$B35,Formacode!$A:$A,0),
  'Niv formacode'!X35),""))</f>
        <v/>
      </c>
      <c r="Y35" s="45" t="str" cm="1">
        <f t="array" ref="Y35">IF('Niv formacode'!Y35="","",IFERROR(INDEX(Formacode!$C:$F,
   MATCH('Niv formacode'!$B35,Formacode!$A:$A,0),
  'Niv formacode'!Y35),""))</f>
        <v/>
      </c>
      <c r="Z35" s="45" t="str" cm="1">
        <f t="array" ref="Z35">IF('Niv formacode'!Z35="","",IFERROR(INDEX(Formacode!$C:$F,
   MATCH('Niv formacode'!$B35,Formacode!$A:$A,0),
  'Niv formacode'!Z35),""))</f>
        <v/>
      </c>
      <c r="AA35" s="45" t="str" cm="1">
        <f t="array" ref="AA35">IF('Niv formacode'!AA35="","",IFERROR(INDEX(Formacode!$C:$F,
   MATCH('Niv formacode'!$B35,Formacode!$A:$A,0),
  'Niv formacode'!AA35),""))</f>
        <v/>
      </c>
      <c r="AB35" s="45" t="str" cm="1">
        <f t="array" ref="AB35">IF('Niv formacode'!AB35="","",IFERROR(INDEX(Formacode!$C:$F,
   MATCH('Niv formacode'!$B35,Formacode!$A:$A,0),
  'Niv formacode'!AB35),""))</f>
        <v/>
      </c>
      <c r="AC35" s="45" t="str" cm="1">
        <f t="array" ref="AC35">IF('Niv formacode'!AC35="","",IFERROR(INDEX(Formacode!$C:$F,
   MATCH('Niv formacode'!$B35,Formacode!$A:$A,0),
  'Niv formacode'!AC35),""))</f>
        <v/>
      </c>
      <c r="AD35" s="45" t="str" cm="1">
        <f t="array" ref="AD35">IF('Niv formacode'!AD35="","",IFERROR(INDEX(Formacode!$C:$F,
   MATCH('Niv formacode'!$B35,Formacode!$A:$A,0),
  'Niv formacode'!AD35),""))</f>
        <v/>
      </c>
      <c r="AE35" s="45" t="str" cm="1">
        <f t="array" ref="AE35">IF('Niv formacode'!AE35="","",IFERROR(INDEX(Formacode!$C:$F,
   MATCH('Niv formacode'!$B35,Formacode!$A:$A,0),
  'Niv formacode'!AE35),""))</f>
        <v/>
      </c>
    </row>
    <row r="36" spans="1:31">
      <c r="A36" s="55" t="str">
        <f>_xlfn.XLOOKUP(B36,Formacode!A:A,Formacode!B:B,0,1)</f>
        <v>Boulangerie</v>
      </c>
      <c r="B36" s="55" cm="1">
        <f t="array" ref="B36">IFERROR(INDEX('Niv formacode'!$B:$B,SMALL(IF('Niv formacode'!$B:$B&lt;&gt;"",ROW('Niv formacode'!$B:$B)),ROW(B35))),"")</f>
        <v>21538</v>
      </c>
      <c r="C36" s="45" t="str" cm="1">
        <f t="array" ref="C36">IF('Niv formacode'!C36="","",IFERROR(INDEX(Formacode!$C:$F,
   MATCH('Niv formacode'!$B36,Formacode!$A:$A,0),
  'Niv formacode'!C36),""))</f>
        <v/>
      </c>
      <c r="D36" s="45" t="str" cm="1">
        <f t="array" ref="D36">IF('Niv formacode'!D36="","",IFERROR(INDEX(Formacode!$C:$F,
   MATCH('Niv formacode'!$B36,Formacode!$A:$A,0),
  'Niv formacode'!D36),""))</f>
        <v/>
      </c>
      <c r="E36" s="45" t="str" cm="1">
        <f t="array" ref="E36">IF('Niv formacode'!E36="","",IFERROR(INDEX(Formacode!$C:$F,
   MATCH('Niv formacode'!$B36,Formacode!$A:$A,0),
  'Niv formacode'!E36),""))</f>
        <v/>
      </c>
      <c r="F36" s="45" t="str" cm="1">
        <f t="array" ref="F36">IF('Niv formacode'!F36="","",IFERROR(INDEX(Formacode!$C:$F,
   MATCH('Niv formacode'!$B36,Formacode!$A:$A,0),
  'Niv formacode'!F36),""))</f>
        <v/>
      </c>
      <c r="G36" s="45" t="str" cm="1">
        <f t="array" ref="G36">IF('Niv formacode'!G36="","",IFERROR(INDEX(Formacode!$C:$F,
   MATCH('Niv formacode'!$B36,Formacode!$A:$A,0),
  'Niv formacode'!G36),""))</f>
        <v/>
      </c>
      <c r="H36" s="45" t="str" cm="1">
        <f t="array" ref="H36">IF('Niv formacode'!H36="","",IFERROR(INDEX(Formacode!$C:$F,
   MATCH('Niv formacode'!$B36,Formacode!$A:$A,0),
  'Niv formacode'!H36),""))</f>
        <v/>
      </c>
      <c r="I36" s="45" t="str" cm="1">
        <f t="array" ref="I36">IF('Niv formacode'!I36="","",IFERROR(INDEX(Formacode!$C:$F,
   MATCH('Niv formacode'!$B36,Formacode!$A:$A,0),
  'Niv formacode'!I36),""))</f>
        <v/>
      </c>
      <c r="J36" s="45" t="str" cm="1">
        <f t="array" ref="J36">IF('Niv formacode'!J36="","",IFERROR(INDEX(Formacode!$C:$F,
   MATCH('Niv formacode'!$B36,Formacode!$A:$A,0),
  'Niv formacode'!J36),""))</f>
        <v/>
      </c>
      <c r="K36" s="45" t="str" cm="1">
        <f t="array" ref="K36">IF('Niv formacode'!K36="","",IFERROR(INDEX(Formacode!$C:$F,
   MATCH('Niv formacode'!$B36,Formacode!$A:$A,0),
  'Niv formacode'!K36),""))</f>
        <v/>
      </c>
      <c r="L36" s="45" t="str" cm="1">
        <f t="array" ref="L36">IF('Niv formacode'!L36="","",IFERROR(INDEX(Formacode!$C:$F,
   MATCH('Niv formacode'!$B36,Formacode!$A:$A,0),
  'Niv formacode'!L36),""))</f>
        <v/>
      </c>
      <c r="M36" s="45" t="str" cm="1">
        <f t="array" ref="M36">IF('Niv formacode'!M36="","",IFERROR(INDEX(Formacode!$C:$F,
   MATCH('Niv formacode'!$B36,Formacode!$A:$A,0),
  'Niv formacode'!M36),""))</f>
        <v/>
      </c>
      <c r="N36" s="45" t="str" cm="1">
        <f t="array" ref="N36">IF('Niv formacode'!N36="","",IFERROR(INDEX(Formacode!$C:$F,
   MATCH('Niv formacode'!$B36,Formacode!$A:$A,0),
  'Niv formacode'!N36),""))</f>
        <v/>
      </c>
      <c r="O36" s="45" t="str" cm="1">
        <f t="array" ref="O36">IF('Niv formacode'!O36="","",IFERROR(INDEX(Formacode!$C:$F,
   MATCH('Niv formacode'!$B36,Formacode!$A:$A,0),
  'Niv formacode'!O36),""))</f>
        <v/>
      </c>
      <c r="P36" s="45" t="str" cm="1">
        <f t="array" ref="P36">IF('Niv formacode'!P36="","",IFERROR(INDEX(Formacode!$C:$F,
   MATCH('Niv formacode'!$B36,Formacode!$A:$A,0),
  'Niv formacode'!P36),""))</f>
        <v/>
      </c>
      <c r="Q36" s="45" t="str" cm="1">
        <f t="array" ref="Q36">IF('Niv formacode'!Q36="","",IFERROR(INDEX(Formacode!$C:$F,
   MATCH('Niv formacode'!$B36,Formacode!$A:$A,0),
  'Niv formacode'!Q36),""))</f>
        <v/>
      </c>
      <c r="R36" s="45" t="str" cm="1">
        <f t="array" ref="R36">IF('Niv formacode'!R36="","",IFERROR(INDEX(Formacode!$C:$F,
   MATCH('Niv formacode'!$B36,Formacode!$A:$A,0),
  'Niv formacode'!R36),""))</f>
        <v/>
      </c>
      <c r="S36" s="45" t="str" cm="1">
        <f t="array" ref="S36">IF('Niv formacode'!S36="","",IFERROR(INDEX(Formacode!$C:$F,
   MATCH('Niv formacode'!$B36,Formacode!$A:$A,0),
  'Niv formacode'!S36),""))</f>
        <v/>
      </c>
      <c r="T36" s="45" t="str" cm="1">
        <f t="array" ref="T36">IF('Niv formacode'!T36="","",IFERROR(INDEX(Formacode!$C:$F,
   MATCH('Niv formacode'!$B36,Formacode!$A:$A,0),
  'Niv formacode'!T36),""))</f>
        <v/>
      </c>
      <c r="U36" s="45" t="str" cm="1">
        <f t="array" ref="U36">IF('Niv formacode'!U36="","",IFERROR(INDEX(Formacode!$C:$F,
   MATCH('Niv formacode'!$B36,Formacode!$A:$A,0),
  'Niv formacode'!U36),""))</f>
        <v/>
      </c>
      <c r="V36" s="45" cm="1">
        <f t="array" ref="V36">IF('Niv formacode'!V36="","",IFERROR(INDEX(Formacode!$C:$F,
   MATCH('Niv formacode'!$B36,Formacode!$A:$A,0),
  'Niv formacode'!V36),""))</f>
        <v>272</v>
      </c>
      <c r="W36" s="45" t="str" cm="1">
        <f t="array" ref="W36">IF('Niv formacode'!W36="","",IFERROR(INDEX(Formacode!$C:$F,
   MATCH('Niv formacode'!$B36,Formacode!$A:$A,0),
  'Niv formacode'!W36),""))</f>
        <v/>
      </c>
      <c r="X36" s="45" t="str" cm="1">
        <f t="array" ref="X36">IF('Niv formacode'!X36="","",IFERROR(INDEX(Formacode!$C:$F,
   MATCH('Niv formacode'!$B36,Formacode!$A:$A,0),
  'Niv formacode'!X36),""))</f>
        <v/>
      </c>
      <c r="Y36" s="45" t="str" cm="1">
        <f t="array" ref="Y36">IF('Niv formacode'!Y36="","",IFERROR(INDEX(Formacode!$C:$F,
   MATCH('Niv formacode'!$B36,Formacode!$A:$A,0),
  'Niv formacode'!Y36),""))</f>
        <v/>
      </c>
      <c r="Z36" s="45" t="str" cm="1">
        <f t="array" ref="Z36">IF('Niv formacode'!Z36="","",IFERROR(INDEX(Formacode!$C:$F,
   MATCH('Niv formacode'!$B36,Formacode!$A:$A,0),
  'Niv formacode'!Z36),""))</f>
        <v/>
      </c>
      <c r="AA36" s="45" t="str" cm="1">
        <f t="array" ref="AA36">IF('Niv formacode'!AA36="","",IFERROR(INDEX(Formacode!$C:$F,
   MATCH('Niv formacode'!$B36,Formacode!$A:$A,0),
  'Niv formacode'!AA36),""))</f>
        <v/>
      </c>
      <c r="AB36" s="45" t="str" cm="1">
        <f t="array" ref="AB36">IF('Niv formacode'!AB36="","",IFERROR(INDEX(Formacode!$C:$F,
   MATCH('Niv formacode'!$B36,Formacode!$A:$A,0),
  'Niv formacode'!AB36),""))</f>
        <v/>
      </c>
      <c r="AC36" s="45" t="str" cm="1">
        <f t="array" ref="AC36">IF('Niv formacode'!AC36="","",IFERROR(INDEX(Formacode!$C:$F,
   MATCH('Niv formacode'!$B36,Formacode!$A:$A,0),
  'Niv formacode'!AC36),""))</f>
        <v/>
      </c>
      <c r="AD36" s="45" t="str" cm="1">
        <f t="array" ref="AD36">IF('Niv formacode'!AD36="","",IFERROR(INDEX(Formacode!$C:$F,
   MATCH('Niv formacode'!$B36,Formacode!$A:$A,0),
  'Niv formacode'!AD36),""))</f>
        <v/>
      </c>
      <c r="AE36" s="45" t="str" cm="1">
        <f t="array" ref="AE36">IF('Niv formacode'!AE36="","",IFERROR(INDEX(Formacode!$C:$F,
   MATCH('Niv formacode'!$B36,Formacode!$A:$A,0),
  'Niv formacode'!AE36),""))</f>
        <v/>
      </c>
    </row>
    <row r="37" spans="1:31">
      <c r="A37" s="55" t="str">
        <f>_xlfn.XLOOKUP(B37,Formacode!A:A,Formacode!B:B,0,1)</f>
        <v>Transport</v>
      </c>
      <c r="B37" s="55" cm="1">
        <f t="array" ref="B37">IFERROR(INDEX('Niv formacode'!$B:$B,SMALL(IF('Niv formacode'!$B:$B&lt;&gt;"",ROW('Niv formacode'!$B:$B)),ROW(B36))),"")</f>
        <v>31854</v>
      </c>
      <c r="C37" s="45" t="str" cm="1">
        <f t="array" ref="C37">IF('Niv formacode'!C37="","",IFERROR(INDEX(Formacode!$C:$F,
   MATCH('Niv formacode'!$B37,Formacode!$A:$A,0),
  'Niv formacode'!C37),""))</f>
        <v/>
      </c>
      <c r="D37" s="45" t="str" cm="1">
        <f t="array" ref="D37">IF('Niv formacode'!D37="","",IFERROR(INDEX(Formacode!$C:$F,
   MATCH('Niv formacode'!$B37,Formacode!$A:$A,0),
  'Niv formacode'!D37),""))</f>
        <v/>
      </c>
      <c r="E37" s="45" t="str" cm="1">
        <f t="array" ref="E37">IF('Niv formacode'!E37="","",IFERROR(INDEX(Formacode!$C:$F,
   MATCH('Niv formacode'!$B37,Formacode!$A:$A,0),
  'Niv formacode'!E37),""))</f>
        <v/>
      </c>
      <c r="F37" s="45" t="str" cm="1">
        <f t="array" ref="F37">IF('Niv formacode'!F37="","",IFERROR(INDEX(Formacode!$C:$F,
   MATCH('Niv formacode'!$B37,Formacode!$A:$A,0),
  'Niv formacode'!F37),""))</f>
        <v/>
      </c>
      <c r="G37" s="45" t="str" cm="1">
        <f t="array" ref="G37">IF('Niv formacode'!G37="","",IFERROR(INDEX(Formacode!$C:$F,
   MATCH('Niv formacode'!$B37,Formacode!$A:$A,0),
  'Niv formacode'!G37),""))</f>
        <v/>
      </c>
      <c r="H37" s="45" t="str" cm="1">
        <f t="array" ref="H37">IF('Niv formacode'!H37="","",IFERROR(INDEX(Formacode!$C:$F,
   MATCH('Niv formacode'!$B37,Formacode!$A:$A,0),
  'Niv formacode'!H37),""))</f>
        <v/>
      </c>
      <c r="I37" s="45" t="str" cm="1">
        <f t="array" ref="I37">IF('Niv formacode'!I37="","",IFERROR(INDEX(Formacode!$C:$F,
   MATCH('Niv formacode'!$B37,Formacode!$A:$A,0),
  'Niv formacode'!I37),""))</f>
        <v/>
      </c>
      <c r="J37" s="45" t="str" cm="1">
        <f t="array" ref="J37">IF('Niv formacode'!J37="","",IFERROR(INDEX(Formacode!$C:$F,
   MATCH('Niv formacode'!$B37,Formacode!$A:$A,0),
  'Niv formacode'!J37),""))</f>
        <v/>
      </c>
      <c r="K37" s="45" t="str" cm="1">
        <f t="array" ref="K37">IF('Niv formacode'!K37="","",IFERROR(INDEX(Formacode!$C:$F,
   MATCH('Niv formacode'!$B37,Formacode!$A:$A,0),
  'Niv formacode'!K37),""))</f>
        <v/>
      </c>
      <c r="L37" s="45" t="str" cm="1">
        <f t="array" ref="L37">IF('Niv formacode'!L37="","",IFERROR(INDEX(Formacode!$C:$F,
   MATCH('Niv formacode'!$B37,Formacode!$A:$A,0),
  'Niv formacode'!L37),""))</f>
        <v/>
      </c>
      <c r="M37" s="45" t="str" cm="1">
        <f t="array" ref="M37">IF('Niv formacode'!M37="","",IFERROR(INDEX(Formacode!$C:$F,
   MATCH('Niv formacode'!$B37,Formacode!$A:$A,0),
  'Niv formacode'!M37),""))</f>
        <v/>
      </c>
      <c r="N37" s="45" t="str" cm="1">
        <f t="array" ref="N37">IF('Niv formacode'!N37="","",IFERROR(INDEX(Formacode!$C:$F,
   MATCH('Niv formacode'!$B37,Formacode!$A:$A,0),
  'Niv formacode'!N37),""))</f>
        <v/>
      </c>
      <c r="O37" s="45" t="str" cm="1">
        <f t="array" ref="O37">IF('Niv formacode'!O37="","",IFERROR(INDEX(Formacode!$C:$F,
   MATCH('Niv formacode'!$B37,Formacode!$A:$A,0),
  'Niv formacode'!O37),""))</f>
        <v/>
      </c>
      <c r="P37" s="45" t="str" cm="1">
        <f t="array" ref="P37">IF('Niv formacode'!P37="","",IFERROR(INDEX(Formacode!$C:$F,
   MATCH('Niv formacode'!$B37,Formacode!$A:$A,0),
  'Niv formacode'!P37),""))</f>
        <v/>
      </c>
      <c r="Q37" s="45" t="str" cm="1">
        <f t="array" ref="Q37">IF('Niv formacode'!Q37="","",IFERROR(INDEX(Formacode!$C:$F,
   MATCH('Niv formacode'!$B37,Formacode!$A:$A,0),
  'Niv formacode'!Q37),""))</f>
        <v/>
      </c>
      <c r="R37" s="45" t="str" cm="1">
        <f t="array" ref="R37">IF('Niv formacode'!R37="","",IFERROR(INDEX(Formacode!$C:$F,
   MATCH('Niv formacode'!$B37,Formacode!$A:$A,0),
  'Niv formacode'!R37),""))</f>
        <v/>
      </c>
      <c r="S37" s="45" t="str" cm="1">
        <f t="array" ref="S37">IF('Niv formacode'!S37="","",IFERROR(INDEX(Formacode!$C:$F,
   MATCH('Niv formacode'!$B37,Formacode!$A:$A,0),
  'Niv formacode'!S37),""))</f>
        <v/>
      </c>
      <c r="T37" s="45" t="str" cm="1">
        <f t="array" ref="T37">IF('Niv formacode'!T37="","",IFERROR(INDEX(Formacode!$C:$F,
   MATCH('Niv formacode'!$B37,Formacode!$A:$A,0),
  'Niv formacode'!T37),""))</f>
        <v/>
      </c>
      <c r="U37" s="45" t="str" cm="1">
        <f t="array" ref="U37">IF('Niv formacode'!U37="","",IFERROR(INDEX(Formacode!$C:$F,
   MATCH('Niv formacode'!$B37,Formacode!$A:$A,0),
  'Niv formacode'!U37),""))</f>
        <v/>
      </c>
      <c r="V37" s="45" t="str" cm="1">
        <f t="array" ref="V37">IF('Niv formacode'!V37="","",IFERROR(INDEX(Formacode!$C:$F,
   MATCH('Niv formacode'!$B37,Formacode!$A:$A,0),
  'Niv formacode'!V37),""))</f>
        <v/>
      </c>
      <c r="W37" s="45" t="str" cm="1">
        <f t="array" ref="W37">IF('Niv formacode'!W37="","",IFERROR(INDEX(Formacode!$C:$F,
   MATCH('Niv formacode'!$B37,Formacode!$A:$A,0),
  'Niv formacode'!W37),""))</f>
        <v/>
      </c>
      <c r="X37" s="45" t="str" cm="1">
        <f t="array" ref="X37">IF('Niv formacode'!X37="","",IFERROR(INDEX(Formacode!$C:$F,
   MATCH('Niv formacode'!$B37,Formacode!$A:$A,0),
  'Niv formacode'!X37),""))</f>
        <v/>
      </c>
      <c r="Y37" s="45" cm="1">
        <f t="array" ref="Y37">IF('Niv formacode'!Y37="","",IFERROR(INDEX(Formacode!$C:$F,
   MATCH('Niv formacode'!$B37,Formacode!$A:$A,0),
  'Niv formacode'!Y37),""))</f>
        <v>698.9</v>
      </c>
      <c r="Z37" s="45" t="str" cm="1">
        <f t="array" ref="Z37">IF('Niv formacode'!Z37="","",IFERROR(INDEX(Formacode!$C:$F,
   MATCH('Niv formacode'!$B37,Formacode!$A:$A,0),
  'Niv formacode'!Z37),""))</f>
        <v/>
      </c>
      <c r="AA37" s="45" t="str" cm="1">
        <f t="array" ref="AA37">IF('Niv formacode'!AA37="","",IFERROR(INDEX(Formacode!$C:$F,
   MATCH('Niv formacode'!$B37,Formacode!$A:$A,0),
  'Niv formacode'!AA37),""))</f>
        <v/>
      </c>
      <c r="AB37" s="45" t="str" cm="1">
        <f t="array" ref="AB37">IF('Niv formacode'!AB37="","",IFERROR(INDEX(Formacode!$C:$F,
   MATCH('Niv formacode'!$B37,Formacode!$A:$A,0),
  'Niv formacode'!AB37),""))</f>
        <v/>
      </c>
      <c r="AC37" s="45" t="str" cm="1">
        <f t="array" ref="AC37">IF('Niv formacode'!AC37="","",IFERROR(INDEX(Formacode!$C:$F,
   MATCH('Niv formacode'!$B37,Formacode!$A:$A,0),
  'Niv formacode'!AC37),""))</f>
        <v/>
      </c>
      <c r="AD37" s="45" t="str" cm="1">
        <f t="array" ref="AD37">IF('Niv formacode'!AD37="","",IFERROR(INDEX(Formacode!$C:$F,
   MATCH('Niv formacode'!$B37,Formacode!$A:$A,0),
  'Niv formacode'!AD37),""))</f>
        <v/>
      </c>
      <c r="AE37" s="45" t="str" cm="1">
        <f t="array" ref="AE37">IF('Niv formacode'!AE37="","",IFERROR(INDEX(Formacode!$C:$F,
   MATCH('Niv formacode'!$B37,Formacode!$A:$A,0),
  'Niv formacode'!AE37),""))</f>
        <v/>
      </c>
    </row>
    <row r="38" spans="1:31">
      <c r="A38" s="55" t="str">
        <f>_xlfn.XLOOKUP(B38,Formacode!A:A,Formacode!B:B,0,1)</f>
        <v>Viande</v>
      </c>
      <c r="B38" s="55" cm="1">
        <f t="array" ref="B38">IFERROR(INDEX('Niv formacode'!$B:$B,SMALL(IF('Niv formacode'!$B:$B&lt;&gt;"",ROW('Niv formacode'!$B:$B)),ROW(B37))),"")</f>
        <v>21577</v>
      </c>
      <c r="C38" s="45" t="str" cm="1">
        <f t="array" ref="C38">IF('Niv formacode'!C38="","",IFERROR(INDEX(Formacode!$C:$F,
   MATCH('Niv formacode'!$B38,Formacode!$A:$A,0),
  'Niv formacode'!C38),""))</f>
        <v/>
      </c>
      <c r="D38" s="45" t="str" cm="1">
        <f t="array" ref="D38">IF('Niv formacode'!D38="","",IFERROR(INDEX(Formacode!$C:$F,
   MATCH('Niv formacode'!$B38,Formacode!$A:$A,0),
  'Niv formacode'!D38),""))</f>
        <v/>
      </c>
      <c r="E38" s="45" t="str" cm="1">
        <f t="array" ref="E38">IF('Niv formacode'!E38="","",IFERROR(INDEX(Formacode!$C:$F,
   MATCH('Niv formacode'!$B38,Formacode!$A:$A,0),
  'Niv formacode'!E38),""))</f>
        <v/>
      </c>
      <c r="F38" s="45" t="str" cm="1">
        <f t="array" ref="F38">IF('Niv formacode'!F38="","",IFERROR(INDEX(Formacode!$C:$F,
   MATCH('Niv formacode'!$B38,Formacode!$A:$A,0),
  'Niv formacode'!F38),""))</f>
        <v/>
      </c>
      <c r="G38" s="45" t="str" cm="1">
        <f t="array" ref="G38">IF('Niv formacode'!G38="","",IFERROR(INDEX(Formacode!$C:$F,
   MATCH('Niv formacode'!$B38,Formacode!$A:$A,0),
  'Niv formacode'!G38),""))</f>
        <v/>
      </c>
      <c r="H38" s="45" t="str" cm="1">
        <f t="array" ref="H38">IF('Niv formacode'!H38="","",IFERROR(INDEX(Formacode!$C:$F,
   MATCH('Niv formacode'!$B38,Formacode!$A:$A,0),
  'Niv formacode'!H38),""))</f>
        <v/>
      </c>
      <c r="I38" s="45" t="str" cm="1">
        <f t="array" ref="I38">IF('Niv formacode'!I38="","",IFERROR(INDEX(Formacode!$C:$F,
   MATCH('Niv formacode'!$B38,Formacode!$A:$A,0),
  'Niv formacode'!I38),""))</f>
        <v/>
      </c>
      <c r="J38" s="45" t="str" cm="1">
        <f t="array" ref="J38">IF('Niv formacode'!J38="","",IFERROR(INDEX(Formacode!$C:$F,
   MATCH('Niv formacode'!$B38,Formacode!$A:$A,0),
  'Niv formacode'!J38),""))</f>
        <v/>
      </c>
      <c r="K38" s="45" t="str" cm="1">
        <f t="array" ref="K38">IF('Niv formacode'!K38="","",IFERROR(INDEX(Formacode!$C:$F,
   MATCH('Niv formacode'!$B38,Formacode!$A:$A,0),
  'Niv formacode'!K38),""))</f>
        <v/>
      </c>
      <c r="L38" s="45" t="str" cm="1">
        <f t="array" ref="L38">IF('Niv formacode'!L38="","",IFERROR(INDEX(Formacode!$C:$F,
   MATCH('Niv formacode'!$B38,Formacode!$A:$A,0),
  'Niv formacode'!L38),""))</f>
        <v/>
      </c>
      <c r="M38" s="45" t="str" cm="1">
        <f t="array" ref="M38">IF('Niv formacode'!M38="","",IFERROR(INDEX(Formacode!$C:$F,
   MATCH('Niv formacode'!$B38,Formacode!$A:$A,0),
  'Niv formacode'!M38),""))</f>
        <v/>
      </c>
      <c r="N38" s="45" t="str" cm="1">
        <f t="array" ref="N38">IF('Niv formacode'!N38="","",IFERROR(INDEX(Formacode!$C:$F,
   MATCH('Niv formacode'!$B38,Formacode!$A:$A,0),
  'Niv formacode'!N38),""))</f>
        <v/>
      </c>
      <c r="O38" s="45" t="str" cm="1">
        <f t="array" ref="O38">IF('Niv formacode'!O38="","",IFERROR(INDEX(Formacode!$C:$F,
   MATCH('Niv formacode'!$B38,Formacode!$A:$A,0),
  'Niv formacode'!O38),""))</f>
        <v/>
      </c>
      <c r="P38" s="45" t="str" cm="1">
        <f t="array" ref="P38">IF('Niv formacode'!P38="","",IFERROR(INDEX(Formacode!$C:$F,
   MATCH('Niv formacode'!$B38,Formacode!$A:$A,0),
  'Niv formacode'!P38),""))</f>
        <v/>
      </c>
      <c r="Q38" s="45" t="str" cm="1">
        <f t="array" ref="Q38">IF('Niv formacode'!Q38="","",IFERROR(INDEX(Formacode!$C:$F,
   MATCH('Niv formacode'!$B38,Formacode!$A:$A,0),
  'Niv formacode'!Q38),""))</f>
        <v/>
      </c>
      <c r="R38" s="45" t="str" cm="1">
        <f t="array" ref="R38">IF('Niv formacode'!R38="","",IFERROR(INDEX(Formacode!$C:$F,
   MATCH('Niv formacode'!$B38,Formacode!$A:$A,0),
  'Niv formacode'!R38),""))</f>
        <v/>
      </c>
      <c r="S38" s="45" t="str" cm="1">
        <f t="array" ref="S38">IF('Niv formacode'!S38="","",IFERROR(INDEX(Formacode!$C:$F,
   MATCH('Niv formacode'!$B38,Formacode!$A:$A,0),
  'Niv formacode'!S38),""))</f>
        <v/>
      </c>
      <c r="T38" s="45" t="str" cm="1">
        <f t="array" ref="T38">IF('Niv formacode'!T38="","",IFERROR(INDEX(Formacode!$C:$F,
   MATCH('Niv formacode'!$B38,Formacode!$A:$A,0),
  'Niv formacode'!T38),""))</f>
        <v/>
      </c>
      <c r="U38" s="45" t="str" cm="1">
        <f t="array" ref="U38">IF('Niv formacode'!U38="","",IFERROR(INDEX(Formacode!$C:$F,
   MATCH('Niv formacode'!$B38,Formacode!$A:$A,0),
  'Niv formacode'!U38),""))</f>
        <v/>
      </c>
      <c r="V38" s="45" t="str" cm="1">
        <f t="array" ref="V38">IF('Niv formacode'!V38="","",IFERROR(INDEX(Formacode!$C:$F,
   MATCH('Niv formacode'!$B38,Formacode!$A:$A,0),
  'Niv formacode'!V38),""))</f>
        <v/>
      </c>
      <c r="W38" s="45" t="str" cm="1">
        <f t="array" ref="W38">IF('Niv formacode'!W38="","",IFERROR(INDEX(Formacode!$C:$F,
   MATCH('Niv formacode'!$B38,Formacode!$A:$A,0),
  'Niv formacode'!W38),""))</f>
        <v/>
      </c>
      <c r="X38" s="45" t="str" cm="1">
        <f t="array" ref="X38">IF('Niv formacode'!X38="","",IFERROR(INDEX(Formacode!$C:$F,
   MATCH('Niv formacode'!$B38,Formacode!$A:$A,0),
  'Niv formacode'!X38),""))</f>
        <v/>
      </c>
      <c r="Y38" s="45" t="str" cm="1">
        <f t="array" ref="Y38">IF('Niv formacode'!Y38="","",IFERROR(INDEX(Formacode!$C:$F,
   MATCH('Niv formacode'!$B38,Formacode!$A:$A,0),
  'Niv formacode'!Y38),""))</f>
        <v/>
      </c>
      <c r="Z38" s="45" cm="1">
        <f t="array" ref="Z38">IF('Niv formacode'!Z38="","",IFERROR(INDEX(Formacode!$C:$F,
   MATCH('Niv formacode'!$B38,Formacode!$A:$A,0),
  'Niv formacode'!Z38),""))</f>
        <v>302</v>
      </c>
      <c r="AA38" s="45" t="str" cm="1">
        <f t="array" ref="AA38">IF('Niv formacode'!AA38="","",IFERROR(INDEX(Formacode!$C:$F,
   MATCH('Niv formacode'!$B38,Formacode!$A:$A,0),
  'Niv formacode'!AA38),""))</f>
        <v/>
      </c>
      <c r="AB38" s="45" t="str" cm="1">
        <f t="array" ref="AB38">IF('Niv formacode'!AB38="","",IFERROR(INDEX(Formacode!$C:$F,
   MATCH('Niv formacode'!$B38,Formacode!$A:$A,0),
  'Niv formacode'!AB38),""))</f>
        <v/>
      </c>
      <c r="AC38" s="45" t="str" cm="1">
        <f t="array" ref="AC38">IF('Niv formacode'!AC38="","",IFERROR(INDEX(Formacode!$C:$F,
   MATCH('Niv formacode'!$B38,Formacode!$A:$A,0),
  'Niv formacode'!AC38),""))</f>
        <v/>
      </c>
      <c r="AD38" s="45" t="str" cm="1">
        <f t="array" ref="AD38">IF('Niv formacode'!AD38="","",IFERROR(INDEX(Formacode!$C:$F,
   MATCH('Niv formacode'!$B38,Formacode!$A:$A,0),
  'Niv formacode'!AD38),""))</f>
        <v/>
      </c>
      <c r="AE38" s="45" t="str" cm="1">
        <f t="array" ref="AE38">IF('Niv formacode'!AE38="","",IFERROR(INDEX(Formacode!$C:$F,
   MATCH('Niv formacode'!$B38,Formacode!$A:$A,0),
  'Niv formacode'!AE38),""))</f>
        <v/>
      </c>
    </row>
    <row r="39" spans="1:31">
      <c r="A39" s="55" t="str">
        <f>_xlfn.XLOOKUP(B39,Formacode!A:A,Formacode!B:B,0,1)</f>
        <v>Fromage</v>
      </c>
      <c r="B39" s="55" cm="1">
        <f t="array" ref="B39">IFERROR(INDEX('Niv formacode'!$B:$B,SMALL(IF('Niv formacode'!$B:$B&lt;&gt;"",ROW('Niv formacode'!$B:$B)),ROW(B38))),"")</f>
        <v>21504</v>
      </c>
      <c r="C39" s="45" t="str" cm="1">
        <f t="array" ref="C39">IF('Niv formacode'!C39="","",IFERROR(INDEX(Formacode!$C:$F,
   MATCH('Niv formacode'!$B39,Formacode!$A:$A,0),
  'Niv formacode'!C39),""))</f>
        <v/>
      </c>
      <c r="D39" s="45" t="str" cm="1">
        <f t="array" ref="D39">IF('Niv formacode'!D39="","",IFERROR(INDEX(Formacode!$C:$F,
   MATCH('Niv formacode'!$B39,Formacode!$A:$A,0),
  'Niv formacode'!D39),""))</f>
        <v/>
      </c>
      <c r="E39" s="45" t="str" cm="1">
        <f t="array" ref="E39">IF('Niv formacode'!E39="","",IFERROR(INDEX(Formacode!$C:$F,
   MATCH('Niv formacode'!$B39,Formacode!$A:$A,0),
  'Niv formacode'!E39),""))</f>
        <v/>
      </c>
      <c r="F39" s="45" t="str" cm="1">
        <f t="array" ref="F39">IF('Niv formacode'!F39="","",IFERROR(INDEX(Formacode!$C:$F,
   MATCH('Niv formacode'!$B39,Formacode!$A:$A,0),
  'Niv formacode'!F39),""))</f>
        <v/>
      </c>
      <c r="G39" s="45" t="str" cm="1">
        <f t="array" ref="G39">IF('Niv formacode'!G39="","",IFERROR(INDEX(Formacode!$C:$F,
   MATCH('Niv formacode'!$B39,Formacode!$A:$A,0),
  'Niv formacode'!G39),""))</f>
        <v/>
      </c>
      <c r="H39" s="45" t="str" cm="1">
        <f t="array" ref="H39">IF('Niv formacode'!H39="","",IFERROR(INDEX(Formacode!$C:$F,
   MATCH('Niv formacode'!$B39,Formacode!$A:$A,0),
  'Niv formacode'!H39),""))</f>
        <v/>
      </c>
      <c r="I39" s="45" t="str" cm="1">
        <f t="array" ref="I39">IF('Niv formacode'!I39="","",IFERROR(INDEX(Formacode!$C:$F,
   MATCH('Niv formacode'!$B39,Formacode!$A:$A,0),
  'Niv formacode'!I39),""))</f>
        <v/>
      </c>
      <c r="J39" s="45" t="str" cm="1">
        <f t="array" ref="J39">IF('Niv formacode'!J39="","",IFERROR(INDEX(Formacode!$C:$F,
   MATCH('Niv formacode'!$B39,Formacode!$A:$A,0),
  'Niv formacode'!J39),""))</f>
        <v/>
      </c>
      <c r="K39" s="45" t="str" cm="1">
        <f t="array" ref="K39">IF('Niv formacode'!K39="","",IFERROR(INDEX(Formacode!$C:$F,
   MATCH('Niv formacode'!$B39,Formacode!$A:$A,0),
  'Niv formacode'!K39),""))</f>
        <v/>
      </c>
      <c r="L39" s="45" t="str" cm="1">
        <f t="array" ref="L39">IF('Niv formacode'!L39="","",IFERROR(INDEX(Formacode!$C:$F,
   MATCH('Niv formacode'!$B39,Formacode!$A:$A,0),
  'Niv formacode'!L39),""))</f>
        <v/>
      </c>
      <c r="M39" s="45" t="str" cm="1">
        <f t="array" ref="M39">IF('Niv formacode'!M39="","",IFERROR(INDEX(Formacode!$C:$F,
   MATCH('Niv formacode'!$B39,Formacode!$A:$A,0),
  'Niv formacode'!M39),""))</f>
        <v/>
      </c>
      <c r="N39" s="45" t="str" cm="1">
        <f t="array" ref="N39">IF('Niv formacode'!N39="","",IFERROR(INDEX(Formacode!$C:$F,
   MATCH('Niv formacode'!$B39,Formacode!$A:$A,0),
  'Niv formacode'!N39),""))</f>
        <v/>
      </c>
      <c r="O39" s="45" t="str" cm="1">
        <f t="array" ref="O39">IF('Niv formacode'!O39="","",IFERROR(INDEX(Formacode!$C:$F,
   MATCH('Niv formacode'!$B39,Formacode!$A:$A,0),
  'Niv formacode'!O39),""))</f>
        <v/>
      </c>
      <c r="P39" s="45" t="str" cm="1">
        <f t="array" ref="P39">IF('Niv formacode'!P39="","",IFERROR(INDEX(Formacode!$C:$F,
   MATCH('Niv formacode'!$B39,Formacode!$A:$A,0),
  'Niv formacode'!P39),""))</f>
        <v/>
      </c>
      <c r="Q39" s="45" t="str" cm="1">
        <f t="array" ref="Q39">IF('Niv formacode'!Q39="","",IFERROR(INDEX(Formacode!$C:$F,
   MATCH('Niv formacode'!$B39,Formacode!$A:$A,0),
  'Niv formacode'!Q39),""))</f>
        <v/>
      </c>
      <c r="R39" s="45" t="str" cm="1">
        <f t="array" ref="R39">IF('Niv formacode'!R39="","",IFERROR(INDEX(Formacode!$C:$F,
   MATCH('Niv formacode'!$B39,Formacode!$A:$A,0),
  'Niv formacode'!R39),""))</f>
        <v/>
      </c>
      <c r="S39" s="45" t="str" cm="1">
        <f t="array" ref="S39">IF('Niv formacode'!S39="","",IFERROR(INDEX(Formacode!$C:$F,
   MATCH('Niv formacode'!$B39,Formacode!$A:$A,0),
  'Niv formacode'!S39),""))</f>
        <v/>
      </c>
      <c r="T39" s="45" t="str" cm="1">
        <f t="array" ref="T39">IF('Niv formacode'!T39="","",IFERROR(INDEX(Formacode!$C:$F,
   MATCH('Niv formacode'!$B39,Formacode!$A:$A,0),
  'Niv formacode'!T39),""))</f>
        <v/>
      </c>
      <c r="U39" s="45" t="str" cm="1">
        <f t="array" ref="U39">IF('Niv formacode'!U39="","",IFERROR(INDEX(Formacode!$C:$F,
   MATCH('Niv formacode'!$B39,Formacode!$A:$A,0),
  'Niv formacode'!U39),""))</f>
        <v/>
      </c>
      <c r="V39" s="45" t="str" cm="1">
        <f t="array" ref="V39">IF('Niv formacode'!V39="","",IFERROR(INDEX(Formacode!$C:$F,
   MATCH('Niv formacode'!$B39,Formacode!$A:$A,0),
  'Niv formacode'!V39),""))</f>
        <v/>
      </c>
      <c r="W39" s="45" t="str" cm="1">
        <f t="array" ref="W39">IF('Niv formacode'!W39="","",IFERROR(INDEX(Formacode!$C:$F,
   MATCH('Niv formacode'!$B39,Formacode!$A:$A,0),
  'Niv formacode'!W39),""))</f>
        <v/>
      </c>
      <c r="X39" s="45" t="str" cm="1">
        <f t="array" ref="X39">IF('Niv formacode'!X39="","",IFERROR(INDEX(Formacode!$C:$F,
   MATCH('Niv formacode'!$B39,Formacode!$A:$A,0),
  'Niv formacode'!X39),""))</f>
        <v/>
      </c>
      <c r="Y39" s="45" t="str" cm="1">
        <f t="array" ref="Y39">IF('Niv formacode'!Y39="","",IFERROR(INDEX(Formacode!$C:$F,
   MATCH('Niv formacode'!$B39,Formacode!$A:$A,0),
  'Niv formacode'!Y39),""))</f>
        <v/>
      </c>
      <c r="Z39" s="45" t="str" cm="1">
        <f t="array" ref="Z39">IF('Niv formacode'!Z39="","",IFERROR(INDEX(Formacode!$C:$F,
   MATCH('Niv formacode'!$B39,Formacode!$A:$A,0),
  'Niv formacode'!Z39),""))</f>
        <v/>
      </c>
      <c r="AA39" s="45" cm="1">
        <f t="array" ref="AA39">IF('Niv formacode'!AA39="","",IFERROR(INDEX(Formacode!$C:$F,
   MATCH('Niv formacode'!$B39,Formacode!$A:$A,0),
  'Niv formacode'!AA39),""))</f>
        <v>263</v>
      </c>
      <c r="AB39" s="45" t="str" cm="1">
        <f t="array" ref="AB39">IF('Niv formacode'!AB39="","",IFERROR(INDEX(Formacode!$C:$F,
   MATCH('Niv formacode'!$B39,Formacode!$A:$A,0),
  'Niv formacode'!AB39),""))</f>
        <v/>
      </c>
      <c r="AC39" s="45" t="str" cm="1">
        <f t="array" ref="AC39">IF('Niv formacode'!AC39="","",IFERROR(INDEX(Formacode!$C:$F,
   MATCH('Niv formacode'!$B39,Formacode!$A:$A,0),
  'Niv formacode'!AC39),""))</f>
        <v/>
      </c>
      <c r="AD39" s="45" t="str" cm="1">
        <f t="array" ref="AD39">IF('Niv formacode'!AD39="","",IFERROR(INDEX(Formacode!$C:$F,
   MATCH('Niv formacode'!$B39,Formacode!$A:$A,0),
  'Niv formacode'!AD39),""))</f>
        <v/>
      </c>
      <c r="AE39" s="45" t="str" cm="1">
        <f t="array" ref="AE39">IF('Niv formacode'!AE39="","",IFERROR(INDEX(Formacode!$C:$F,
   MATCH('Niv formacode'!$B39,Formacode!$A:$A,0),
  'Niv formacode'!AE39),""))</f>
        <v/>
      </c>
    </row>
    <row r="40" spans="1:31">
      <c r="A40" s="55" t="str">
        <f>_xlfn.XLOOKUP(B40,Formacode!A:A,Formacode!B:B,0,1)</f>
        <v>Transformation produit mer</v>
      </c>
      <c r="B40" s="55" cm="1">
        <f t="array" ref="B40">IFERROR(INDEX('Niv formacode'!$B:$B,SMALL(IF('Niv formacode'!$B:$B&lt;&gt;"",ROW('Niv formacode'!$B:$B)),ROW(B39))),"")</f>
        <v>21567</v>
      </c>
      <c r="C40" s="45" t="str" cm="1">
        <f t="array" ref="C40">IF('Niv formacode'!C40="","",IFERROR(INDEX(Formacode!$C:$F,
   MATCH('Niv formacode'!$B40,Formacode!$A:$A,0),
  'Niv formacode'!C40),""))</f>
        <v/>
      </c>
      <c r="D40" s="45" t="str" cm="1">
        <f t="array" ref="D40">IF('Niv formacode'!D40="","",IFERROR(INDEX(Formacode!$C:$F,
   MATCH('Niv formacode'!$B40,Formacode!$A:$A,0),
  'Niv formacode'!D40),""))</f>
        <v/>
      </c>
      <c r="E40" s="45" t="str" cm="1">
        <f t="array" ref="E40">IF('Niv formacode'!E40="","",IFERROR(INDEX(Formacode!$C:$F,
   MATCH('Niv formacode'!$B40,Formacode!$A:$A,0),
  'Niv formacode'!E40),""))</f>
        <v/>
      </c>
      <c r="F40" s="45" t="str" cm="1">
        <f t="array" ref="F40">IF('Niv formacode'!F40="","",IFERROR(INDEX(Formacode!$C:$F,
   MATCH('Niv formacode'!$B40,Formacode!$A:$A,0),
  'Niv formacode'!F40),""))</f>
        <v/>
      </c>
      <c r="G40" s="45" t="str" cm="1">
        <f t="array" ref="G40">IF('Niv formacode'!G40="","",IFERROR(INDEX(Formacode!$C:$F,
   MATCH('Niv formacode'!$B40,Formacode!$A:$A,0),
  'Niv formacode'!G40),""))</f>
        <v/>
      </c>
      <c r="H40" s="45" t="str" cm="1">
        <f t="array" ref="H40">IF('Niv formacode'!H40="","",IFERROR(INDEX(Formacode!$C:$F,
   MATCH('Niv formacode'!$B40,Formacode!$A:$A,0),
  'Niv formacode'!H40),""))</f>
        <v/>
      </c>
      <c r="I40" s="45" t="str" cm="1">
        <f t="array" ref="I40">IF('Niv formacode'!I40="","",IFERROR(INDEX(Formacode!$C:$F,
   MATCH('Niv formacode'!$B40,Formacode!$A:$A,0),
  'Niv formacode'!I40),""))</f>
        <v/>
      </c>
      <c r="J40" s="45" t="str" cm="1">
        <f t="array" ref="J40">IF('Niv formacode'!J40="","",IFERROR(INDEX(Formacode!$C:$F,
   MATCH('Niv formacode'!$B40,Formacode!$A:$A,0),
  'Niv formacode'!J40),""))</f>
        <v/>
      </c>
      <c r="K40" s="45" t="str" cm="1">
        <f t="array" ref="K40">IF('Niv formacode'!K40="","",IFERROR(INDEX(Formacode!$C:$F,
   MATCH('Niv formacode'!$B40,Formacode!$A:$A,0),
  'Niv formacode'!K40),""))</f>
        <v/>
      </c>
      <c r="L40" s="45" t="str" cm="1">
        <f t="array" ref="L40">IF('Niv formacode'!L40="","",IFERROR(INDEX(Formacode!$C:$F,
   MATCH('Niv formacode'!$B40,Formacode!$A:$A,0),
  'Niv formacode'!L40),""))</f>
        <v/>
      </c>
      <c r="M40" s="45" t="str" cm="1">
        <f t="array" ref="M40">IF('Niv formacode'!M40="","",IFERROR(INDEX(Formacode!$C:$F,
   MATCH('Niv formacode'!$B40,Formacode!$A:$A,0),
  'Niv formacode'!M40),""))</f>
        <v/>
      </c>
      <c r="N40" s="45" t="str" cm="1">
        <f t="array" ref="N40">IF('Niv formacode'!N40="","",IFERROR(INDEX(Formacode!$C:$F,
   MATCH('Niv formacode'!$B40,Formacode!$A:$A,0),
  'Niv formacode'!N40),""))</f>
        <v/>
      </c>
      <c r="O40" s="45" t="str" cm="1">
        <f t="array" ref="O40">IF('Niv formacode'!O40="","",IFERROR(INDEX(Formacode!$C:$F,
   MATCH('Niv formacode'!$B40,Formacode!$A:$A,0),
  'Niv formacode'!O40),""))</f>
        <v/>
      </c>
      <c r="P40" s="45" t="str" cm="1">
        <f t="array" ref="P40">IF('Niv formacode'!P40="","",IFERROR(INDEX(Formacode!$C:$F,
   MATCH('Niv formacode'!$B40,Formacode!$A:$A,0),
  'Niv formacode'!P40),""))</f>
        <v/>
      </c>
      <c r="Q40" s="45" t="str" cm="1">
        <f t="array" ref="Q40">IF('Niv formacode'!Q40="","",IFERROR(INDEX(Formacode!$C:$F,
   MATCH('Niv formacode'!$B40,Formacode!$A:$A,0),
  'Niv formacode'!Q40),""))</f>
        <v/>
      </c>
      <c r="R40" s="45" t="str" cm="1">
        <f t="array" ref="R40">IF('Niv formacode'!R40="","",IFERROR(INDEX(Formacode!$C:$F,
   MATCH('Niv formacode'!$B40,Formacode!$A:$A,0),
  'Niv formacode'!R40),""))</f>
        <v/>
      </c>
      <c r="S40" s="45" t="str" cm="1">
        <f t="array" ref="S40">IF('Niv formacode'!S40="","",IFERROR(INDEX(Formacode!$C:$F,
   MATCH('Niv formacode'!$B40,Formacode!$A:$A,0),
  'Niv formacode'!S40),""))</f>
        <v/>
      </c>
      <c r="T40" s="45" t="str" cm="1">
        <f t="array" ref="T40">IF('Niv formacode'!T40="","",IFERROR(INDEX(Formacode!$C:$F,
   MATCH('Niv formacode'!$B40,Formacode!$A:$A,0),
  'Niv formacode'!T40),""))</f>
        <v/>
      </c>
      <c r="U40" s="45" t="str" cm="1">
        <f t="array" ref="U40">IF('Niv formacode'!U40="","",IFERROR(INDEX(Formacode!$C:$F,
   MATCH('Niv formacode'!$B40,Formacode!$A:$A,0),
  'Niv formacode'!U40),""))</f>
        <v/>
      </c>
      <c r="V40" s="45" t="str" cm="1">
        <f t="array" ref="V40">IF('Niv formacode'!V40="","",IFERROR(INDEX(Formacode!$C:$F,
   MATCH('Niv formacode'!$B40,Formacode!$A:$A,0),
  'Niv formacode'!V40),""))</f>
        <v/>
      </c>
      <c r="W40" s="45" t="str" cm="1">
        <f t="array" ref="W40">IF('Niv formacode'!W40="","",IFERROR(INDEX(Formacode!$C:$F,
   MATCH('Niv formacode'!$B40,Formacode!$A:$A,0),
  'Niv formacode'!W40),""))</f>
        <v/>
      </c>
      <c r="X40" s="45" t="str" cm="1">
        <f t="array" ref="X40">IF('Niv formacode'!X40="","",IFERROR(INDEX(Formacode!$C:$F,
   MATCH('Niv formacode'!$B40,Formacode!$A:$A,0),
  'Niv formacode'!X40),""))</f>
        <v/>
      </c>
      <c r="Y40" s="45" t="str" cm="1">
        <f t="array" ref="Y40">IF('Niv formacode'!Y40="","",IFERROR(INDEX(Formacode!$C:$F,
   MATCH('Niv formacode'!$B40,Formacode!$A:$A,0),
  'Niv formacode'!Y40),""))</f>
        <v/>
      </c>
      <c r="Z40" s="45" t="str" cm="1">
        <f t="array" ref="Z40">IF('Niv formacode'!Z40="","",IFERROR(INDEX(Formacode!$C:$F,
   MATCH('Niv formacode'!$B40,Formacode!$A:$A,0),
  'Niv formacode'!Z40),""))</f>
        <v/>
      </c>
      <c r="AA40" s="45" t="str" cm="1">
        <f t="array" ref="AA40">IF('Niv formacode'!AA40="","",IFERROR(INDEX(Formacode!$C:$F,
   MATCH('Niv formacode'!$B40,Formacode!$A:$A,0),
  'Niv formacode'!AA40),""))</f>
        <v/>
      </c>
      <c r="AB40" s="45" cm="1">
        <f t="array" ref="AB40">IF('Niv formacode'!AB40="","",IFERROR(INDEX(Formacode!$C:$F,
   MATCH('Niv formacode'!$B40,Formacode!$A:$A,0),
  'Niv formacode'!AB40),""))</f>
        <v>290</v>
      </c>
      <c r="AC40" s="45" t="str" cm="1">
        <f t="array" ref="AC40">IF('Niv formacode'!AC40="","",IFERROR(INDEX(Formacode!$C:$F,
   MATCH('Niv formacode'!$B40,Formacode!$A:$A,0),
  'Niv formacode'!AC40),""))</f>
        <v/>
      </c>
      <c r="AD40" s="45" t="str" cm="1">
        <f t="array" ref="AD40">IF('Niv formacode'!AD40="","",IFERROR(INDEX(Formacode!$C:$F,
   MATCH('Niv formacode'!$B40,Formacode!$A:$A,0),
  'Niv formacode'!AD40),""))</f>
        <v/>
      </c>
      <c r="AE40" s="45" t="str" cm="1">
        <f t="array" ref="AE40">IF('Niv formacode'!AE40="","",IFERROR(INDEX(Formacode!$C:$F,
   MATCH('Niv formacode'!$B40,Formacode!$A:$A,0),
  'Niv formacode'!AE40),""))</f>
        <v/>
      </c>
    </row>
    <row r="41" spans="1:31">
      <c r="A41" s="55" t="str">
        <f>_xlfn.XLOOKUP(B41,Formacode!A:A,Formacode!B:B,0,1)</f>
        <v>Conserve</v>
      </c>
      <c r="B41" s="55" cm="1">
        <f t="array" ref="B41">IFERROR(INDEX('Niv formacode'!$B:$B,SMALL(IF('Niv formacode'!$B:$B&lt;&gt;"",ROW('Niv formacode'!$B:$B)),ROW(B40))),"")</f>
        <v>21592</v>
      </c>
      <c r="C41" s="45" t="str" cm="1">
        <f t="array" ref="C41">IF('Niv formacode'!C41="","",IFERROR(INDEX(Formacode!$C:$F,
   MATCH('Niv formacode'!$B41,Formacode!$A:$A,0),
  'Niv formacode'!C41),""))</f>
        <v/>
      </c>
      <c r="D41" s="45" t="str" cm="1">
        <f t="array" ref="D41">IF('Niv formacode'!D41="","",IFERROR(INDEX(Formacode!$C:$F,
   MATCH('Niv formacode'!$B41,Formacode!$A:$A,0),
  'Niv formacode'!D41),""))</f>
        <v/>
      </c>
      <c r="E41" s="45" t="str" cm="1">
        <f t="array" ref="E41">IF('Niv formacode'!E41="","",IFERROR(INDEX(Formacode!$C:$F,
   MATCH('Niv formacode'!$B41,Formacode!$A:$A,0),
  'Niv formacode'!E41),""))</f>
        <v/>
      </c>
      <c r="F41" s="45" t="str" cm="1">
        <f t="array" ref="F41">IF('Niv formacode'!F41="","",IFERROR(INDEX(Formacode!$C:$F,
   MATCH('Niv formacode'!$B41,Formacode!$A:$A,0),
  'Niv formacode'!F41),""))</f>
        <v/>
      </c>
      <c r="G41" s="45" t="str" cm="1">
        <f t="array" ref="G41">IF('Niv formacode'!G41="","",IFERROR(INDEX(Formacode!$C:$F,
   MATCH('Niv formacode'!$B41,Formacode!$A:$A,0),
  'Niv formacode'!G41),""))</f>
        <v/>
      </c>
      <c r="H41" s="45" t="str" cm="1">
        <f t="array" ref="H41">IF('Niv formacode'!H41="","",IFERROR(INDEX(Formacode!$C:$F,
   MATCH('Niv formacode'!$B41,Formacode!$A:$A,0),
  'Niv formacode'!H41),""))</f>
        <v/>
      </c>
      <c r="I41" s="45" t="str" cm="1">
        <f t="array" ref="I41">IF('Niv formacode'!I41="","",IFERROR(INDEX(Formacode!$C:$F,
   MATCH('Niv formacode'!$B41,Formacode!$A:$A,0),
  'Niv formacode'!I41),""))</f>
        <v/>
      </c>
      <c r="J41" s="45" t="str" cm="1">
        <f t="array" ref="J41">IF('Niv formacode'!J41="","",IFERROR(INDEX(Formacode!$C:$F,
   MATCH('Niv formacode'!$B41,Formacode!$A:$A,0),
  'Niv formacode'!J41),""))</f>
        <v/>
      </c>
      <c r="K41" s="45" t="str" cm="1">
        <f t="array" ref="K41">IF('Niv formacode'!K41="","",IFERROR(INDEX(Formacode!$C:$F,
   MATCH('Niv formacode'!$B41,Formacode!$A:$A,0),
  'Niv formacode'!K41),""))</f>
        <v/>
      </c>
      <c r="L41" s="45" t="str" cm="1">
        <f t="array" ref="L41">IF('Niv formacode'!L41="","",IFERROR(INDEX(Formacode!$C:$F,
   MATCH('Niv formacode'!$B41,Formacode!$A:$A,0),
  'Niv formacode'!L41),""))</f>
        <v/>
      </c>
      <c r="M41" s="45" t="str" cm="1">
        <f t="array" ref="M41">IF('Niv formacode'!M41="","",IFERROR(INDEX(Formacode!$C:$F,
   MATCH('Niv formacode'!$B41,Formacode!$A:$A,0),
  'Niv formacode'!M41),""))</f>
        <v/>
      </c>
      <c r="N41" s="45" t="str" cm="1">
        <f t="array" ref="N41">IF('Niv formacode'!N41="","",IFERROR(INDEX(Formacode!$C:$F,
   MATCH('Niv formacode'!$B41,Formacode!$A:$A,0),
  'Niv formacode'!N41),""))</f>
        <v/>
      </c>
      <c r="O41" s="45" t="str" cm="1">
        <f t="array" ref="O41">IF('Niv formacode'!O41="","",IFERROR(INDEX(Formacode!$C:$F,
   MATCH('Niv formacode'!$B41,Formacode!$A:$A,0),
  'Niv formacode'!O41),""))</f>
        <v/>
      </c>
      <c r="P41" s="45" t="str" cm="1">
        <f t="array" ref="P41">IF('Niv formacode'!P41="","",IFERROR(INDEX(Formacode!$C:$F,
   MATCH('Niv formacode'!$B41,Formacode!$A:$A,0),
  'Niv formacode'!P41),""))</f>
        <v/>
      </c>
      <c r="Q41" s="45" t="str" cm="1">
        <f t="array" ref="Q41">IF('Niv formacode'!Q41="","",IFERROR(INDEX(Formacode!$C:$F,
   MATCH('Niv formacode'!$B41,Formacode!$A:$A,0),
  'Niv formacode'!Q41),""))</f>
        <v/>
      </c>
      <c r="R41" s="45" t="str" cm="1">
        <f t="array" ref="R41">IF('Niv formacode'!R41="","",IFERROR(INDEX(Formacode!$C:$F,
   MATCH('Niv formacode'!$B41,Formacode!$A:$A,0),
  'Niv formacode'!R41),""))</f>
        <v/>
      </c>
      <c r="S41" s="45" t="str" cm="1">
        <f t="array" ref="S41">IF('Niv formacode'!S41="","",IFERROR(INDEX(Formacode!$C:$F,
   MATCH('Niv formacode'!$B41,Formacode!$A:$A,0),
  'Niv formacode'!S41),""))</f>
        <v/>
      </c>
      <c r="T41" s="45" t="str" cm="1">
        <f t="array" ref="T41">IF('Niv formacode'!T41="","",IFERROR(INDEX(Formacode!$C:$F,
   MATCH('Niv formacode'!$B41,Formacode!$A:$A,0),
  'Niv formacode'!T41),""))</f>
        <v/>
      </c>
      <c r="U41" s="45" t="str" cm="1">
        <f t="array" ref="U41">IF('Niv formacode'!U41="","",IFERROR(INDEX(Formacode!$C:$F,
   MATCH('Niv formacode'!$B41,Formacode!$A:$A,0),
  'Niv formacode'!U41),""))</f>
        <v/>
      </c>
      <c r="V41" s="45" t="str" cm="1">
        <f t="array" ref="V41">IF('Niv formacode'!V41="","",IFERROR(INDEX(Formacode!$C:$F,
   MATCH('Niv formacode'!$B41,Formacode!$A:$A,0),
  'Niv formacode'!V41),""))</f>
        <v/>
      </c>
      <c r="W41" s="45" t="str" cm="1">
        <f t="array" ref="W41">IF('Niv formacode'!W41="","",IFERROR(INDEX(Formacode!$C:$F,
   MATCH('Niv formacode'!$B41,Formacode!$A:$A,0),
  'Niv formacode'!W41),""))</f>
        <v/>
      </c>
      <c r="X41" s="45" t="str" cm="1">
        <f t="array" ref="X41">IF('Niv formacode'!X41="","",IFERROR(INDEX(Formacode!$C:$F,
   MATCH('Niv formacode'!$B41,Formacode!$A:$A,0),
  'Niv formacode'!X41),""))</f>
        <v/>
      </c>
      <c r="Y41" s="45" t="str" cm="1">
        <f t="array" ref="Y41">IF('Niv formacode'!Y41="","",IFERROR(INDEX(Formacode!$C:$F,
   MATCH('Niv formacode'!$B41,Formacode!$A:$A,0),
  'Niv formacode'!Y41),""))</f>
        <v/>
      </c>
      <c r="Z41" s="45" t="str" cm="1">
        <f t="array" ref="Z41">IF('Niv formacode'!Z41="","",IFERROR(INDEX(Formacode!$C:$F,
   MATCH('Niv formacode'!$B41,Formacode!$A:$A,0),
  'Niv formacode'!Z41),""))</f>
        <v/>
      </c>
      <c r="AA41" s="45" t="str" cm="1">
        <f t="array" ref="AA41">IF('Niv formacode'!AA41="","",IFERROR(INDEX(Formacode!$C:$F,
   MATCH('Niv formacode'!$B41,Formacode!$A:$A,0),
  'Niv formacode'!AA41),""))</f>
        <v/>
      </c>
      <c r="AB41" s="45" t="str" cm="1">
        <f t="array" ref="AB41">IF('Niv formacode'!AB41="","",IFERROR(INDEX(Formacode!$C:$F,
   MATCH('Niv formacode'!$B41,Formacode!$A:$A,0),
  'Niv formacode'!AB41),""))</f>
        <v/>
      </c>
      <c r="AC41" s="45" t="str" cm="1">
        <f t="array" ref="AC41">IF('Niv formacode'!AC41="","",IFERROR(INDEX(Formacode!$C:$F,
   MATCH('Niv formacode'!$B41,Formacode!$A:$A,0),
  'Niv formacode'!AC41),""))</f>
        <v/>
      </c>
      <c r="AD41" s="45" cm="1">
        <f t="array" ref="AD41">IF('Niv formacode'!AD41="","",IFERROR(INDEX(Formacode!$C:$F,
   MATCH('Niv formacode'!$B41,Formacode!$A:$A,0),
  'Niv formacode'!AD41),""))</f>
        <v>70</v>
      </c>
      <c r="AE41" s="45" t="str" cm="1">
        <f t="array" ref="AE41">IF('Niv formacode'!AE41="","",IFERROR(INDEX(Formacode!$C:$F,
   MATCH('Niv formacode'!$B41,Formacode!$A:$A,0),
  'Niv formacode'!AE41),""))</f>
        <v/>
      </c>
    </row>
    <row r="42" spans="1:31">
      <c r="A42" s="55" t="str">
        <f>_xlfn.XLOOKUP(B42,Formacode!A:A,Formacode!B:B,0,1)</f>
        <v>Electricité</v>
      </c>
      <c r="B42" s="55" cm="1">
        <f t="array" ref="B42">IFERROR(INDEX('Niv formacode'!$B:$B,SMALL(IF('Niv formacode'!$B:$B&lt;&gt;"",ROW('Niv formacode'!$B:$B)),ROW(B41))),"")</f>
        <v>24054</v>
      </c>
      <c r="C42" s="45" t="str" cm="1">
        <f t="array" ref="C42">IF('Niv formacode'!C42="","",IFERROR(INDEX(Formacode!$C:$F,
   MATCH('Niv formacode'!$B42,Formacode!$A:$A,0),
  'Niv formacode'!C42),""))</f>
        <v/>
      </c>
      <c r="D42" s="45" t="str" cm="1">
        <f t="array" ref="D42">IF('Niv formacode'!D42="","",IFERROR(INDEX(Formacode!$C:$F,
   MATCH('Niv formacode'!$B42,Formacode!$A:$A,0),
  'Niv formacode'!D42),""))</f>
        <v/>
      </c>
      <c r="E42" s="45" t="str" cm="1">
        <f t="array" ref="E42">IF('Niv formacode'!E42="","",IFERROR(INDEX(Formacode!$C:$F,
   MATCH('Niv formacode'!$B42,Formacode!$A:$A,0),
  'Niv formacode'!E42),""))</f>
        <v/>
      </c>
      <c r="F42" s="45" t="str" cm="1">
        <f t="array" ref="F42">IF('Niv formacode'!F42="","",IFERROR(INDEX(Formacode!$C:$F,
   MATCH('Niv formacode'!$B42,Formacode!$A:$A,0),
  'Niv formacode'!F42),""))</f>
        <v/>
      </c>
      <c r="G42" s="45" t="str" cm="1">
        <f t="array" ref="G42">IF('Niv formacode'!G42="","",IFERROR(INDEX(Formacode!$C:$F,
   MATCH('Niv formacode'!$B42,Formacode!$A:$A,0),
  'Niv formacode'!G42),""))</f>
        <v/>
      </c>
      <c r="H42" s="45" t="str" cm="1">
        <f t="array" ref="H42">IF('Niv formacode'!H42="","",IFERROR(INDEX(Formacode!$C:$F,
   MATCH('Niv formacode'!$B42,Formacode!$A:$A,0),
  'Niv formacode'!H42),""))</f>
        <v/>
      </c>
      <c r="I42" s="45" t="str" cm="1">
        <f t="array" ref="I42">IF('Niv formacode'!I42="","",IFERROR(INDEX(Formacode!$C:$F,
   MATCH('Niv formacode'!$B42,Formacode!$A:$A,0),
  'Niv formacode'!I42),""))</f>
        <v/>
      </c>
      <c r="J42" s="45" t="str" cm="1">
        <f t="array" ref="J42">IF('Niv formacode'!J42="","",IFERROR(INDEX(Formacode!$C:$F,
   MATCH('Niv formacode'!$B42,Formacode!$A:$A,0),
  'Niv formacode'!J42),""))</f>
        <v/>
      </c>
      <c r="K42" s="45" t="str" cm="1">
        <f t="array" ref="K42">IF('Niv formacode'!K42="","",IFERROR(INDEX(Formacode!$C:$F,
   MATCH('Niv formacode'!$B42,Formacode!$A:$A,0),
  'Niv formacode'!K42),""))</f>
        <v/>
      </c>
      <c r="L42" s="45" t="str" cm="1">
        <f t="array" ref="L42">IF('Niv formacode'!L42="","",IFERROR(INDEX(Formacode!$C:$F,
   MATCH('Niv formacode'!$B42,Formacode!$A:$A,0),
  'Niv formacode'!L42),""))</f>
        <v/>
      </c>
      <c r="M42" s="45" t="str" cm="1">
        <f t="array" ref="M42">IF('Niv formacode'!M42="","",IFERROR(INDEX(Formacode!$C:$F,
   MATCH('Niv formacode'!$B42,Formacode!$A:$A,0),
  'Niv formacode'!M42),""))</f>
        <v/>
      </c>
      <c r="N42" s="45" t="str" cm="1">
        <f t="array" ref="N42">IF('Niv formacode'!N42="","",IFERROR(INDEX(Formacode!$C:$F,
   MATCH('Niv formacode'!$B42,Formacode!$A:$A,0),
  'Niv formacode'!N42),""))</f>
        <v/>
      </c>
      <c r="O42" s="45" t="str" cm="1">
        <f t="array" ref="O42">IF('Niv formacode'!O42="","",IFERROR(INDEX(Formacode!$C:$F,
   MATCH('Niv formacode'!$B42,Formacode!$A:$A,0),
  'Niv formacode'!O42),""))</f>
        <v/>
      </c>
      <c r="P42" s="45" t="str" cm="1">
        <f t="array" ref="P42">IF('Niv formacode'!P42="","",IFERROR(INDEX(Formacode!$C:$F,
   MATCH('Niv formacode'!$B42,Formacode!$A:$A,0),
  'Niv formacode'!P42),""))</f>
        <v/>
      </c>
      <c r="Q42" s="45" t="str" cm="1">
        <f t="array" ref="Q42">IF('Niv formacode'!Q42="","",IFERROR(INDEX(Formacode!$C:$F,
   MATCH('Niv formacode'!$B42,Formacode!$A:$A,0),
  'Niv formacode'!Q42),""))</f>
        <v/>
      </c>
      <c r="R42" s="45" t="str" cm="1">
        <f t="array" ref="R42">IF('Niv formacode'!R42="","",IFERROR(INDEX(Formacode!$C:$F,
   MATCH('Niv formacode'!$B42,Formacode!$A:$A,0),
  'Niv formacode'!R42),""))</f>
        <v/>
      </c>
      <c r="S42" s="45" t="str" cm="1">
        <f t="array" ref="S42">IF('Niv formacode'!S42="","",IFERROR(INDEX(Formacode!$C:$F,
   MATCH('Niv formacode'!$B42,Formacode!$A:$A,0),
  'Niv formacode'!S42),""))</f>
        <v/>
      </c>
      <c r="T42" s="45" t="str" cm="1">
        <f t="array" ref="T42">IF('Niv formacode'!T42="","",IFERROR(INDEX(Formacode!$C:$F,
   MATCH('Niv formacode'!$B42,Formacode!$A:$A,0),
  'Niv formacode'!T42),""))</f>
        <v/>
      </c>
      <c r="U42" s="45" t="str" cm="1">
        <f t="array" ref="U42">IF('Niv formacode'!U42="","",IFERROR(INDEX(Formacode!$C:$F,
   MATCH('Niv formacode'!$B42,Formacode!$A:$A,0),
  'Niv formacode'!U42),""))</f>
        <v/>
      </c>
      <c r="V42" s="45" t="str" cm="1">
        <f t="array" ref="V42">IF('Niv formacode'!V42="","",IFERROR(INDEX(Formacode!$C:$F,
   MATCH('Niv formacode'!$B42,Formacode!$A:$A,0),
  'Niv formacode'!V42),""))</f>
        <v/>
      </c>
      <c r="W42" s="45" t="str" cm="1">
        <f t="array" ref="W42">IF('Niv formacode'!W42="","",IFERROR(INDEX(Formacode!$C:$F,
   MATCH('Niv formacode'!$B42,Formacode!$A:$A,0),
  'Niv formacode'!W42),""))</f>
        <v/>
      </c>
      <c r="X42" s="45" t="str" cm="1">
        <f t="array" ref="X42">IF('Niv formacode'!X42="","",IFERROR(INDEX(Formacode!$C:$F,
   MATCH('Niv formacode'!$B42,Formacode!$A:$A,0),
  'Niv formacode'!X42),""))</f>
        <v/>
      </c>
      <c r="Y42" s="45" t="str" cm="1">
        <f t="array" ref="Y42">IF('Niv formacode'!Y42="","",IFERROR(INDEX(Formacode!$C:$F,
   MATCH('Niv formacode'!$B42,Formacode!$A:$A,0),
  'Niv formacode'!Y42),""))</f>
        <v/>
      </c>
      <c r="Z42" s="45" t="str" cm="1">
        <f t="array" ref="Z42">IF('Niv formacode'!Z42="","",IFERROR(INDEX(Formacode!$C:$F,
   MATCH('Niv formacode'!$B42,Formacode!$A:$A,0),
  'Niv formacode'!Z42),""))</f>
        <v/>
      </c>
      <c r="AA42" s="45" t="str" cm="1">
        <f t="array" ref="AA42">IF('Niv formacode'!AA42="","",IFERROR(INDEX(Formacode!$C:$F,
   MATCH('Niv formacode'!$B42,Formacode!$A:$A,0),
  'Niv formacode'!AA42),""))</f>
        <v/>
      </c>
      <c r="AB42" s="45" t="str" cm="1">
        <f t="array" ref="AB42">IF('Niv formacode'!AB42="","",IFERROR(INDEX(Formacode!$C:$F,
   MATCH('Niv formacode'!$B42,Formacode!$A:$A,0),
  'Niv formacode'!AB42),""))</f>
        <v/>
      </c>
      <c r="AC42" s="45" t="str" cm="1">
        <f t="array" ref="AC42">IF('Niv formacode'!AC42="","",IFERROR(INDEX(Formacode!$C:$F,
   MATCH('Niv formacode'!$B42,Formacode!$A:$A,0),
  'Niv formacode'!AC42),""))</f>
        <v/>
      </c>
      <c r="AD42" s="45" t="str" cm="1">
        <f t="array" ref="AD42">IF('Niv formacode'!AD42="","",IFERROR(INDEX(Formacode!$C:$F,
   MATCH('Niv formacode'!$B42,Formacode!$A:$A,0),
  'Niv formacode'!AD42),""))</f>
        <v/>
      </c>
      <c r="AE42" s="45" cm="1">
        <f t="array" ref="AE42">IF('Niv formacode'!AE42="","",IFERROR(INDEX(Formacode!$C:$F,
   MATCH('Niv formacode'!$B42,Formacode!$A:$A,0),
  'Niv formacode'!AE42),""))</f>
        <v>616</v>
      </c>
    </row>
    <row r="43" spans="1:31">
      <c r="A43" s="55" t="str">
        <f>_xlfn.XLOOKUP(B43,Formacode!A:A,Formacode!B:B,0,1)</f>
        <v>Electromécanique</v>
      </c>
      <c r="B43" s="55" cm="1">
        <f t="array" ref="B43">IFERROR(INDEX('Niv formacode'!$B:$B,SMALL(IF('Niv formacode'!$B:$B&lt;&gt;"",ROW('Niv formacode'!$B:$B)),ROW(B42))),"")</f>
        <v>24052</v>
      </c>
      <c r="C43" s="45" t="str" cm="1">
        <f t="array" ref="C43">IF('Niv formacode'!C43="","",IFERROR(INDEX(Formacode!$C:$F,
   MATCH('Niv formacode'!$B43,Formacode!$A:$A,0),
  'Niv formacode'!C43),""))</f>
        <v/>
      </c>
      <c r="D43" s="45" t="str" cm="1">
        <f t="array" ref="D43">IF('Niv formacode'!D43="","",IFERROR(INDEX(Formacode!$C:$F,
   MATCH('Niv formacode'!$B43,Formacode!$A:$A,0),
  'Niv formacode'!D43),""))</f>
        <v/>
      </c>
      <c r="E43" s="45" t="str" cm="1">
        <f t="array" ref="E43">IF('Niv formacode'!E43="","",IFERROR(INDEX(Formacode!$C:$F,
   MATCH('Niv formacode'!$B43,Formacode!$A:$A,0),
  'Niv formacode'!E43),""))</f>
        <v/>
      </c>
      <c r="F43" s="45" t="str" cm="1">
        <f t="array" ref="F43">IF('Niv formacode'!F43="","",IFERROR(INDEX(Formacode!$C:$F,
   MATCH('Niv formacode'!$B43,Formacode!$A:$A,0),
  'Niv formacode'!F43),""))</f>
        <v/>
      </c>
      <c r="G43" s="45" t="str" cm="1">
        <f t="array" ref="G43">IF('Niv formacode'!G43="","",IFERROR(INDEX(Formacode!$C:$F,
   MATCH('Niv formacode'!$B43,Formacode!$A:$A,0),
  'Niv formacode'!G43),""))</f>
        <v/>
      </c>
      <c r="H43" s="45" t="str" cm="1">
        <f t="array" ref="H43">IF('Niv formacode'!H43="","",IFERROR(INDEX(Formacode!$C:$F,
   MATCH('Niv formacode'!$B43,Formacode!$A:$A,0),
  'Niv formacode'!H43),""))</f>
        <v/>
      </c>
      <c r="I43" s="45" t="str" cm="1">
        <f t="array" ref="I43">IF('Niv formacode'!I43="","",IFERROR(INDEX(Formacode!$C:$F,
   MATCH('Niv formacode'!$B43,Formacode!$A:$A,0),
  'Niv formacode'!I43),""))</f>
        <v/>
      </c>
      <c r="J43" s="45" t="str" cm="1">
        <f t="array" ref="J43">IF('Niv formacode'!J43="","",IFERROR(INDEX(Formacode!$C:$F,
   MATCH('Niv formacode'!$B43,Formacode!$A:$A,0),
  'Niv formacode'!J43),""))</f>
        <v/>
      </c>
      <c r="K43" s="45" t="str" cm="1">
        <f t="array" ref="K43">IF('Niv formacode'!K43="","",IFERROR(INDEX(Formacode!$C:$F,
   MATCH('Niv formacode'!$B43,Formacode!$A:$A,0),
  'Niv formacode'!K43),""))</f>
        <v/>
      </c>
      <c r="L43" s="45" t="str" cm="1">
        <f t="array" ref="L43">IF('Niv formacode'!L43="","",IFERROR(INDEX(Formacode!$C:$F,
   MATCH('Niv formacode'!$B43,Formacode!$A:$A,0),
  'Niv formacode'!L43),""))</f>
        <v/>
      </c>
      <c r="M43" s="45" t="str" cm="1">
        <f t="array" ref="M43">IF('Niv formacode'!M43="","",IFERROR(INDEX(Formacode!$C:$F,
   MATCH('Niv formacode'!$B43,Formacode!$A:$A,0),
  'Niv formacode'!M43),""))</f>
        <v/>
      </c>
      <c r="N43" s="45" t="str" cm="1">
        <f t="array" ref="N43">IF('Niv formacode'!N43="","",IFERROR(INDEX(Formacode!$C:$F,
   MATCH('Niv formacode'!$B43,Formacode!$A:$A,0),
  'Niv formacode'!N43),""))</f>
        <v/>
      </c>
      <c r="O43" s="45" t="str" cm="1">
        <f t="array" ref="O43">IF('Niv formacode'!O43="","",IFERROR(INDEX(Formacode!$C:$F,
   MATCH('Niv formacode'!$B43,Formacode!$A:$A,0),
  'Niv formacode'!O43),""))</f>
        <v/>
      </c>
      <c r="P43" s="45" t="str" cm="1">
        <f t="array" ref="P43">IF('Niv formacode'!P43="","",IFERROR(INDEX(Formacode!$C:$F,
   MATCH('Niv formacode'!$B43,Formacode!$A:$A,0),
  'Niv formacode'!P43),""))</f>
        <v/>
      </c>
      <c r="Q43" s="45" t="str" cm="1">
        <f t="array" ref="Q43">IF('Niv formacode'!Q43="","",IFERROR(INDEX(Formacode!$C:$F,
   MATCH('Niv formacode'!$B43,Formacode!$A:$A,0),
  'Niv formacode'!Q43),""))</f>
        <v/>
      </c>
      <c r="R43" s="45" t="str" cm="1">
        <f t="array" ref="R43">IF('Niv formacode'!R43="","",IFERROR(INDEX(Formacode!$C:$F,
   MATCH('Niv formacode'!$B43,Formacode!$A:$A,0),
  'Niv formacode'!R43),""))</f>
        <v/>
      </c>
      <c r="S43" s="45" t="str" cm="1">
        <f t="array" ref="S43">IF('Niv formacode'!S43="","",IFERROR(INDEX(Formacode!$C:$F,
   MATCH('Niv formacode'!$B43,Formacode!$A:$A,0),
  'Niv formacode'!S43),""))</f>
        <v/>
      </c>
      <c r="T43" s="45" t="str" cm="1">
        <f t="array" ref="T43">IF('Niv formacode'!T43="","",IFERROR(INDEX(Formacode!$C:$F,
   MATCH('Niv formacode'!$B43,Formacode!$A:$A,0),
  'Niv formacode'!T43),""))</f>
        <v/>
      </c>
      <c r="U43" s="45" t="str" cm="1">
        <f t="array" ref="U43">IF('Niv formacode'!U43="","",IFERROR(INDEX(Formacode!$C:$F,
   MATCH('Niv formacode'!$B43,Formacode!$A:$A,0),
  'Niv formacode'!U43),""))</f>
        <v/>
      </c>
      <c r="V43" s="45" t="str" cm="1">
        <f t="array" ref="V43">IF('Niv formacode'!V43="","",IFERROR(INDEX(Formacode!$C:$F,
   MATCH('Niv formacode'!$B43,Formacode!$A:$A,0),
  'Niv formacode'!V43),""))</f>
        <v/>
      </c>
      <c r="W43" s="45" t="str" cm="1">
        <f t="array" ref="W43">IF('Niv formacode'!W43="","",IFERROR(INDEX(Formacode!$C:$F,
   MATCH('Niv formacode'!$B43,Formacode!$A:$A,0),
  'Niv formacode'!W43),""))</f>
        <v/>
      </c>
      <c r="X43" s="45" t="str" cm="1">
        <f t="array" ref="X43">IF('Niv formacode'!X43="","",IFERROR(INDEX(Formacode!$C:$F,
   MATCH('Niv formacode'!$B43,Formacode!$A:$A,0),
  'Niv formacode'!X43),""))</f>
        <v/>
      </c>
      <c r="Y43" s="45" t="str" cm="1">
        <f t="array" ref="Y43">IF('Niv formacode'!Y43="","",IFERROR(INDEX(Formacode!$C:$F,
   MATCH('Niv formacode'!$B43,Formacode!$A:$A,0),
  'Niv formacode'!Y43),""))</f>
        <v/>
      </c>
      <c r="Z43" s="45" t="str" cm="1">
        <f t="array" ref="Z43">IF('Niv formacode'!Z43="","",IFERROR(INDEX(Formacode!$C:$F,
   MATCH('Niv formacode'!$B43,Formacode!$A:$A,0),
  'Niv formacode'!Z43),""))</f>
        <v/>
      </c>
      <c r="AA43" s="45" t="str" cm="1">
        <f t="array" ref="AA43">IF('Niv formacode'!AA43="","",IFERROR(INDEX(Formacode!$C:$F,
   MATCH('Niv formacode'!$B43,Formacode!$A:$A,0),
  'Niv formacode'!AA43),""))</f>
        <v/>
      </c>
      <c r="AB43" s="45" t="str" cm="1">
        <f t="array" ref="AB43">IF('Niv formacode'!AB43="","",IFERROR(INDEX(Formacode!$C:$F,
   MATCH('Niv formacode'!$B43,Formacode!$A:$A,0),
  'Niv formacode'!AB43),""))</f>
        <v/>
      </c>
      <c r="AC43" s="45" t="str" cm="1">
        <f t="array" ref="AC43">IF('Niv formacode'!AC43="","",IFERROR(INDEX(Formacode!$C:$F,
   MATCH('Niv formacode'!$B43,Formacode!$A:$A,0),
  'Niv formacode'!AC43),""))</f>
        <v/>
      </c>
      <c r="AD43" s="45" t="str" cm="1">
        <f t="array" ref="AD43">IF('Niv formacode'!AD43="","",IFERROR(INDEX(Formacode!$C:$F,
   MATCH('Niv formacode'!$B43,Formacode!$A:$A,0),
  'Niv formacode'!AD43),""))</f>
        <v/>
      </c>
      <c r="AE43" s="45" cm="1">
        <f t="array" ref="AE43">IF('Niv formacode'!AE43="","",IFERROR(INDEX(Formacode!$C:$F,
   MATCH('Niv formacode'!$B43,Formacode!$A:$A,0),
  'Niv formacode'!AE43),""))</f>
        <v>646</v>
      </c>
    </row>
    <row r="75" spans="3:4">
      <c r="C75" t="s">
        <v>59</v>
      </c>
      <c r="D75" t="s">
        <v>59</v>
      </c>
    </row>
    <row r="76" spans="3:4">
      <c r="C76" t="s">
        <v>59</v>
      </c>
      <c r="D76" t="s">
        <v>59</v>
      </c>
    </row>
    <row r="77" spans="3:4">
      <c r="C77" t="s">
        <v>59</v>
      </c>
      <c r="D77" t="s">
        <v>59</v>
      </c>
    </row>
    <row r="78" spans="3:4">
      <c r="C78" t="s">
        <v>59</v>
      </c>
      <c r="D78" t="s">
        <v>59</v>
      </c>
    </row>
    <row r="79" spans="3:4">
      <c r="C79" t="s">
        <v>59</v>
      </c>
      <c r="D79" t="s">
        <v>59</v>
      </c>
    </row>
    <row r="80" spans="3:4">
      <c r="C80" t="s">
        <v>59</v>
      </c>
      <c r="D80" t="s">
        <v>59</v>
      </c>
    </row>
    <row r="81" spans="3:4">
      <c r="C81" t="s">
        <v>59</v>
      </c>
      <c r="D81" t="s">
        <v>59</v>
      </c>
    </row>
  </sheetData>
  <conditionalFormatting sqref="A1">
    <cfRule type="duplicateValues" dxfId="8" priority="2"/>
  </conditionalFormatting>
  <conditionalFormatting sqref="B1">
    <cfRule type="duplicateValues" dxfId="7" priority="5"/>
  </conditionalFormatting>
  <conditionalFormatting sqref="B2:B43">
    <cfRule type="duplicateValues" dxfId="6" priority="1"/>
  </conditionalFormatting>
  <conditionalFormatting sqref="B58:B81">
    <cfRule type="duplicateValues" dxfId="5" priority="3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98BE4-CBD9-4698-B118-36ABCE094FC9}">
  <sheetPr codeName="Feuil3"/>
  <dimension ref="A1:AD30"/>
  <sheetViews>
    <sheetView zoomScale="99" workbookViewId="0">
      <pane xSplit="1" ySplit="1" topLeftCell="B2" activePane="bottomRight" state="frozen"/>
      <selection pane="bottomRight" activeCell="H10" sqref="H10"/>
      <selection pane="bottomLeft" activeCell="A2" sqref="A2"/>
      <selection pane="topRight" activeCell="B1" sqref="B1"/>
    </sheetView>
  </sheetViews>
  <sheetFormatPr defaultColWidth="11.42578125" defaultRowHeight="15"/>
  <cols>
    <col min="1" max="1" width="23.42578125" style="55" customWidth="1"/>
    <col min="2" max="32" width="15.5703125" customWidth="1"/>
  </cols>
  <sheetData>
    <row r="1" spans="1:30" s="55" customFormat="1">
      <c r="B1" s="55" t="str" cm="1">
        <f t="array" ref="B1:AD1">TRANSPOSE(Tableau1[INT_METIER])</f>
        <v>Caviste</v>
      </c>
      <c r="C1" s="55" t="str">
        <v>Agent de silo</v>
      </c>
      <c r="D1" s="55" t="str">
        <v>Opérateur(trice) logistique</v>
      </c>
      <c r="E1" s="55" t="str">
        <v>Manager(euse) logistique</v>
      </c>
      <c r="F1" s="55" t="str">
        <v>Maître(sse) de chai</v>
      </c>
      <c r="G1" s="55" t="str">
        <v>Superviseur(se) de production (fabrication / conditionnement)</v>
      </c>
      <c r="H1" s="55" t="str">
        <v>Spécialiste planning / ordonnancement</v>
      </c>
      <c r="I1" s="55" t="str">
        <v>Opérateur(trice) logistique</v>
      </c>
      <c r="J1" s="55" t="str">
        <v>Logisticien(ne) approvisionneur(se)</v>
      </c>
      <c r="K1" s="55" t="str">
        <v>Responsable de production de produits alimentaires (fabrication / conditionnement)</v>
      </c>
      <c r="L1" s="55" t="str">
        <v>Chauffeur(se) livreur(se)</v>
      </c>
      <c r="M1" s="55" t="str">
        <v>Régleur(se)</v>
      </c>
      <c r="N1" s="55" t="str">
        <v>Spécialiste procédés et installations de production alimentaire</v>
      </c>
      <c r="O1" s="55" t="str">
        <v>Conducteur(trice) de livraison et de collecte</v>
      </c>
      <c r="P1" s="55" t="str">
        <v>Opérateur(trice) hygiène / sanitation</v>
      </c>
      <c r="Q1" s="55" t="str">
        <v>Chef(fe) de silo</v>
      </c>
      <c r="R1" s="55" t="str">
        <v>Acheteur(se) / négociateur(trice) de matières premières</v>
      </c>
      <c r="S1" s="55" t="str">
        <v>Opérateur(trice) de production alimentaire</v>
      </c>
      <c r="T1" s="55" t="str">
        <v>Conducteur(trice) de machine(s) de production alimentaire (fabrication / conditionnement)</v>
      </c>
      <c r="U1" s="55" t="str">
        <v>Boulanger(ère)/pâtissier(ère) industriel(le)</v>
      </c>
      <c r="V1" s="55" t="str">
        <v>Conducteur(trice) de ligne(s)de production alimentaire (fabrication/conditionnement)</v>
      </c>
      <c r="W1" s="55" t="str">
        <v>Conducteur(trice) de process de production alimentaire</v>
      </c>
      <c r="X1" s="55" t="str">
        <v>Responsable de plateforme/ d’exploitation logistique</v>
      </c>
      <c r="Y1" s="55" t="str">
        <v>Opérateur(trice) de transformation des viandes</v>
      </c>
      <c r="Z1" s="55" t="str">
        <v>Fromager(ère) industriel(le)</v>
      </c>
      <c r="AA1" s="55" t="str">
        <v>Opérateur(trice) de préparation de poissons et de produits de la mer</v>
      </c>
      <c r="AB1" s="55" t="str">
        <v>Mécanicien(ne) de maintenance industrielle</v>
      </c>
      <c r="AC1" s="55" t="str">
        <v>Mécanicien(ne)-sertisseur(euse)</v>
      </c>
      <c r="AD1" s="55" t="str">
        <v>Electromécanicien(ne) de maintenance industrielle</v>
      </c>
    </row>
    <row r="2" spans="1:30">
      <c r="A2" s="55" t="str" cm="1">
        <f t="array" ref="A2:A30">Tableau1[INT_METIER]</f>
        <v>Caviste</v>
      </c>
      <c r="B2" cm="1">
        <f t="array" ref="B2">SUMPRODUCT((IFERROR(1*INDEX('Durée formacode'!$C$2:$AE$44,0,MATCH($A2,'Durée formacode'!$C$1:$AE$1,0)),0)&gt;
 IFERROR(1*INDEX('Durée formacode'!$C$2:$AE$44,0,MATCH(B$1,'Durée formacode'!$C$1:$AE$1,0)),0))*(IFERROR(1*INDEX('Durée formacode'!$C$2:$AE$44,0,MATCH($A2,'Durée formacode'!$C$1:$AE$1,0)),0)-IFERROR(1*INDEX('Durée formacode'!$C$2:$AE$44,0,MATCH(B$1,'Durée formacode'!$C$1:$AE$1,0)),0)))</f>
        <v>0</v>
      </c>
      <c r="C2" cm="1">
        <f t="array" ref="C2">SUMPRODUCT((IFERROR(1*INDEX('Durée formacode'!$C$2:$AE$44,0,MATCH($A2,'Durée formacode'!$C$1:$AE$1,0)),0)&gt;
 IFERROR(1*INDEX('Durée formacode'!$C$2:$AE$44,0,MATCH(C$1,'Durée formacode'!$C$1:$AE$1,0)),0))*(IFERROR(1*INDEX('Durée formacode'!$C$2:$AE$44,0,MATCH($A2,'Durée formacode'!$C$1:$AE$1,0)),0)-IFERROR(1*INDEX('Durée formacode'!$C$2:$AE$44,0,MATCH(C$1,'Durée formacode'!$C$1:$AE$1,0)),0)))</f>
        <v>512</v>
      </c>
      <c r="D2" cm="1">
        <f t="array" ref="D2">SUMPRODUCT((IFERROR(1*INDEX('Durée formacode'!$C$2:$AE$44,0,MATCH($A2,'Durée formacode'!$C$1:$AE$1,0)),0)&gt;
 IFERROR(1*INDEX('Durée formacode'!$C$2:$AE$44,0,MATCH(D$1,'Durée formacode'!$C$1:$AE$1,0)),0))*(IFERROR(1*INDEX('Durée formacode'!$C$2:$AE$44,0,MATCH($A2,'Durée formacode'!$C$1:$AE$1,0)),0)-IFERROR(1*INDEX('Durée formacode'!$C$2:$AE$44,0,MATCH(D$1,'Durée formacode'!$C$1:$AE$1,0)),0)))</f>
        <v>1306</v>
      </c>
      <c r="E2" cm="1">
        <f t="array" ref="E2">SUMPRODUCT((IFERROR(1*INDEX('Durée formacode'!$C$2:$AE$44,0,MATCH($A2,'Durée formacode'!$C$1:$AE$1,0)),0)&gt;
 IFERROR(1*INDEX('Durée formacode'!$C$2:$AE$44,0,MATCH(E$1,'Durée formacode'!$C$1:$AE$1,0)),0))*(IFERROR(1*INDEX('Durée formacode'!$C$2:$AE$44,0,MATCH($A2,'Durée formacode'!$C$1:$AE$1,0)),0)-IFERROR(1*INDEX('Durée formacode'!$C$2:$AE$44,0,MATCH(E$1,'Durée formacode'!$C$1:$AE$1,0)),0)))</f>
        <v>1101</v>
      </c>
      <c r="F2" cm="1">
        <f t="array" ref="F2">SUMPRODUCT((IFERROR(1*INDEX('Durée formacode'!$C$2:$AE$44,0,MATCH($A2,'Durée formacode'!$C$1:$AE$1,0)),0)&gt;
 IFERROR(1*INDEX('Durée formacode'!$C$2:$AE$44,0,MATCH(F$1,'Durée formacode'!$C$1:$AE$1,0)),0))*(IFERROR(1*INDEX('Durée formacode'!$C$2:$AE$44,0,MATCH($A2,'Durée formacode'!$C$1:$AE$1,0)),0)-IFERROR(1*INDEX('Durée formacode'!$C$2:$AE$44,0,MATCH(F$1,'Durée formacode'!$C$1:$AE$1,0)),0)))</f>
        <v>321</v>
      </c>
      <c r="G2" cm="1">
        <f t="array" ref="G2">SUMPRODUCT((IFERROR(1*INDEX('Durée formacode'!$C$2:$AE$44,0,MATCH($A2,'Durée formacode'!$C$1:$AE$1,0)),0)&gt;
 IFERROR(1*INDEX('Durée formacode'!$C$2:$AE$44,0,MATCH(G$1,'Durée formacode'!$C$1:$AE$1,0)),0))*(IFERROR(1*INDEX('Durée formacode'!$C$2:$AE$44,0,MATCH($A2,'Durée formacode'!$C$1:$AE$1,0)),0)-IFERROR(1*INDEX('Durée formacode'!$C$2:$AE$44,0,MATCH(G$1,'Durée formacode'!$C$1:$AE$1,0)),0)))</f>
        <v>664</v>
      </c>
      <c r="H2" cm="1">
        <f t="array" ref="H2">SUMPRODUCT((IFERROR(1*INDEX('Durée formacode'!$C$2:$AE$44,0,MATCH($A2,'Durée formacode'!$C$1:$AE$1,0)),0)&gt;
 IFERROR(1*INDEX('Durée formacode'!$C$2:$AE$44,0,MATCH(H$1,'Durée formacode'!$C$1:$AE$1,0)),0))*(IFERROR(1*INDEX('Durée formacode'!$C$2:$AE$44,0,MATCH($A2,'Durée formacode'!$C$1:$AE$1,0)),0)-IFERROR(1*INDEX('Durée formacode'!$C$2:$AE$44,0,MATCH(H$1,'Durée formacode'!$C$1:$AE$1,0)),0)))</f>
        <v>1372</v>
      </c>
      <c r="I2" cm="1">
        <f t="array" ref="I2">SUMPRODUCT((IFERROR(1*INDEX('Durée formacode'!$C$2:$AE$44,0,MATCH($A2,'Durée formacode'!$C$1:$AE$1,0)),0)&gt;
 IFERROR(1*INDEX('Durée formacode'!$C$2:$AE$44,0,MATCH(I$1,'Durée formacode'!$C$1:$AE$1,0)),0))*(IFERROR(1*INDEX('Durée formacode'!$C$2:$AE$44,0,MATCH($A2,'Durée formacode'!$C$1:$AE$1,0)),0)-IFERROR(1*INDEX('Durée formacode'!$C$2:$AE$44,0,MATCH(I$1,'Durée formacode'!$C$1:$AE$1,0)),0)))</f>
        <v>1306</v>
      </c>
      <c r="J2" cm="1">
        <f t="array" ref="J2">SUMPRODUCT((IFERROR(1*INDEX('Durée formacode'!$C$2:$AE$44,0,MATCH($A2,'Durée formacode'!$C$1:$AE$1,0)),0)&gt;
 IFERROR(1*INDEX('Durée formacode'!$C$2:$AE$44,0,MATCH(J$1,'Durée formacode'!$C$1:$AE$1,0)),0))*(IFERROR(1*INDEX('Durée formacode'!$C$2:$AE$44,0,MATCH($A2,'Durée formacode'!$C$1:$AE$1,0)),0)-IFERROR(1*INDEX('Durée formacode'!$C$2:$AE$44,0,MATCH(J$1,'Durée formacode'!$C$1:$AE$1,0)),0)))</f>
        <v>1372</v>
      </c>
      <c r="K2" cm="1">
        <f t="array" ref="K2">SUMPRODUCT((IFERROR(1*INDEX('Durée formacode'!$C$2:$AE$44,0,MATCH($A2,'Durée formacode'!$C$1:$AE$1,0)),0)&gt;
 IFERROR(1*INDEX('Durée formacode'!$C$2:$AE$44,0,MATCH(K$1,'Durée formacode'!$C$1:$AE$1,0)),0))*(IFERROR(1*INDEX('Durée formacode'!$C$2:$AE$44,0,MATCH($A2,'Durée formacode'!$C$1:$AE$1,0)),0)-IFERROR(1*INDEX('Durée formacode'!$C$2:$AE$44,0,MATCH(K$1,'Durée formacode'!$C$1:$AE$1,0)),0)))</f>
        <v>1038</v>
      </c>
      <c r="L2" cm="1">
        <f t="array" ref="L2">SUMPRODUCT((IFERROR(1*INDEX('Durée formacode'!$C$2:$AE$44,0,MATCH($A2,'Durée formacode'!$C$1:$AE$1,0)),0)&gt;
 IFERROR(1*INDEX('Durée formacode'!$C$2:$AE$44,0,MATCH(L$1,'Durée formacode'!$C$1:$AE$1,0)),0))*(IFERROR(1*INDEX('Durée formacode'!$C$2:$AE$44,0,MATCH($A2,'Durée formacode'!$C$1:$AE$1,0)),0)-IFERROR(1*INDEX('Durée formacode'!$C$2:$AE$44,0,MATCH(L$1,'Durée formacode'!$C$1:$AE$1,0)),0)))</f>
        <v>1306</v>
      </c>
      <c r="M2" cm="1">
        <f t="array" ref="M2">SUMPRODUCT((IFERROR(1*INDEX('Durée formacode'!$C$2:$AE$44,0,MATCH($A2,'Durée formacode'!$C$1:$AE$1,0)),0)&gt;
 IFERROR(1*INDEX('Durée formacode'!$C$2:$AE$44,0,MATCH(M$1,'Durée formacode'!$C$1:$AE$1,0)),0))*(IFERROR(1*INDEX('Durée formacode'!$C$2:$AE$44,0,MATCH($A2,'Durée formacode'!$C$1:$AE$1,0)),0)-IFERROR(1*INDEX('Durée formacode'!$C$2:$AE$44,0,MATCH(M$1,'Durée formacode'!$C$1:$AE$1,0)),0)))</f>
        <v>882</v>
      </c>
      <c r="N2" cm="1">
        <f t="array" ref="N2">SUMPRODUCT((IFERROR(1*INDEX('Durée formacode'!$C$2:$AE$44,0,MATCH($A2,'Durée formacode'!$C$1:$AE$1,0)),0)&gt;
 IFERROR(1*INDEX('Durée formacode'!$C$2:$AE$44,0,MATCH(N$1,'Durée formacode'!$C$1:$AE$1,0)),0))*(IFERROR(1*INDEX('Durée formacode'!$C$2:$AE$44,0,MATCH($A2,'Durée formacode'!$C$1:$AE$1,0)),0)-IFERROR(1*INDEX('Durée formacode'!$C$2:$AE$44,0,MATCH(N$1,'Durée formacode'!$C$1:$AE$1,0)),0)))</f>
        <v>525</v>
      </c>
      <c r="O2" cm="1">
        <f t="array" ref="O2">SUMPRODUCT((IFERROR(1*INDEX('Durée formacode'!$C$2:$AE$44,0,MATCH($A2,'Durée formacode'!$C$1:$AE$1,0)),0)&gt;
 IFERROR(1*INDEX('Durée formacode'!$C$2:$AE$44,0,MATCH(O$1,'Durée formacode'!$C$1:$AE$1,0)),0))*(IFERROR(1*INDEX('Durée formacode'!$C$2:$AE$44,0,MATCH($A2,'Durée formacode'!$C$1:$AE$1,0)),0)-IFERROR(1*INDEX('Durée formacode'!$C$2:$AE$44,0,MATCH(O$1,'Durée formacode'!$C$1:$AE$1,0)),0)))</f>
        <v>1226</v>
      </c>
      <c r="P2" cm="1">
        <f t="array" ref="P2">SUMPRODUCT((IFERROR(1*INDEX('Durée formacode'!$C$2:$AE$44,0,MATCH($A2,'Durée formacode'!$C$1:$AE$1,0)),0)&gt;
 IFERROR(1*INDEX('Durée formacode'!$C$2:$AE$44,0,MATCH(P$1,'Durée formacode'!$C$1:$AE$1,0)),0))*(IFERROR(1*INDEX('Durée formacode'!$C$2:$AE$44,0,MATCH($A2,'Durée formacode'!$C$1:$AE$1,0)),0)-IFERROR(1*INDEX('Durée formacode'!$C$2:$AE$44,0,MATCH(P$1,'Durée formacode'!$C$1:$AE$1,0)),0)))</f>
        <v>1051</v>
      </c>
      <c r="Q2" cm="1">
        <f t="array" ref="Q2">SUMPRODUCT((IFERROR(1*INDEX('Durée formacode'!$C$2:$AE$44,0,MATCH($A2,'Durée formacode'!$C$1:$AE$1,0)),0)&gt;
 IFERROR(1*INDEX('Durée formacode'!$C$2:$AE$44,0,MATCH(Q$1,'Durée formacode'!$C$1:$AE$1,0)),0))*(IFERROR(1*INDEX('Durée formacode'!$C$2:$AE$44,0,MATCH($A2,'Durée formacode'!$C$1:$AE$1,0)),0)-IFERROR(1*INDEX('Durée formacode'!$C$2:$AE$44,0,MATCH(Q$1,'Durée formacode'!$C$1:$AE$1,0)),0)))</f>
        <v>406</v>
      </c>
      <c r="R2" cm="1">
        <f t="array" ref="R2">SUMPRODUCT((IFERROR(1*INDEX('Durée formacode'!$C$2:$AE$44,0,MATCH($A2,'Durée formacode'!$C$1:$AE$1,0)),0)&gt;
 IFERROR(1*INDEX('Durée formacode'!$C$2:$AE$44,0,MATCH(R$1,'Durée formacode'!$C$1:$AE$1,0)),0))*(IFERROR(1*INDEX('Durée formacode'!$C$2:$AE$44,0,MATCH($A2,'Durée formacode'!$C$1:$AE$1,0)),0)-IFERROR(1*INDEX('Durée formacode'!$C$2:$AE$44,0,MATCH(R$1,'Durée formacode'!$C$1:$AE$1,0)),0)))</f>
        <v>1372</v>
      </c>
      <c r="S2" cm="1">
        <f t="array" ref="S2">SUMPRODUCT((IFERROR(1*INDEX('Durée formacode'!$C$2:$AE$44,0,MATCH($A2,'Durée formacode'!$C$1:$AE$1,0)),0)&gt;
 IFERROR(1*INDEX('Durée formacode'!$C$2:$AE$44,0,MATCH(S$1,'Durée formacode'!$C$1:$AE$1,0)),0))*(IFERROR(1*INDEX('Durée formacode'!$C$2:$AE$44,0,MATCH($A2,'Durée formacode'!$C$1:$AE$1,0)),0)-IFERROR(1*INDEX('Durée formacode'!$C$2:$AE$44,0,MATCH(S$1,'Durée formacode'!$C$1:$AE$1,0)),0)))</f>
        <v>736</v>
      </c>
      <c r="T2" cm="1">
        <f t="array" ref="T2">SUMPRODUCT((IFERROR(1*INDEX('Durée formacode'!$C$2:$AE$44,0,MATCH($A2,'Durée formacode'!$C$1:$AE$1,0)),0)&gt;
 IFERROR(1*INDEX('Durée formacode'!$C$2:$AE$44,0,MATCH(T$1,'Durée formacode'!$C$1:$AE$1,0)),0))*(IFERROR(1*INDEX('Durée formacode'!$C$2:$AE$44,0,MATCH($A2,'Durée formacode'!$C$1:$AE$1,0)),0)-IFERROR(1*INDEX('Durée formacode'!$C$2:$AE$44,0,MATCH(T$1,'Durée formacode'!$C$1:$AE$1,0)),0)))</f>
        <v>512</v>
      </c>
      <c r="U2" cm="1">
        <f t="array" ref="U2">SUMPRODUCT((IFERROR(1*INDEX('Durée formacode'!$C$2:$AE$44,0,MATCH($A2,'Durée formacode'!$C$1:$AE$1,0)),0)&gt;
 IFERROR(1*INDEX('Durée formacode'!$C$2:$AE$44,0,MATCH(U$1,'Durée formacode'!$C$1:$AE$1,0)),0))*(IFERROR(1*INDEX('Durée formacode'!$C$2:$AE$44,0,MATCH($A2,'Durée formacode'!$C$1:$AE$1,0)),0)-IFERROR(1*INDEX('Durée formacode'!$C$2:$AE$44,0,MATCH(U$1,'Durée formacode'!$C$1:$AE$1,0)),0)))</f>
        <v>736</v>
      </c>
      <c r="V2" cm="1">
        <f t="array" ref="V2">SUMPRODUCT((IFERROR(1*INDEX('Durée formacode'!$C$2:$AE$44,0,MATCH($A2,'Durée formacode'!$C$1:$AE$1,0)),0)&gt;
 IFERROR(1*INDEX('Durée formacode'!$C$2:$AE$44,0,MATCH(V$1,'Durée formacode'!$C$1:$AE$1,0)),0))*(IFERROR(1*INDEX('Durée formacode'!$C$2:$AE$44,0,MATCH($A2,'Durée formacode'!$C$1:$AE$1,0)),0)-IFERROR(1*INDEX('Durée formacode'!$C$2:$AE$44,0,MATCH(V$1,'Durée formacode'!$C$1:$AE$1,0)),0)))</f>
        <v>406</v>
      </c>
      <c r="W2" cm="1">
        <f t="array" ref="W2">SUMPRODUCT((IFERROR(1*INDEX('Durée formacode'!$C$2:$AE$44,0,MATCH($A2,'Durée formacode'!$C$1:$AE$1,0)),0)&gt;
 IFERROR(1*INDEX('Durée formacode'!$C$2:$AE$44,0,MATCH(W$1,'Durée formacode'!$C$1:$AE$1,0)),0))*(IFERROR(1*INDEX('Durée formacode'!$C$2:$AE$44,0,MATCH($A2,'Durée formacode'!$C$1:$AE$1,0)),0)-IFERROR(1*INDEX('Durée formacode'!$C$2:$AE$44,0,MATCH(W$1,'Durée formacode'!$C$1:$AE$1,0)),0)))</f>
        <v>482</v>
      </c>
      <c r="X2" cm="1">
        <f t="array" ref="X2">SUMPRODUCT((IFERROR(1*INDEX('Durée formacode'!$C$2:$AE$44,0,MATCH($A2,'Durée formacode'!$C$1:$AE$1,0)),0)&gt;
 IFERROR(1*INDEX('Durée formacode'!$C$2:$AE$44,0,MATCH(X$1,'Durée formacode'!$C$1:$AE$1,0)),0))*(IFERROR(1*INDEX('Durée formacode'!$C$2:$AE$44,0,MATCH($A2,'Durée formacode'!$C$1:$AE$1,0)),0)-IFERROR(1*INDEX('Durée formacode'!$C$2:$AE$44,0,MATCH(X$1,'Durée formacode'!$C$1:$AE$1,0)),0)))</f>
        <v>1021</v>
      </c>
      <c r="Y2" cm="1">
        <f t="array" ref="Y2">SUMPRODUCT((IFERROR(1*INDEX('Durée formacode'!$C$2:$AE$44,0,MATCH($A2,'Durée formacode'!$C$1:$AE$1,0)),0)&gt;
 IFERROR(1*INDEX('Durée formacode'!$C$2:$AE$44,0,MATCH(Y$1,'Durée formacode'!$C$1:$AE$1,0)),0))*(IFERROR(1*INDEX('Durée formacode'!$C$2:$AE$44,0,MATCH($A2,'Durée formacode'!$C$1:$AE$1,0)),0)-IFERROR(1*INDEX('Durée formacode'!$C$2:$AE$44,0,MATCH(Y$1,'Durée formacode'!$C$1:$AE$1,0)),0)))</f>
        <v>806</v>
      </c>
      <c r="Z2" cm="1">
        <f t="array" ref="Z2">SUMPRODUCT((IFERROR(1*INDEX('Durée formacode'!$C$2:$AE$44,0,MATCH($A2,'Durée formacode'!$C$1:$AE$1,0)),0)&gt;
 IFERROR(1*INDEX('Durée formacode'!$C$2:$AE$44,0,MATCH(Z$1,'Durée formacode'!$C$1:$AE$1,0)),0))*(IFERROR(1*INDEX('Durée formacode'!$C$2:$AE$44,0,MATCH($A2,'Durée formacode'!$C$1:$AE$1,0)),0)-IFERROR(1*INDEX('Durée formacode'!$C$2:$AE$44,0,MATCH(Z$1,'Durée formacode'!$C$1:$AE$1,0)),0)))</f>
        <v>806</v>
      </c>
      <c r="AA2" cm="1">
        <f t="array" ref="AA2">SUMPRODUCT((IFERROR(1*INDEX('Durée formacode'!$C$2:$AE$44,0,MATCH($A2,'Durée formacode'!$C$1:$AE$1,0)),0)&gt;
 IFERROR(1*INDEX('Durée formacode'!$C$2:$AE$44,0,MATCH(AA$1,'Durée formacode'!$C$1:$AE$1,0)),0))*(IFERROR(1*INDEX('Durée formacode'!$C$2:$AE$44,0,MATCH($A2,'Durée formacode'!$C$1:$AE$1,0)),0)-IFERROR(1*INDEX('Durée formacode'!$C$2:$AE$44,0,MATCH(AA$1,'Durée formacode'!$C$1:$AE$1,0)),0)))</f>
        <v>806</v>
      </c>
      <c r="AB2" cm="1">
        <f t="array" ref="AB2">SUMPRODUCT((IFERROR(1*INDEX('Durée formacode'!$C$2:$AE$44,0,MATCH($A2,'Durée formacode'!$C$1:$AE$1,0)),0)&gt;
 IFERROR(1*INDEX('Durée formacode'!$C$2:$AE$44,0,MATCH(AB$1,'Durée formacode'!$C$1:$AE$1,0)),0))*(IFERROR(1*INDEX('Durée formacode'!$C$2:$AE$44,0,MATCH($A2,'Durée formacode'!$C$1:$AE$1,0)),0)-IFERROR(1*INDEX('Durée formacode'!$C$2:$AE$44,0,MATCH(AB$1,'Durée formacode'!$C$1:$AE$1,0)),0)))</f>
        <v>1051</v>
      </c>
      <c r="AC2" cm="1">
        <f t="array" ref="AC2">SUMPRODUCT((IFERROR(1*INDEX('Durée formacode'!$C$2:$AE$44,0,MATCH($A2,'Durée formacode'!$C$1:$AE$1,0)),0)&gt;
 IFERROR(1*INDEX('Durée formacode'!$C$2:$AE$44,0,MATCH(AC$1,'Durée formacode'!$C$1:$AE$1,0)),0))*(IFERROR(1*INDEX('Durée formacode'!$C$2:$AE$44,0,MATCH($A2,'Durée formacode'!$C$1:$AE$1,0)),0)-IFERROR(1*INDEX('Durée formacode'!$C$2:$AE$44,0,MATCH(AC$1,'Durée formacode'!$C$1:$AE$1,0)),0)))</f>
        <v>1051</v>
      </c>
      <c r="AD2" cm="1">
        <f t="array" ref="AD2">SUMPRODUCT((IFERROR(1*INDEX('Durée formacode'!$C$2:$AE$44,0,MATCH($A2,'Durée formacode'!$C$1:$AE$1,0)),0)&gt;
 IFERROR(1*INDEX('Durée formacode'!$C$2:$AE$44,0,MATCH(AD$1,'Durée formacode'!$C$1:$AE$1,0)),0))*(IFERROR(1*INDEX('Durée formacode'!$C$2:$AE$44,0,MATCH($A2,'Durée formacode'!$C$1:$AE$1,0)),0)-IFERROR(1*INDEX('Durée formacode'!$C$2:$AE$44,0,MATCH(AD$1,'Durée formacode'!$C$1:$AE$1,0)),0)))</f>
        <v>1051</v>
      </c>
    </row>
    <row r="3" spans="1:30">
      <c r="A3" s="55" t="str">
        <v>Agent de silo</v>
      </c>
      <c r="B3" cm="1">
        <f t="array" ref="B3">SUMPRODUCT((IFERROR(1*INDEX('Durée formacode'!$C$2:$AE$44,0,MATCH($A3,'Durée formacode'!$C$1:$AE$1,0)),0)&gt;
 IFERROR(1*INDEX('Durée formacode'!$C$2:$AE$44,0,MATCH(B$1,'Durée formacode'!$C$1:$AE$1,0)),0))*(IFERROR(1*INDEX('Durée formacode'!$C$2:$AE$44,0,MATCH($A3,'Durée formacode'!$C$1:$AE$1,0)),0)-IFERROR(1*INDEX('Durée formacode'!$C$2:$AE$44,0,MATCH(B$1,'Durée formacode'!$C$1:$AE$1,0)),0)))</f>
        <v>820</v>
      </c>
      <c r="C3" cm="1">
        <f t="array" ref="C3">SUMPRODUCT((IFERROR(1*INDEX('Durée formacode'!$C$2:$AE$44,0,MATCH($A3,'Durée formacode'!$C$1:$AE$1,0)),0)&gt;
 IFERROR(1*INDEX('Durée formacode'!$C$2:$AE$44,0,MATCH(C$1,'Durée formacode'!$C$1:$AE$1,0)),0))*(IFERROR(1*INDEX('Durée formacode'!$C$2:$AE$44,0,MATCH($A3,'Durée formacode'!$C$1:$AE$1,0)),0)-IFERROR(1*INDEX('Durée formacode'!$C$2:$AE$44,0,MATCH(C$1,'Durée formacode'!$C$1:$AE$1,0)),0)))</f>
        <v>0</v>
      </c>
      <c r="D3" cm="1">
        <f t="array" ref="D3">SUMPRODUCT((IFERROR(1*INDEX('Durée formacode'!$C$2:$AE$44,0,MATCH($A3,'Durée formacode'!$C$1:$AE$1,0)),0)&gt;
 IFERROR(1*INDEX('Durée formacode'!$C$2:$AE$44,0,MATCH(D$1,'Durée formacode'!$C$1:$AE$1,0)),0))*(IFERROR(1*INDEX('Durée formacode'!$C$2:$AE$44,0,MATCH($A3,'Durée formacode'!$C$1:$AE$1,0)),0)-IFERROR(1*INDEX('Durée formacode'!$C$2:$AE$44,0,MATCH(D$1,'Durée formacode'!$C$1:$AE$1,0)),0)))</f>
        <v>1185</v>
      </c>
      <c r="E3" cm="1">
        <f t="array" ref="E3">SUMPRODUCT((IFERROR(1*INDEX('Durée formacode'!$C$2:$AE$44,0,MATCH($A3,'Durée formacode'!$C$1:$AE$1,0)),0)&gt;
 IFERROR(1*INDEX('Durée formacode'!$C$2:$AE$44,0,MATCH(E$1,'Durée formacode'!$C$1:$AE$1,0)),0))*(IFERROR(1*INDEX('Durée formacode'!$C$2:$AE$44,0,MATCH($A3,'Durée formacode'!$C$1:$AE$1,0)),0)-IFERROR(1*INDEX('Durée formacode'!$C$2:$AE$44,0,MATCH(E$1,'Durée formacode'!$C$1:$AE$1,0)),0)))</f>
        <v>1086</v>
      </c>
      <c r="F3" cm="1">
        <f t="array" ref="F3">SUMPRODUCT((IFERROR(1*INDEX('Durée formacode'!$C$2:$AE$44,0,MATCH($A3,'Durée formacode'!$C$1:$AE$1,0)),0)&gt;
 IFERROR(1*INDEX('Durée formacode'!$C$2:$AE$44,0,MATCH(F$1,'Durée formacode'!$C$1:$AE$1,0)),0))*(IFERROR(1*INDEX('Durée formacode'!$C$2:$AE$44,0,MATCH($A3,'Durée formacode'!$C$1:$AE$1,0)),0)-IFERROR(1*INDEX('Durée formacode'!$C$2:$AE$44,0,MATCH(F$1,'Durée formacode'!$C$1:$AE$1,0)),0)))</f>
        <v>997</v>
      </c>
      <c r="G3" cm="1">
        <f t="array" ref="G3">SUMPRODUCT((IFERROR(1*INDEX('Durée formacode'!$C$2:$AE$44,0,MATCH($A3,'Durée formacode'!$C$1:$AE$1,0)),0)&gt;
 IFERROR(1*INDEX('Durée formacode'!$C$2:$AE$44,0,MATCH(G$1,'Durée formacode'!$C$1:$AE$1,0)),0))*(IFERROR(1*INDEX('Durée formacode'!$C$2:$AE$44,0,MATCH($A3,'Durée formacode'!$C$1:$AE$1,0)),0)-IFERROR(1*INDEX('Durée formacode'!$C$2:$AE$44,0,MATCH(G$1,'Durée formacode'!$C$1:$AE$1,0)),0)))</f>
        <v>1001</v>
      </c>
      <c r="H3" cm="1">
        <f t="array" ref="H3">SUMPRODUCT((IFERROR(1*INDEX('Durée formacode'!$C$2:$AE$44,0,MATCH($A3,'Durée formacode'!$C$1:$AE$1,0)),0)&gt;
 IFERROR(1*INDEX('Durée formacode'!$C$2:$AE$44,0,MATCH(H$1,'Durée formacode'!$C$1:$AE$1,0)),0))*(IFERROR(1*INDEX('Durée formacode'!$C$2:$AE$44,0,MATCH($A3,'Durée formacode'!$C$1:$AE$1,0)),0)-IFERROR(1*INDEX('Durée formacode'!$C$2:$AE$44,0,MATCH(H$1,'Durée formacode'!$C$1:$AE$1,0)),0)))</f>
        <v>1610</v>
      </c>
      <c r="I3" cm="1">
        <f t="array" ref="I3">SUMPRODUCT((IFERROR(1*INDEX('Durée formacode'!$C$2:$AE$44,0,MATCH($A3,'Durée formacode'!$C$1:$AE$1,0)),0)&gt;
 IFERROR(1*INDEX('Durée formacode'!$C$2:$AE$44,0,MATCH(I$1,'Durée formacode'!$C$1:$AE$1,0)),0))*(IFERROR(1*INDEX('Durée formacode'!$C$2:$AE$44,0,MATCH($A3,'Durée formacode'!$C$1:$AE$1,0)),0)-IFERROR(1*INDEX('Durée formacode'!$C$2:$AE$44,0,MATCH(I$1,'Durée formacode'!$C$1:$AE$1,0)),0)))</f>
        <v>1185</v>
      </c>
      <c r="J3" cm="1">
        <f t="array" ref="J3">SUMPRODUCT((IFERROR(1*INDEX('Durée formacode'!$C$2:$AE$44,0,MATCH($A3,'Durée formacode'!$C$1:$AE$1,0)),0)&gt;
 IFERROR(1*INDEX('Durée formacode'!$C$2:$AE$44,0,MATCH(J$1,'Durée formacode'!$C$1:$AE$1,0)),0))*(IFERROR(1*INDEX('Durée formacode'!$C$2:$AE$44,0,MATCH($A3,'Durée formacode'!$C$1:$AE$1,0)),0)-IFERROR(1*INDEX('Durée formacode'!$C$2:$AE$44,0,MATCH(J$1,'Durée formacode'!$C$1:$AE$1,0)),0)))</f>
        <v>1680</v>
      </c>
      <c r="K3" cm="1">
        <f t="array" ref="K3">SUMPRODUCT((IFERROR(1*INDEX('Durée formacode'!$C$2:$AE$44,0,MATCH($A3,'Durée formacode'!$C$1:$AE$1,0)),0)&gt;
 IFERROR(1*INDEX('Durée formacode'!$C$2:$AE$44,0,MATCH(K$1,'Durée formacode'!$C$1:$AE$1,0)),0))*(IFERROR(1*INDEX('Durée formacode'!$C$2:$AE$44,0,MATCH($A3,'Durée formacode'!$C$1:$AE$1,0)),0)-IFERROR(1*INDEX('Durée formacode'!$C$2:$AE$44,0,MATCH(K$1,'Durée formacode'!$C$1:$AE$1,0)),0)))</f>
        <v>1445</v>
      </c>
      <c r="L3" cm="1">
        <f t="array" ref="L3">SUMPRODUCT((IFERROR(1*INDEX('Durée formacode'!$C$2:$AE$44,0,MATCH($A3,'Durée formacode'!$C$1:$AE$1,0)),0)&gt;
 IFERROR(1*INDEX('Durée formacode'!$C$2:$AE$44,0,MATCH(L$1,'Durée formacode'!$C$1:$AE$1,0)),0))*(IFERROR(1*INDEX('Durée formacode'!$C$2:$AE$44,0,MATCH($A3,'Durée formacode'!$C$1:$AE$1,0)),0)-IFERROR(1*INDEX('Durée formacode'!$C$2:$AE$44,0,MATCH(L$1,'Durée formacode'!$C$1:$AE$1,0)),0)))</f>
        <v>1614</v>
      </c>
      <c r="M3" cm="1">
        <f t="array" ref="M3">SUMPRODUCT((IFERROR(1*INDEX('Durée formacode'!$C$2:$AE$44,0,MATCH($A3,'Durée formacode'!$C$1:$AE$1,0)),0)&gt;
 IFERROR(1*INDEX('Durée formacode'!$C$2:$AE$44,0,MATCH(M$1,'Durée formacode'!$C$1:$AE$1,0)),0))*(IFERROR(1*INDEX('Durée formacode'!$C$2:$AE$44,0,MATCH($A3,'Durée formacode'!$C$1:$AE$1,0)),0)-IFERROR(1*INDEX('Durée formacode'!$C$2:$AE$44,0,MATCH(M$1,'Durée formacode'!$C$1:$AE$1,0)),0)))</f>
        <v>976</v>
      </c>
      <c r="N3" cm="1">
        <f t="array" ref="N3">SUMPRODUCT((IFERROR(1*INDEX('Durée formacode'!$C$2:$AE$44,0,MATCH($A3,'Durée formacode'!$C$1:$AE$1,0)),0)&gt;
 IFERROR(1*INDEX('Durée formacode'!$C$2:$AE$44,0,MATCH(N$1,'Durée formacode'!$C$1:$AE$1,0)),0))*(IFERROR(1*INDEX('Durée formacode'!$C$2:$AE$44,0,MATCH($A3,'Durée formacode'!$C$1:$AE$1,0)),0)-IFERROR(1*INDEX('Durée formacode'!$C$2:$AE$44,0,MATCH(N$1,'Durée formacode'!$C$1:$AE$1,0)),0)))</f>
        <v>826</v>
      </c>
      <c r="O3" cm="1">
        <f t="array" ref="O3">SUMPRODUCT((IFERROR(1*INDEX('Durée formacode'!$C$2:$AE$44,0,MATCH($A3,'Durée formacode'!$C$1:$AE$1,0)),0)&gt;
 IFERROR(1*INDEX('Durée formacode'!$C$2:$AE$44,0,MATCH(O$1,'Durée formacode'!$C$1:$AE$1,0)),0))*(IFERROR(1*INDEX('Durée formacode'!$C$2:$AE$44,0,MATCH($A3,'Durée formacode'!$C$1:$AE$1,0)),0)-IFERROR(1*INDEX('Durée formacode'!$C$2:$AE$44,0,MATCH(O$1,'Durée formacode'!$C$1:$AE$1,0)),0)))</f>
        <v>1534</v>
      </c>
      <c r="P3" cm="1">
        <f t="array" ref="P3">SUMPRODUCT((IFERROR(1*INDEX('Durée formacode'!$C$2:$AE$44,0,MATCH($A3,'Durée formacode'!$C$1:$AE$1,0)),0)&gt;
 IFERROR(1*INDEX('Durée formacode'!$C$2:$AE$44,0,MATCH(P$1,'Durée formacode'!$C$1:$AE$1,0)),0))*(IFERROR(1*INDEX('Durée formacode'!$C$2:$AE$44,0,MATCH($A3,'Durée formacode'!$C$1:$AE$1,0)),0)-IFERROR(1*INDEX('Durée formacode'!$C$2:$AE$44,0,MATCH(P$1,'Durée formacode'!$C$1:$AE$1,0)),0)))</f>
        <v>1145</v>
      </c>
      <c r="Q3" cm="1">
        <f t="array" ref="Q3">SUMPRODUCT((IFERROR(1*INDEX('Durée formacode'!$C$2:$AE$44,0,MATCH($A3,'Durée formacode'!$C$1:$AE$1,0)),0)&gt;
 IFERROR(1*INDEX('Durée formacode'!$C$2:$AE$44,0,MATCH(Q$1,'Durée formacode'!$C$1:$AE$1,0)),0))*(IFERROR(1*INDEX('Durée formacode'!$C$2:$AE$44,0,MATCH($A3,'Durée formacode'!$C$1:$AE$1,0)),0)-IFERROR(1*INDEX('Durée formacode'!$C$2:$AE$44,0,MATCH(Q$1,'Durée formacode'!$C$1:$AE$1,0)),0)))</f>
        <v>144</v>
      </c>
      <c r="R3" cm="1">
        <f t="array" ref="R3">SUMPRODUCT((IFERROR(1*INDEX('Durée formacode'!$C$2:$AE$44,0,MATCH($A3,'Durée formacode'!$C$1:$AE$1,0)),0)&gt;
 IFERROR(1*INDEX('Durée formacode'!$C$2:$AE$44,0,MATCH(R$1,'Durée formacode'!$C$1:$AE$1,0)),0))*(IFERROR(1*INDEX('Durée formacode'!$C$2:$AE$44,0,MATCH($A3,'Durée formacode'!$C$1:$AE$1,0)),0)-IFERROR(1*INDEX('Durée formacode'!$C$2:$AE$44,0,MATCH(R$1,'Durée formacode'!$C$1:$AE$1,0)),0)))</f>
        <v>1680</v>
      </c>
      <c r="S3" cm="1">
        <f t="array" ref="S3">SUMPRODUCT((IFERROR(1*INDEX('Durée formacode'!$C$2:$AE$44,0,MATCH($A3,'Durée formacode'!$C$1:$AE$1,0)),0)&gt;
 IFERROR(1*INDEX('Durée formacode'!$C$2:$AE$44,0,MATCH(S$1,'Durée formacode'!$C$1:$AE$1,0)),0))*(IFERROR(1*INDEX('Durée formacode'!$C$2:$AE$44,0,MATCH($A3,'Durée formacode'!$C$1:$AE$1,0)),0)-IFERROR(1*INDEX('Durée formacode'!$C$2:$AE$44,0,MATCH(S$1,'Durée formacode'!$C$1:$AE$1,0)),0)))</f>
        <v>1044</v>
      </c>
      <c r="T3" cm="1">
        <f t="array" ref="T3">SUMPRODUCT((IFERROR(1*INDEX('Durée formacode'!$C$2:$AE$44,0,MATCH($A3,'Durée formacode'!$C$1:$AE$1,0)),0)&gt;
 IFERROR(1*INDEX('Durée formacode'!$C$2:$AE$44,0,MATCH(T$1,'Durée formacode'!$C$1:$AE$1,0)),0))*(IFERROR(1*INDEX('Durée formacode'!$C$2:$AE$44,0,MATCH($A3,'Durée formacode'!$C$1:$AE$1,0)),0)-IFERROR(1*INDEX('Durée formacode'!$C$2:$AE$44,0,MATCH(T$1,'Durée formacode'!$C$1:$AE$1,0)),0)))</f>
        <v>606</v>
      </c>
      <c r="U3" cm="1">
        <f t="array" ref="U3">SUMPRODUCT((IFERROR(1*INDEX('Durée formacode'!$C$2:$AE$44,0,MATCH($A3,'Durée formacode'!$C$1:$AE$1,0)),0)&gt;
 IFERROR(1*INDEX('Durée formacode'!$C$2:$AE$44,0,MATCH(U$1,'Durée formacode'!$C$1:$AE$1,0)),0))*(IFERROR(1*INDEX('Durée formacode'!$C$2:$AE$44,0,MATCH($A3,'Durée formacode'!$C$1:$AE$1,0)),0)-IFERROR(1*INDEX('Durée formacode'!$C$2:$AE$44,0,MATCH(U$1,'Durée formacode'!$C$1:$AE$1,0)),0)))</f>
        <v>1044</v>
      </c>
      <c r="V3" cm="1">
        <f t="array" ref="V3">SUMPRODUCT((IFERROR(1*INDEX('Durée formacode'!$C$2:$AE$44,0,MATCH($A3,'Durée formacode'!$C$1:$AE$1,0)),0)&gt;
 IFERROR(1*INDEX('Durée formacode'!$C$2:$AE$44,0,MATCH(V$1,'Durée formacode'!$C$1:$AE$1,0)),0))*(IFERROR(1*INDEX('Durée formacode'!$C$2:$AE$44,0,MATCH($A3,'Durée formacode'!$C$1:$AE$1,0)),0)-IFERROR(1*INDEX('Durée formacode'!$C$2:$AE$44,0,MATCH(V$1,'Durée formacode'!$C$1:$AE$1,0)),0)))</f>
        <v>606</v>
      </c>
      <c r="W3" cm="1">
        <f t="array" ref="W3">SUMPRODUCT((IFERROR(1*INDEX('Durée formacode'!$C$2:$AE$44,0,MATCH($A3,'Durée formacode'!$C$1:$AE$1,0)),0)&gt;
 IFERROR(1*INDEX('Durée formacode'!$C$2:$AE$44,0,MATCH(W$1,'Durée formacode'!$C$1:$AE$1,0)),0))*(IFERROR(1*INDEX('Durée formacode'!$C$2:$AE$44,0,MATCH($A3,'Durée formacode'!$C$1:$AE$1,0)),0)-IFERROR(1*INDEX('Durée formacode'!$C$2:$AE$44,0,MATCH(W$1,'Durée formacode'!$C$1:$AE$1,0)),0)))</f>
        <v>682</v>
      </c>
      <c r="X3" cm="1">
        <f t="array" ref="X3">SUMPRODUCT((IFERROR(1*INDEX('Durée formacode'!$C$2:$AE$44,0,MATCH($A3,'Durée formacode'!$C$1:$AE$1,0)),0)&gt;
 IFERROR(1*INDEX('Durée formacode'!$C$2:$AE$44,0,MATCH(X$1,'Durée formacode'!$C$1:$AE$1,0)),0))*(IFERROR(1*INDEX('Durée formacode'!$C$2:$AE$44,0,MATCH($A3,'Durée formacode'!$C$1:$AE$1,0)),0)-IFERROR(1*INDEX('Durée formacode'!$C$2:$AE$44,0,MATCH(X$1,'Durée formacode'!$C$1:$AE$1,0)),0)))</f>
        <v>1006</v>
      </c>
      <c r="Y3" cm="1">
        <f t="array" ref="Y3">SUMPRODUCT((IFERROR(1*INDEX('Durée formacode'!$C$2:$AE$44,0,MATCH($A3,'Durée formacode'!$C$1:$AE$1,0)),0)&gt;
 IFERROR(1*INDEX('Durée formacode'!$C$2:$AE$44,0,MATCH(Y$1,'Durée formacode'!$C$1:$AE$1,0)),0))*(IFERROR(1*INDEX('Durée formacode'!$C$2:$AE$44,0,MATCH($A3,'Durée formacode'!$C$1:$AE$1,0)),0)-IFERROR(1*INDEX('Durée formacode'!$C$2:$AE$44,0,MATCH(Y$1,'Durée formacode'!$C$1:$AE$1,0)),0)))</f>
        <v>1114</v>
      </c>
      <c r="Z3" cm="1">
        <f t="array" ref="Z3">SUMPRODUCT((IFERROR(1*INDEX('Durée formacode'!$C$2:$AE$44,0,MATCH($A3,'Durée formacode'!$C$1:$AE$1,0)),0)&gt;
 IFERROR(1*INDEX('Durée formacode'!$C$2:$AE$44,0,MATCH(Z$1,'Durée formacode'!$C$1:$AE$1,0)),0))*(IFERROR(1*INDEX('Durée formacode'!$C$2:$AE$44,0,MATCH($A3,'Durée formacode'!$C$1:$AE$1,0)),0)-IFERROR(1*INDEX('Durée formacode'!$C$2:$AE$44,0,MATCH(Z$1,'Durée formacode'!$C$1:$AE$1,0)),0)))</f>
        <v>1114</v>
      </c>
      <c r="AA3" cm="1">
        <f t="array" ref="AA3">SUMPRODUCT((IFERROR(1*INDEX('Durée formacode'!$C$2:$AE$44,0,MATCH($A3,'Durée formacode'!$C$1:$AE$1,0)),0)&gt;
 IFERROR(1*INDEX('Durée formacode'!$C$2:$AE$44,0,MATCH(AA$1,'Durée formacode'!$C$1:$AE$1,0)),0))*(IFERROR(1*INDEX('Durée formacode'!$C$2:$AE$44,0,MATCH($A3,'Durée formacode'!$C$1:$AE$1,0)),0)-IFERROR(1*INDEX('Durée formacode'!$C$2:$AE$44,0,MATCH(AA$1,'Durée formacode'!$C$1:$AE$1,0)),0)))</f>
        <v>1114</v>
      </c>
      <c r="AB3" cm="1">
        <f t="array" ref="AB3">SUMPRODUCT((IFERROR(1*INDEX('Durée formacode'!$C$2:$AE$44,0,MATCH($A3,'Durée formacode'!$C$1:$AE$1,0)),0)&gt;
 IFERROR(1*INDEX('Durée formacode'!$C$2:$AE$44,0,MATCH(AB$1,'Durée formacode'!$C$1:$AE$1,0)),0))*(IFERROR(1*INDEX('Durée formacode'!$C$2:$AE$44,0,MATCH($A3,'Durée formacode'!$C$1:$AE$1,0)),0)-IFERROR(1*INDEX('Durée formacode'!$C$2:$AE$44,0,MATCH(AB$1,'Durée formacode'!$C$1:$AE$1,0)),0)))</f>
        <v>1145</v>
      </c>
      <c r="AC3" cm="1">
        <f t="array" ref="AC3">SUMPRODUCT((IFERROR(1*INDEX('Durée formacode'!$C$2:$AE$44,0,MATCH($A3,'Durée formacode'!$C$1:$AE$1,0)),0)&gt;
 IFERROR(1*INDEX('Durée formacode'!$C$2:$AE$44,0,MATCH(AC$1,'Durée formacode'!$C$1:$AE$1,0)),0))*(IFERROR(1*INDEX('Durée formacode'!$C$2:$AE$44,0,MATCH($A3,'Durée formacode'!$C$1:$AE$1,0)),0)-IFERROR(1*INDEX('Durée formacode'!$C$2:$AE$44,0,MATCH(AC$1,'Durée formacode'!$C$1:$AE$1,0)),0)))</f>
        <v>1145</v>
      </c>
      <c r="AD3" cm="1">
        <f t="array" ref="AD3">SUMPRODUCT((IFERROR(1*INDEX('Durée formacode'!$C$2:$AE$44,0,MATCH($A3,'Durée formacode'!$C$1:$AE$1,0)),0)&gt;
 IFERROR(1*INDEX('Durée formacode'!$C$2:$AE$44,0,MATCH(AD$1,'Durée formacode'!$C$1:$AE$1,0)),0))*(IFERROR(1*INDEX('Durée formacode'!$C$2:$AE$44,0,MATCH($A3,'Durée formacode'!$C$1:$AE$1,0)),0)-IFERROR(1*INDEX('Durée formacode'!$C$2:$AE$44,0,MATCH(AD$1,'Durée formacode'!$C$1:$AE$1,0)),0)))</f>
        <v>1145</v>
      </c>
    </row>
    <row r="4" spans="1:30">
      <c r="A4" s="55" t="str">
        <v>Opérateur(trice) logistique</v>
      </c>
      <c r="B4" cm="1">
        <f t="array" ref="B4">SUMPRODUCT((IFERROR(1*INDEX('Durée formacode'!$C$2:$AE$44,0,MATCH($A4,'Durée formacode'!$C$1:$AE$1,0)),0)&gt;
 IFERROR(1*INDEX('Durée formacode'!$C$2:$AE$44,0,MATCH(B$1,'Durée formacode'!$C$1:$AE$1,0)),0))*(IFERROR(1*INDEX('Durée formacode'!$C$2:$AE$44,0,MATCH($A4,'Durée formacode'!$C$1:$AE$1,0)),0)-IFERROR(1*INDEX('Durée formacode'!$C$2:$AE$44,0,MATCH(B$1,'Durée formacode'!$C$1:$AE$1,0)),0)))</f>
        <v>1150</v>
      </c>
      <c r="C4" cm="1">
        <f t="array" ref="C4">SUMPRODUCT((IFERROR(1*INDEX('Durée formacode'!$C$2:$AE$44,0,MATCH($A4,'Durée formacode'!$C$1:$AE$1,0)),0)&gt;
 IFERROR(1*INDEX('Durée formacode'!$C$2:$AE$44,0,MATCH(C$1,'Durée formacode'!$C$1:$AE$1,0)),0))*(IFERROR(1*INDEX('Durée formacode'!$C$2:$AE$44,0,MATCH($A4,'Durée formacode'!$C$1:$AE$1,0)),0)-IFERROR(1*INDEX('Durée formacode'!$C$2:$AE$44,0,MATCH(C$1,'Durée formacode'!$C$1:$AE$1,0)),0)))</f>
        <v>721</v>
      </c>
      <c r="D4" cm="1">
        <f t="array" ref="D4">SUMPRODUCT((IFERROR(1*INDEX('Durée formacode'!$C$2:$AE$44,0,MATCH($A4,'Durée formacode'!$C$1:$AE$1,0)),0)&gt;
 IFERROR(1*INDEX('Durée formacode'!$C$2:$AE$44,0,MATCH(D$1,'Durée formacode'!$C$1:$AE$1,0)),0))*(IFERROR(1*INDEX('Durée formacode'!$C$2:$AE$44,0,MATCH($A4,'Durée formacode'!$C$1:$AE$1,0)),0)-IFERROR(1*INDEX('Durée formacode'!$C$2:$AE$44,0,MATCH(D$1,'Durée formacode'!$C$1:$AE$1,0)),0)))</f>
        <v>0</v>
      </c>
      <c r="E4" cm="1">
        <f t="array" ref="E4">SUMPRODUCT((IFERROR(1*INDEX('Durée formacode'!$C$2:$AE$44,0,MATCH($A4,'Durée formacode'!$C$1:$AE$1,0)),0)&gt;
 IFERROR(1*INDEX('Durée formacode'!$C$2:$AE$44,0,MATCH(E$1,'Durée formacode'!$C$1:$AE$1,0)),0))*(IFERROR(1*INDEX('Durée formacode'!$C$2:$AE$44,0,MATCH($A4,'Durée formacode'!$C$1:$AE$1,0)),0)-IFERROR(1*INDEX('Durée formacode'!$C$2:$AE$44,0,MATCH(E$1,'Durée formacode'!$C$1:$AE$1,0)),0)))</f>
        <v>258</v>
      </c>
      <c r="F4" cm="1">
        <f t="array" ref="F4">SUMPRODUCT((IFERROR(1*INDEX('Durée formacode'!$C$2:$AE$44,0,MATCH($A4,'Durée formacode'!$C$1:$AE$1,0)),0)&gt;
 IFERROR(1*INDEX('Durée formacode'!$C$2:$AE$44,0,MATCH(F$1,'Durée formacode'!$C$1:$AE$1,0)),0))*(IFERROR(1*INDEX('Durée formacode'!$C$2:$AE$44,0,MATCH($A4,'Durée formacode'!$C$1:$AE$1,0)),0)-IFERROR(1*INDEX('Durée formacode'!$C$2:$AE$44,0,MATCH(F$1,'Durée formacode'!$C$1:$AE$1,0)),0)))</f>
        <v>1226</v>
      </c>
      <c r="G4" cm="1">
        <f t="array" ref="G4">SUMPRODUCT((IFERROR(1*INDEX('Durée formacode'!$C$2:$AE$44,0,MATCH($A4,'Durée formacode'!$C$1:$AE$1,0)),0)&gt;
 IFERROR(1*INDEX('Durée formacode'!$C$2:$AE$44,0,MATCH(G$1,'Durée formacode'!$C$1:$AE$1,0)),0))*(IFERROR(1*INDEX('Durée formacode'!$C$2:$AE$44,0,MATCH($A4,'Durée formacode'!$C$1:$AE$1,0)),0)-IFERROR(1*INDEX('Durée formacode'!$C$2:$AE$44,0,MATCH(G$1,'Durée formacode'!$C$1:$AE$1,0)),0)))</f>
        <v>1226</v>
      </c>
      <c r="H4" cm="1">
        <f t="array" ref="H4">SUMPRODUCT((IFERROR(1*INDEX('Durée formacode'!$C$2:$AE$44,0,MATCH($A4,'Durée formacode'!$C$1:$AE$1,0)),0)&gt;
 IFERROR(1*INDEX('Durée formacode'!$C$2:$AE$44,0,MATCH(H$1,'Durée formacode'!$C$1:$AE$1,0)),0))*(IFERROR(1*INDEX('Durée formacode'!$C$2:$AE$44,0,MATCH($A4,'Durée formacode'!$C$1:$AE$1,0)),0)-IFERROR(1*INDEX('Durée formacode'!$C$2:$AE$44,0,MATCH(H$1,'Durée formacode'!$C$1:$AE$1,0)),0)))</f>
        <v>1296</v>
      </c>
      <c r="I4" cm="1">
        <f t="array" ref="I4">SUMPRODUCT((IFERROR(1*INDEX('Durée formacode'!$C$2:$AE$44,0,MATCH($A4,'Durée formacode'!$C$1:$AE$1,0)),0)&gt;
 IFERROR(1*INDEX('Durée formacode'!$C$2:$AE$44,0,MATCH(I$1,'Durée formacode'!$C$1:$AE$1,0)),0))*(IFERROR(1*INDEX('Durée formacode'!$C$2:$AE$44,0,MATCH($A4,'Durée formacode'!$C$1:$AE$1,0)),0)-IFERROR(1*INDEX('Durée formacode'!$C$2:$AE$44,0,MATCH(I$1,'Durée formacode'!$C$1:$AE$1,0)),0)))</f>
        <v>0</v>
      </c>
      <c r="J4" cm="1">
        <f t="array" ref="J4">SUMPRODUCT((IFERROR(1*INDEX('Durée formacode'!$C$2:$AE$44,0,MATCH($A4,'Durée formacode'!$C$1:$AE$1,0)),0)&gt;
 IFERROR(1*INDEX('Durée formacode'!$C$2:$AE$44,0,MATCH(J$1,'Durée formacode'!$C$1:$AE$1,0)),0))*(IFERROR(1*INDEX('Durée formacode'!$C$2:$AE$44,0,MATCH($A4,'Durée formacode'!$C$1:$AE$1,0)),0)-IFERROR(1*INDEX('Durée formacode'!$C$2:$AE$44,0,MATCH(J$1,'Durée formacode'!$C$1:$AE$1,0)),0)))</f>
        <v>1186</v>
      </c>
      <c r="K4" cm="1">
        <f t="array" ref="K4">SUMPRODUCT((IFERROR(1*INDEX('Durée formacode'!$C$2:$AE$44,0,MATCH($A4,'Durée formacode'!$C$1:$AE$1,0)),0)&gt;
 IFERROR(1*INDEX('Durée formacode'!$C$2:$AE$44,0,MATCH(K$1,'Durée formacode'!$C$1:$AE$1,0)),0))*(IFERROR(1*INDEX('Durée formacode'!$C$2:$AE$44,0,MATCH($A4,'Durée formacode'!$C$1:$AE$1,0)),0)-IFERROR(1*INDEX('Durée formacode'!$C$2:$AE$44,0,MATCH(K$1,'Durée formacode'!$C$1:$AE$1,0)),0)))</f>
        <v>1226</v>
      </c>
      <c r="L4" cm="1">
        <f t="array" ref="L4">SUMPRODUCT((IFERROR(1*INDEX('Durée formacode'!$C$2:$AE$44,0,MATCH($A4,'Durée formacode'!$C$1:$AE$1,0)),0)&gt;
 IFERROR(1*INDEX('Durée formacode'!$C$2:$AE$44,0,MATCH(L$1,'Durée formacode'!$C$1:$AE$1,0)),0))*(IFERROR(1*INDEX('Durée formacode'!$C$2:$AE$44,0,MATCH($A4,'Durée formacode'!$C$1:$AE$1,0)),0)-IFERROR(1*INDEX('Durée formacode'!$C$2:$AE$44,0,MATCH(L$1,'Durée formacode'!$C$1:$AE$1,0)),0)))</f>
        <v>1150</v>
      </c>
      <c r="M4" cm="1">
        <f t="array" ref="M4">SUMPRODUCT((IFERROR(1*INDEX('Durée formacode'!$C$2:$AE$44,0,MATCH($A4,'Durée formacode'!$C$1:$AE$1,0)),0)&gt;
 IFERROR(1*INDEX('Durée formacode'!$C$2:$AE$44,0,MATCH(M$1,'Durée formacode'!$C$1:$AE$1,0)),0))*(IFERROR(1*INDEX('Durée formacode'!$C$2:$AE$44,0,MATCH($A4,'Durée formacode'!$C$1:$AE$1,0)),0)-IFERROR(1*INDEX('Durée formacode'!$C$2:$AE$44,0,MATCH(M$1,'Durée formacode'!$C$1:$AE$1,0)),0)))</f>
        <v>1226</v>
      </c>
      <c r="N4" cm="1">
        <f t="array" ref="N4">SUMPRODUCT((IFERROR(1*INDEX('Durée formacode'!$C$2:$AE$44,0,MATCH($A4,'Durée formacode'!$C$1:$AE$1,0)),0)&gt;
 IFERROR(1*INDEX('Durée formacode'!$C$2:$AE$44,0,MATCH(N$1,'Durée formacode'!$C$1:$AE$1,0)),0))*(IFERROR(1*INDEX('Durée formacode'!$C$2:$AE$44,0,MATCH($A4,'Durée formacode'!$C$1:$AE$1,0)),0)-IFERROR(1*INDEX('Durée formacode'!$C$2:$AE$44,0,MATCH(N$1,'Durée formacode'!$C$1:$AE$1,0)),0)))</f>
        <v>1226</v>
      </c>
      <c r="O4" cm="1">
        <f t="array" ref="O4">SUMPRODUCT((IFERROR(1*INDEX('Durée formacode'!$C$2:$AE$44,0,MATCH($A4,'Durée formacode'!$C$1:$AE$1,0)),0)&gt;
 IFERROR(1*INDEX('Durée formacode'!$C$2:$AE$44,0,MATCH(O$1,'Durée formacode'!$C$1:$AE$1,0)),0))*(IFERROR(1*INDEX('Durée formacode'!$C$2:$AE$44,0,MATCH($A4,'Durée formacode'!$C$1:$AE$1,0)),0)-IFERROR(1*INDEX('Durée formacode'!$C$2:$AE$44,0,MATCH(O$1,'Durée formacode'!$C$1:$AE$1,0)),0)))</f>
        <v>1150</v>
      </c>
      <c r="P4" cm="1">
        <f t="array" ref="P4">SUMPRODUCT((IFERROR(1*INDEX('Durée formacode'!$C$2:$AE$44,0,MATCH($A4,'Durée formacode'!$C$1:$AE$1,0)),0)&gt;
 IFERROR(1*INDEX('Durée formacode'!$C$2:$AE$44,0,MATCH(P$1,'Durée formacode'!$C$1:$AE$1,0)),0))*(IFERROR(1*INDEX('Durée formacode'!$C$2:$AE$44,0,MATCH($A4,'Durée formacode'!$C$1:$AE$1,0)),0)-IFERROR(1*INDEX('Durée formacode'!$C$2:$AE$44,0,MATCH(P$1,'Durée formacode'!$C$1:$AE$1,0)),0)))</f>
        <v>1220</v>
      </c>
      <c r="Q4" cm="1">
        <f t="array" ref="Q4">SUMPRODUCT((IFERROR(1*INDEX('Durée formacode'!$C$2:$AE$44,0,MATCH($A4,'Durée formacode'!$C$1:$AE$1,0)),0)&gt;
 IFERROR(1*INDEX('Durée formacode'!$C$2:$AE$44,0,MATCH(Q$1,'Durée formacode'!$C$1:$AE$1,0)),0))*(IFERROR(1*INDEX('Durée formacode'!$C$2:$AE$44,0,MATCH($A4,'Durée formacode'!$C$1:$AE$1,0)),0)-IFERROR(1*INDEX('Durée formacode'!$C$2:$AE$44,0,MATCH(Q$1,'Durée formacode'!$C$1:$AE$1,0)),0)))</f>
        <v>721</v>
      </c>
      <c r="R4" cm="1">
        <f t="array" ref="R4">SUMPRODUCT((IFERROR(1*INDEX('Durée formacode'!$C$2:$AE$44,0,MATCH($A4,'Durée formacode'!$C$1:$AE$1,0)),0)&gt;
 IFERROR(1*INDEX('Durée formacode'!$C$2:$AE$44,0,MATCH(R$1,'Durée formacode'!$C$1:$AE$1,0)),0))*(IFERROR(1*INDEX('Durée formacode'!$C$2:$AE$44,0,MATCH($A4,'Durée formacode'!$C$1:$AE$1,0)),0)-IFERROR(1*INDEX('Durée formacode'!$C$2:$AE$44,0,MATCH(R$1,'Durée formacode'!$C$1:$AE$1,0)),0)))</f>
        <v>1296</v>
      </c>
      <c r="S4" cm="1">
        <f t="array" ref="S4">SUMPRODUCT((IFERROR(1*INDEX('Durée formacode'!$C$2:$AE$44,0,MATCH($A4,'Durée formacode'!$C$1:$AE$1,0)),0)&gt;
 IFERROR(1*INDEX('Durée formacode'!$C$2:$AE$44,0,MATCH(S$1,'Durée formacode'!$C$1:$AE$1,0)),0))*(IFERROR(1*INDEX('Durée formacode'!$C$2:$AE$44,0,MATCH($A4,'Durée formacode'!$C$1:$AE$1,0)),0)-IFERROR(1*INDEX('Durée formacode'!$C$2:$AE$44,0,MATCH(S$1,'Durée formacode'!$C$1:$AE$1,0)),0)))</f>
        <v>1150</v>
      </c>
      <c r="T4" cm="1">
        <f t="array" ref="T4">SUMPRODUCT((IFERROR(1*INDEX('Durée formacode'!$C$2:$AE$44,0,MATCH($A4,'Durée formacode'!$C$1:$AE$1,0)),0)&gt;
 IFERROR(1*INDEX('Durée formacode'!$C$2:$AE$44,0,MATCH(T$1,'Durée formacode'!$C$1:$AE$1,0)),0))*(IFERROR(1*INDEX('Durée formacode'!$C$2:$AE$44,0,MATCH($A4,'Durée formacode'!$C$1:$AE$1,0)),0)-IFERROR(1*INDEX('Durée formacode'!$C$2:$AE$44,0,MATCH(T$1,'Durée formacode'!$C$1:$AE$1,0)),0)))</f>
        <v>1150</v>
      </c>
      <c r="U4" cm="1">
        <f t="array" ref="U4">SUMPRODUCT((IFERROR(1*INDEX('Durée formacode'!$C$2:$AE$44,0,MATCH($A4,'Durée formacode'!$C$1:$AE$1,0)),0)&gt;
 IFERROR(1*INDEX('Durée formacode'!$C$2:$AE$44,0,MATCH(U$1,'Durée formacode'!$C$1:$AE$1,0)),0))*(IFERROR(1*INDEX('Durée formacode'!$C$2:$AE$44,0,MATCH($A4,'Durée formacode'!$C$1:$AE$1,0)),0)-IFERROR(1*INDEX('Durée formacode'!$C$2:$AE$44,0,MATCH(U$1,'Durée formacode'!$C$1:$AE$1,0)),0)))</f>
        <v>1150</v>
      </c>
      <c r="V4" cm="1">
        <f t="array" ref="V4">SUMPRODUCT((IFERROR(1*INDEX('Durée formacode'!$C$2:$AE$44,0,MATCH($A4,'Durée formacode'!$C$1:$AE$1,0)),0)&gt;
 IFERROR(1*INDEX('Durée formacode'!$C$2:$AE$44,0,MATCH(V$1,'Durée formacode'!$C$1:$AE$1,0)),0))*(IFERROR(1*INDEX('Durée formacode'!$C$2:$AE$44,0,MATCH($A4,'Durée formacode'!$C$1:$AE$1,0)),0)-IFERROR(1*INDEX('Durée formacode'!$C$2:$AE$44,0,MATCH(V$1,'Durée formacode'!$C$1:$AE$1,0)),0)))</f>
        <v>1150</v>
      </c>
      <c r="W4" cm="1">
        <f t="array" ref="W4">SUMPRODUCT((IFERROR(1*INDEX('Durée formacode'!$C$2:$AE$44,0,MATCH($A4,'Durée formacode'!$C$1:$AE$1,0)),0)&gt;
 IFERROR(1*INDEX('Durée formacode'!$C$2:$AE$44,0,MATCH(W$1,'Durée formacode'!$C$1:$AE$1,0)),0))*(IFERROR(1*INDEX('Durée formacode'!$C$2:$AE$44,0,MATCH($A4,'Durée formacode'!$C$1:$AE$1,0)),0)-IFERROR(1*INDEX('Durée formacode'!$C$2:$AE$44,0,MATCH(W$1,'Durée formacode'!$C$1:$AE$1,0)),0)))</f>
        <v>1226</v>
      </c>
      <c r="X4" cm="1">
        <f t="array" ref="X4">SUMPRODUCT((IFERROR(1*INDEX('Durée formacode'!$C$2:$AE$44,0,MATCH($A4,'Durée formacode'!$C$1:$AE$1,0)),0)&gt;
 IFERROR(1*INDEX('Durée formacode'!$C$2:$AE$44,0,MATCH(X$1,'Durée formacode'!$C$1:$AE$1,0)),0))*(IFERROR(1*INDEX('Durée formacode'!$C$2:$AE$44,0,MATCH($A4,'Durée formacode'!$C$1:$AE$1,0)),0)-IFERROR(1*INDEX('Durée formacode'!$C$2:$AE$44,0,MATCH(X$1,'Durée formacode'!$C$1:$AE$1,0)),0)))</f>
        <v>258</v>
      </c>
      <c r="Y4" cm="1">
        <f t="array" ref="Y4">SUMPRODUCT((IFERROR(1*INDEX('Durée formacode'!$C$2:$AE$44,0,MATCH($A4,'Durée formacode'!$C$1:$AE$1,0)),0)&gt;
 IFERROR(1*INDEX('Durée formacode'!$C$2:$AE$44,0,MATCH(Y$1,'Durée formacode'!$C$1:$AE$1,0)),0))*(IFERROR(1*INDEX('Durée formacode'!$C$2:$AE$44,0,MATCH($A4,'Durée formacode'!$C$1:$AE$1,0)),0)-IFERROR(1*INDEX('Durée formacode'!$C$2:$AE$44,0,MATCH(Y$1,'Durée formacode'!$C$1:$AE$1,0)),0)))</f>
        <v>1150</v>
      </c>
      <c r="Z4" cm="1">
        <f t="array" ref="Z4">SUMPRODUCT((IFERROR(1*INDEX('Durée formacode'!$C$2:$AE$44,0,MATCH($A4,'Durée formacode'!$C$1:$AE$1,0)),0)&gt;
 IFERROR(1*INDEX('Durée formacode'!$C$2:$AE$44,0,MATCH(Z$1,'Durée formacode'!$C$1:$AE$1,0)),0))*(IFERROR(1*INDEX('Durée formacode'!$C$2:$AE$44,0,MATCH($A4,'Durée formacode'!$C$1:$AE$1,0)),0)-IFERROR(1*INDEX('Durée formacode'!$C$2:$AE$44,0,MATCH(Z$1,'Durée formacode'!$C$1:$AE$1,0)),0)))</f>
        <v>1150</v>
      </c>
      <c r="AA4" cm="1">
        <f t="array" ref="AA4">SUMPRODUCT((IFERROR(1*INDEX('Durée formacode'!$C$2:$AE$44,0,MATCH($A4,'Durée formacode'!$C$1:$AE$1,0)),0)&gt;
 IFERROR(1*INDEX('Durée formacode'!$C$2:$AE$44,0,MATCH(AA$1,'Durée formacode'!$C$1:$AE$1,0)),0))*(IFERROR(1*INDEX('Durée formacode'!$C$2:$AE$44,0,MATCH($A4,'Durée formacode'!$C$1:$AE$1,0)),0)-IFERROR(1*INDEX('Durée formacode'!$C$2:$AE$44,0,MATCH(AA$1,'Durée formacode'!$C$1:$AE$1,0)),0)))</f>
        <v>1150</v>
      </c>
      <c r="AB4" cm="1">
        <f t="array" ref="AB4">SUMPRODUCT((IFERROR(1*INDEX('Durée formacode'!$C$2:$AE$44,0,MATCH($A4,'Durée formacode'!$C$1:$AE$1,0)),0)&gt;
 IFERROR(1*INDEX('Durée formacode'!$C$2:$AE$44,0,MATCH(AB$1,'Durée formacode'!$C$1:$AE$1,0)),0))*(IFERROR(1*INDEX('Durée formacode'!$C$2:$AE$44,0,MATCH($A4,'Durée formacode'!$C$1:$AE$1,0)),0)-IFERROR(1*INDEX('Durée formacode'!$C$2:$AE$44,0,MATCH(AB$1,'Durée formacode'!$C$1:$AE$1,0)),0)))</f>
        <v>1220</v>
      </c>
      <c r="AC4" cm="1">
        <f t="array" ref="AC4">SUMPRODUCT((IFERROR(1*INDEX('Durée formacode'!$C$2:$AE$44,0,MATCH($A4,'Durée formacode'!$C$1:$AE$1,0)),0)&gt;
 IFERROR(1*INDEX('Durée formacode'!$C$2:$AE$44,0,MATCH(AC$1,'Durée formacode'!$C$1:$AE$1,0)),0))*(IFERROR(1*INDEX('Durée formacode'!$C$2:$AE$44,0,MATCH($A4,'Durée formacode'!$C$1:$AE$1,0)),0)-IFERROR(1*INDEX('Durée formacode'!$C$2:$AE$44,0,MATCH(AC$1,'Durée formacode'!$C$1:$AE$1,0)),0)))</f>
        <v>1220</v>
      </c>
      <c r="AD4" cm="1">
        <f t="array" ref="AD4">SUMPRODUCT((IFERROR(1*INDEX('Durée formacode'!$C$2:$AE$44,0,MATCH($A4,'Durée formacode'!$C$1:$AE$1,0)),0)&gt;
 IFERROR(1*INDEX('Durée formacode'!$C$2:$AE$44,0,MATCH(AD$1,'Durée formacode'!$C$1:$AE$1,0)),0))*(IFERROR(1*INDEX('Durée formacode'!$C$2:$AE$44,0,MATCH($A4,'Durée formacode'!$C$1:$AE$1,0)),0)-IFERROR(1*INDEX('Durée formacode'!$C$2:$AE$44,0,MATCH(AD$1,'Durée formacode'!$C$1:$AE$1,0)),0)))</f>
        <v>1220</v>
      </c>
    </row>
    <row r="5" spans="1:30">
      <c r="A5" s="55" t="str">
        <v>Manager(euse) logistique</v>
      </c>
      <c r="B5" cm="1">
        <f t="array" ref="B5">SUMPRODUCT((IFERROR(1*INDEX('Durée formacode'!$C$2:$AE$44,0,MATCH($A5,'Durée formacode'!$C$1:$AE$1,0)),0)&gt;
 IFERROR(1*INDEX('Durée formacode'!$C$2:$AE$44,0,MATCH(B$1,'Durée formacode'!$C$1:$AE$1,0)),0))*(IFERROR(1*INDEX('Durée formacode'!$C$2:$AE$44,0,MATCH($A5,'Durée formacode'!$C$1:$AE$1,0)),0)-IFERROR(1*INDEX('Durée formacode'!$C$2:$AE$44,0,MATCH(B$1,'Durée formacode'!$C$1:$AE$1,0)),0)))</f>
        <v>2961</v>
      </c>
      <c r="C5" cm="1">
        <f t="array" ref="C5">SUMPRODUCT((IFERROR(1*INDEX('Durée formacode'!$C$2:$AE$44,0,MATCH($A5,'Durée formacode'!$C$1:$AE$1,0)),0)&gt;
 IFERROR(1*INDEX('Durée formacode'!$C$2:$AE$44,0,MATCH(C$1,'Durée formacode'!$C$1:$AE$1,0)),0))*(IFERROR(1*INDEX('Durée formacode'!$C$2:$AE$44,0,MATCH($A5,'Durée formacode'!$C$1:$AE$1,0)),0)-IFERROR(1*INDEX('Durée formacode'!$C$2:$AE$44,0,MATCH(C$1,'Durée formacode'!$C$1:$AE$1,0)),0)))</f>
        <v>2638</v>
      </c>
      <c r="D5" cm="1">
        <f t="array" ref="D5">SUMPRODUCT((IFERROR(1*INDEX('Durée formacode'!$C$2:$AE$44,0,MATCH($A5,'Durée formacode'!$C$1:$AE$1,0)),0)&gt;
 IFERROR(1*INDEX('Durée formacode'!$C$2:$AE$44,0,MATCH(D$1,'Durée formacode'!$C$1:$AE$1,0)),0))*(IFERROR(1*INDEX('Durée formacode'!$C$2:$AE$44,0,MATCH($A5,'Durée formacode'!$C$1:$AE$1,0)),0)-IFERROR(1*INDEX('Durée formacode'!$C$2:$AE$44,0,MATCH(D$1,'Durée formacode'!$C$1:$AE$1,0)),0)))</f>
        <v>2274</v>
      </c>
      <c r="E5" cm="1">
        <f t="array" ref="E5">SUMPRODUCT((IFERROR(1*INDEX('Durée formacode'!$C$2:$AE$44,0,MATCH($A5,'Durée formacode'!$C$1:$AE$1,0)),0)&gt;
 IFERROR(1*INDEX('Durée formacode'!$C$2:$AE$44,0,MATCH(E$1,'Durée formacode'!$C$1:$AE$1,0)),0))*(IFERROR(1*INDEX('Durée formacode'!$C$2:$AE$44,0,MATCH($A5,'Durée formacode'!$C$1:$AE$1,0)),0)-IFERROR(1*INDEX('Durée formacode'!$C$2:$AE$44,0,MATCH(E$1,'Durée formacode'!$C$1:$AE$1,0)),0)))</f>
        <v>0</v>
      </c>
      <c r="F5" cm="1">
        <f t="array" ref="F5">SUMPRODUCT((IFERROR(1*INDEX('Durée formacode'!$C$2:$AE$44,0,MATCH($A5,'Durée formacode'!$C$1:$AE$1,0)),0)&gt;
 IFERROR(1*INDEX('Durée formacode'!$C$2:$AE$44,0,MATCH(F$1,'Durée formacode'!$C$1:$AE$1,0)),0))*(IFERROR(1*INDEX('Durée formacode'!$C$2:$AE$44,0,MATCH($A5,'Durée formacode'!$C$1:$AE$1,0)),0)-IFERROR(1*INDEX('Durée formacode'!$C$2:$AE$44,0,MATCH(F$1,'Durée formacode'!$C$1:$AE$1,0)),0)))</f>
        <v>2414</v>
      </c>
      <c r="G5" cm="1">
        <f t="array" ref="G5">SUMPRODUCT((IFERROR(1*INDEX('Durée formacode'!$C$2:$AE$44,0,MATCH($A5,'Durée formacode'!$C$1:$AE$1,0)),0)&gt;
 IFERROR(1*INDEX('Durée formacode'!$C$2:$AE$44,0,MATCH(G$1,'Durée formacode'!$C$1:$AE$1,0)),0))*(IFERROR(1*INDEX('Durée formacode'!$C$2:$AE$44,0,MATCH($A5,'Durée formacode'!$C$1:$AE$1,0)),0)-IFERROR(1*INDEX('Durée formacode'!$C$2:$AE$44,0,MATCH(G$1,'Durée formacode'!$C$1:$AE$1,0)),0)))</f>
        <v>2221</v>
      </c>
      <c r="H5" cm="1">
        <f t="array" ref="H5">SUMPRODUCT((IFERROR(1*INDEX('Durée formacode'!$C$2:$AE$44,0,MATCH($A5,'Durée formacode'!$C$1:$AE$1,0)),0)&gt;
 IFERROR(1*INDEX('Durée formacode'!$C$2:$AE$44,0,MATCH(H$1,'Durée formacode'!$C$1:$AE$1,0)),0))*(IFERROR(1*INDEX('Durée formacode'!$C$2:$AE$44,0,MATCH($A5,'Durée formacode'!$C$1:$AE$1,0)),0)-IFERROR(1*INDEX('Durée formacode'!$C$2:$AE$44,0,MATCH(H$1,'Durée formacode'!$C$1:$AE$1,0)),0)))</f>
        <v>2965</v>
      </c>
      <c r="I5" cm="1">
        <f t="array" ref="I5">SUMPRODUCT((IFERROR(1*INDEX('Durée formacode'!$C$2:$AE$44,0,MATCH($A5,'Durée formacode'!$C$1:$AE$1,0)),0)&gt;
 IFERROR(1*INDEX('Durée formacode'!$C$2:$AE$44,0,MATCH(I$1,'Durée formacode'!$C$1:$AE$1,0)),0))*(IFERROR(1*INDEX('Durée formacode'!$C$2:$AE$44,0,MATCH($A5,'Durée formacode'!$C$1:$AE$1,0)),0)-IFERROR(1*INDEX('Durée formacode'!$C$2:$AE$44,0,MATCH(I$1,'Durée formacode'!$C$1:$AE$1,0)),0)))</f>
        <v>2274</v>
      </c>
      <c r="J5" cm="1">
        <f t="array" ref="J5">SUMPRODUCT((IFERROR(1*INDEX('Durée formacode'!$C$2:$AE$44,0,MATCH($A5,'Durée formacode'!$C$1:$AE$1,0)),0)&gt;
 IFERROR(1*INDEX('Durée formacode'!$C$2:$AE$44,0,MATCH(J$1,'Durée formacode'!$C$1:$AE$1,0)),0))*(IFERROR(1*INDEX('Durée formacode'!$C$2:$AE$44,0,MATCH($A5,'Durée formacode'!$C$1:$AE$1,0)),0)-IFERROR(1*INDEX('Durée formacode'!$C$2:$AE$44,0,MATCH(J$1,'Durée formacode'!$C$1:$AE$1,0)),0)))</f>
        <v>2134</v>
      </c>
      <c r="K5" cm="1">
        <f t="array" ref="K5">SUMPRODUCT((IFERROR(1*INDEX('Durée formacode'!$C$2:$AE$44,0,MATCH($A5,'Durée formacode'!$C$1:$AE$1,0)),0)&gt;
 IFERROR(1*INDEX('Durée formacode'!$C$2:$AE$44,0,MATCH(K$1,'Durée formacode'!$C$1:$AE$1,0)),0))*(IFERROR(1*INDEX('Durée formacode'!$C$2:$AE$44,0,MATCH($A5,'Durée formacode'!$C$1:$AE$1,0)),0)-IFERROR(1*INDEX('Durée formacode'!$C$2:$AE$44,0,MATCH(K$1,'Durée formacode'!$C$1:$AE$1,0)),0)))</f>
        <v>2221</v>
      </c>
      <c r="L5" cm="1">
        <f t="array" ref="L5">SUMPRODUCT((IFERROR(1*INDEX('Durée formacode'!$C$2:$AE$44,0,MATCH($A5,'Durée formacode'!$C$1:$AE$1,0)),0)&gt;
 IFERROR(1*INDEX('Durée formacode'!$C$2:$AE$44,0,MATCH(L$1,'Durée formacode'!$C$1:$AE$1,0)),0))*(IFERROR(1*INDEX('Durée formacode'!$C$2:$AE$44,0,MATCH($A5,'Durée formacode'!$C$1:$AE$1,0)),0)-IFERROR(1*INDEX('Durée formacode'!$C$2:$AE$44,0,MATCH(L$1,'Durée formacode'!$C$1:$AE$1,0)),0)))</f>
        <v>3242</v>
      </c>
      <c r="M5" cm="1">
        <f t="array" ref="M5">SUMPRODUCT((IFERROR(1*INDEX('Durée formacode'!$C$2:$AE$44,0,MATCH($A5,'Durée formacode'!$C$1:$AE$1,0)),0)&gt;
 IFERROR(1*INDEX('Durée formacode'!$C$2:$AE$44,0,MATCH(M$1,'Durée formacode'!$C$1:$AE$1,0)),0))*(IFERROR(1*INDEX('Durée formacode'!$C$2:$AE$44,0,MATCH($A5,'Durée formacode'!$C$1:$AE$1,0)),0)-IFERROR(1*INDEX('Durée formacode'!$C$2:$AE$44,0,MATCH(M$1,'Durée formacode'!$C$1:$AE$1,0)),0)))</f>
        <v>3067</v>
      </c>
      <c r="N5" cm="1">
        <f t="array" ref="N5">SUMPRODUCT((IFERROR(1*INDEX('Durée formacode'!$C$2:$AE$44,0,MATCH($A5,'Durée formacode'!$C$1:$AE$1,0)),0)&gt;
 IFERROR(1*INDEX('Durée formacode'!$C$2:$AE$44,0,MATCH(N$1,'Durée formacode'!$C$1:$AE$1,0)),0))*(IFERROR(1*INDEX('Durée formacode'!$C$2:$AE$44,0,MATCH($A5,'Durée formacode'!$C$1:$AE$1,0)),0)-IFERROR(1*INDEX('Durée formacode'!$C$2:$AE$44,0,MATCH(N$1,'Durée formacode'!$C$1:$AE$1,0)),0)))</f>
        <v>2695</v>
      </c>
      <c r="O5" cm="1">
        <f t="array" ref="O5">SUMPRODUCT((IFERROR(1*INDEX('Durée formacode'!$C$2:$AE$44,0,MATCH($A5,'Durée formacode'!$C$1:$AE$1,0)),0)&gt;
 IFERROR(1*INDEX('Durée formacode'!$C$2:$AE$44,0,MATCH(O$1,'Durée formacode'!$C$1:$AE$1,0)),0))*(IFERROR(1*INDEX('Durée formacode'!$C$2:$AE$44,0,MATCH($A5,'Durée formacode'!$C$1:$AE$1,0)),0)-IFERROR(1*INDEX('Durée formacode'!$C$2:$AE$44,0,MATCH(O$1,'Durée formacode'!$C$1:$AE$1,0)),0)))</f>
        <v>3242</v>
      </c>
      <c r="P5" cm="1">
        <f t="array" ref="P5">SUMPRODUCT((IFERROR(1*INDEX('Durée formacode'!$C$2:$AE$44,0,MATCH($A5,'Durée formacode'!$C$1:$AE$1,0)),0)&gt;
 IFERROR(1*INDEX('Durée formacode'!$C$2:$AE$44,0,MATCH(P$1,'Durée formacode'!$C$1:$AE$1,0)),0))*(IFERROR(1*INDEX('Durée formacode'!$C$2:$AE$44,0,MATCH($A5,'Durée formacode'!$C$1:$AE$1,0)),0)-IFERROR(1*INDEX('Durée formacode'!$C$2:$AE$44,0,MATCH(P$1,'Durée formacode'!$C$1:$AE$1,0)),0)))</f>
        <v>3312</v>
      </c>
      <c r="Q5" cm="1">
        <f t="array" ref="Q5">SUMPRODUCT((IFERROR(1*INDEX('Durée formacode'!$C$2:$AE$44,0,MATCH($A5,'Durée formacode'!$C$1:$AE$1,0)),0)&gt;
 IFERROR(1*INDEX('Durée formacode'!$C$2:$AE$44,0,MATCH(Q$1,'Durée formacode'!$C$1:$AE$1,0)),0))*(IFERROR(1*INDEX('Durée formacode'!$C$2:$AE$44,0,MATCH($A5,'Durée formacode'!$C$1:$AE$1,0)),0)-IFERROR(1*INDEX('Durée formacode'!$C$2:$AE$44,0,MATCH(Q$1,'Durée formacode'!$C$1:$AE$1,0)),0)))</f>
        <v>2269</v>
      </c>
      <c r="R5" cm="1">
        <f t="array" ref="R5">SUMPRODUCT((IFERROR(1*INDEX('Durée formacode'!$C$2:$AE$44,0,MATCH($A5,'Durée formacode'!$C$1:$AE$1,0)),0)&gt;
 IFERROR(1*INDEX('Durée formacode'!$C$2:$AE$44,0,MATCH(R$1,'Durée formacode'!$C$1:$AE$1,0)),0))*(IFERROR(1*INDEX('Durée formacode'!$C$2:$AE$44,0,MATCH($A5,'Durée formacode'!$C$1:$AE$1,0)),0)-IFERROR(1*INDEX('Durée formacode'!$C$2:$AE$44,0,MATCH(R$1,'Durée formacode'!$C$1:$AE$1,0)),0)))</f>
        <v>2965</v>
      </c>
      <c r="S5" cm="1">
        <f t="array" ref="S5">SUMPRODUCT((IFERROR(1*INDEX('Durée formacode'!$C$2:$AE$44,0,MATCH($A5,'Durée formacode'!$C$1:$AE$1,0)),0)&gt;
 IFERROR(1*INDEX('Durée formacode'!$C$2:$AE$44,0,MATCH(S$1,'Durée formacode'!$C$1:$AE$1,0)),0))*(IFERROR(1*INDEX('Durée formacode'!$C$2:$AE$44,0,MATCH($A5,'Durée formacode'!$C$1:$AE$1,0)),0)-IFERROR(1*INDEX('Durée formacode'!$C$2:$AE$44,0,MATCH(S$1,'Durée formacode'!$C$1:$AE$1,0)),0)))</f>
        <v>3067</v>
      </c>
      <c r="T5" cm="1">
        <f t="array" ref="T5">SUMPRODUCT((IFERROR(1*INDEX('Durée formacode'!$C$2:$AE$44,0,MATCH($A5,'Durée formacode'!$C$1:$AE$1,0)),0)&gt;
 IFERROR(1*INDEX('Durée formacode'!$C$2:$AE$44,0,MATCH(T$1,'Durée formacode'!$C$1:$AE$1,0)),0))*(IFERROR(1*INDEX('Durée formacode'!$C$2:$AE$44,0,MATCH($A5,'Durée formacode'!$C$1:$AE$1,0)),0)-IFERROR(1*INDEX('Durée formacode'!$C$2:$AE$44,0,MATCH(T$1,'Durée formacode'!$C$1:$AE$1,0)),0)))</f>
        <v>3067</v>
      </c>
      <c r="U5" cm="1">
        <f t="array" ref="U5">SUMPRODUCT((IFERROR(1*INDEX('Durée formacode'!$C$2:$AE$44,0,MATCH($A5,'Durée formacode'!$C$1:$AE$1,0)),0)&gt;
 IFERROR(1*INDEX('Durée formacode'!$C$2:$AE$44,0,MATCH(U$1,'Durée formacode'!$C$1:$AE$1,0)),0))*(IFERROR(1*INDEX('Durée formacode'!$C$2:$AE$44,0,MATCH($A5,'Durée formacode'!$C$1:$AE$1,0)),0)-IFERROR(1*INDEX('Durée formacode'!$C$2:$AE$44,0,MATCH(U$1,'Durée formacode'!$C$1:$AE$1,0)),0)))</f>
        <v>3067</v>
      </c>
      <c r="V5" cm="1">
        <f t="array" ref="V5">SUMPRODUCT((IFERROR(1*INDEX('Durée formacode'!$C$2:$AE$44,0,MATCH($A5,'Durée formacode'!$C$1:$AE$1,0)),0)&gt;
 IFERROR(1*INDEX('Durée formacode'!$C$2:$AE$44,0,MATCH(V$1,'Durée formacode'!$C$1:$AE$1,0)),0))*(IFERROR(1*INDEX('Durée formacode'!$C$2:$AE$44,0,MATCH($A5,'Durée formacode'!$C$1:$AE$1,0)),0)-IFERROR(1*INDEX('Durée formacode'!$C$2:$AE$44,0,MATCH(V$1,'Durée formacode'!$C$1:$AE$1,0)),0)))</f>
        <v>2961</v>
      </c>
      <c r="W5" cm="1">
        <f t="array" ref="W5">SUMPRODUCT((IFERROR(1*INDEX('Durée formacode'!$C$2:$AE$44,0,MATCH($A5,'Durée formacode'!$C$1:$AE$1,0)),0)&gt;
 IFERROR(1*INDEX('Durée formacode'!$C$2:$AE$44,0,MATCH(W$1,'Durée formacode'!$C$1:$AE$1,0)),0))*(IFERROR(1*INDEX('Durée formacode'!$C$2:$AE$44,0,MATCH($A5,'Durée formacode'!$C$1:$AE$1,0)),0)-IFERROR(1*INDEX('Durée formacode'!$C$2:$AE$44,0,MATCH(W$1,'Durée formacode'!$C$1:$AE$1,0)),0)))</f>
        <v>2852</v>
      </c>
      <c r="X5" cm="1">
        <f t="array" ref="X5">SUMPRODUCT((IFERROR(1*INDEX('Durée formacode'!$C$2:$AE$44,0,MATCH($A5,'Durée formacode'!$C$1:$AE$1,0)),0)&gt;
 IFERROR(1*INDEX('Durée formacode'!$C$2:$AE$44,0,MATCH(X$1,'Durée formacode'!$C$1:$AE$1,0)),0))*(IFERROR(1*INDEX('Durée formacode'!$C$2:$AE$44,0,MATCH($A5,'Durée formacode'!$C$1:$AE$1,0)),0)-IFERROR(1*INDEX('Durée formacode'!$C$2:$AE$44,0,MATCH(X$1,'Durée formacode'!$C$1:$AE$1,0)),0)))</f>
        <v>131</v>
      </c>
      <c r="Y5" cm="1">
        <f t="array" ref="Y5">SUMPRODUCT((IFERROR(1*INDEX('Durée formacode'!$C$2:$AE$44,0,MATCH($A5,'Durée formacode'!$C$1:$AE$1,0)),0)&gt;
 IFERROR(1*INDEX('Durée formacode'!$C$2:$AE$44,0,MATCH(Y$1,'Durée formacode'!$C$1:$AE$1,0)),0))*(IFERROR(1*INDEX('Durée formacode'!$C$2:$AE$44,0,MATCH($A5,'Durée formacode'!$C$1:$AE$1,0)),0)-IFERROR(1*INDEX('Durée formacode'!$C$2:$AE$44,0,MATCH(Y$1,'Durée formacode'!$C$1:$AE$1,0)),0)))</f>
        <v>3067</v>
      </c>
      <c r="Z5" cm="1">
        <f t="array" ref="Z5">SUMPRODUCT((IFERROR(1*INDEX('Durée formacode'!$C$2:$AE$44,0,MATCH($A5,'Durée formacode'!$C$1:$AE$1,0)),0)&gt;
 IFERROR(1*INDEX('Durée formacode'!$C$2:$AE$44,0,MATCH(Z$1,'Durée formacode'!$C$1:$AE$1,0)),0))*(IFERROR(1*INDEX('Durée formacode'!$C$2:$AE$44,0,MATCH($A5,'Durée formacode'!$C$1:$AE$1,0)),0)-IFERROR(1*INDEX('Durée formacode'!$C$2:$AE$44,0,MATCH(Z$1,'Durée formacode'!$C$1:$AE$1,0)),0)))</f>
        <v>3067</v>
      </c>
      <c r="AA5" cm="1">
        <f t="array" ref="AA5">SUMPRODUCT((IFERROR(1*INDEX('Durée formacode'!$C$2:$AE$44,0,MATCH($A5,'Durée formacode'!$C$1:$AE$1,0)),0)&gt;
 IFERROR(1*INDEX('Durée formacode'!$C$2:$AE$44,0,MATCH(AA$1,'Durée formacode'!$C$1:$AE$1,0)),0))*(IFERROR(1*INDEX('Durée formacode'!$C$2:$AE$44,0,MATCH($A5,'Durée formacode'!$C$1:$AE$1,0)),0)-IFERROR(1*INDEX('Durée formacode'!$C$2:$AE$44,0,MATCH(AA$1,'Durée formacode'!$C$1:$AE$1,0)),0)))</f>
        <v>3067</v>
      </c>
      <c r="AB5" cm="1">
        <f t="array" ref="AB5">SUMPRODUCT((IFERROR(1*INDEX('Durée formacode'!$C$2:$AE$44,0,MATCH($A5,'Durée formacode'!$C$1:$AE$1,0)),0)&gt;
 IFERROR(1*INDEX('Durée formacode'!$C$2:$AE$44,0,MATCH(AB$1,'Durée formacode'!$C$1:$AE$1,0)),0))*(IFERROR(1*INDEX('Durée formacode'!$C$2:$AE$44,0,MATCH($A5,'Durée formacode'!$C$1:$AE$1,0)),0)-IFERROR(1*INDEX('Durée formacode'!$C$2:$AE$44,0,MATCH(AB$1,'Durée formacode'!$C$1:$AE$1,0)),0)))</f>
        <v>3203</v>
      </c>
      <c r="AC5" cm="1">
        <f t="array" ref="AC5">SUMPRODUCT((IFERROR(1*INDEX('Durée formacode'!$C$2:$AE$44,0,MATCH($A5,'Durée formacode'!$C$1:$AE$1,0)),0)&gt;
 IFERROR(1*INDEX('Durée formacode'!$C$2:$AE$44,0,MATCH(AC$1,'Durée formacode'!$C$1:$AE$1,0)),0))*(IFERROR(1*INDEX('Durée formacode'!$C$2:$AE$44,0,MATCH($A5,'Durée formacode'!$C$1:$AE$1,0)),0)-IFERROR(1*INDEX('Durée formacode'!$C$2:$AE$44,0,MATCH(AC$1,'Durée formacode'!$C$1:$AE$1,0)),0)))</f>
        <v>3203</v>
      </c>
      <c r="AD5" cm="1">
        <f t="array" ref="AD5">SUMPRODUCT((IFERROR(1*INDEX('Durée formacode'!$C$2:$AE$44,0,MATCH($A5,'Durée formacode'!$C$1:$AE$1,0)),0)&gt;
 IFERROR(1*INDEX('Durée formacode'!$C$2:$AE$44,0,MATCH(AD$1,'Durée formacode'!$C$1:$AE$1,0)),0))*(IFERROR(1*INDEX('Durée formacode'!$C$2:$AE$44,0,MATCH($A5,'Durée formacode'!$C$1:$AE$1,0)),0)-IFERROR(1*INDEX('Durée formacode'!$C$2:$AE$44,0,MATCH(AD$1,'Durée formacode'!$C$1:$AE$1,0)),0)))</f>
        <v>3203</v>
      </c>
    </row>
    <row r="6" spans="1:30">
      <c r="A6" s="55" t="str">
        <v>Maître(sse) de chai</v>
      </c>
      <c r="B6" cm="1">
        <f t="array" ref="B6">SUMPRODUCT((IFERROR(1*INDEX('Durée formacode'!$C$2:$AE$44,0,MATCH($A6,'Durée formacode'!$C$1:$AE$1,0)),0)&gt;
 IFERROR(1*INDEX('Durée formacode'!$C$2:$AE$44,0,MATCH(B$1,'Durée formacode'!$C$1:$AE$1,0)),0))*(IFERROR(1*INDEX('Durée formacode'!$C$2:$AE$44,0,MATCH($A6,'Durée formacode'!$C$1:$AE$1,0)),0)-IFERROR(1*INDEX('Durée formacode'!$C$2:$AE$44,0,MATCH(B$1,'Durée formacode'!$C$1:$AE$1,0)),0)))</f>
        <v>1538</v>
      </c>
      <c r="C6" cm="1">
        <f t="array" ref="C6">SUMPRODUCT((IFERROR(1*INDEX('Durée formacode'!$C$2:$AE$44,0,MATCH($A6,'Durée formacode'!$C$1:$AE$1,0)),0)&gt;
 IFERROR(1*INDEX('Durée formacode'!$C$2:$AE$44,0,MATCH(C$1,'Durée formacode'!$C$1:$AE$1,0)),0))*(IFERROR(1*INDEX('Durée formacode'!$C$2:$AE$44,0,MATCH($A6,'Durée formacode'!$C$1:$AE$1,0)),0)-IFERROR(1*INDEX('Durée formacode'!$C$2:$AE$44,0,MATCH(C$1,'Durée formacode'!$C$1:$AE$1,0)),0)))</f>
        <v>1906</v>
      </c>
      <c r="D6" cm="1">
        <f t="array" ref="D6">SUMPRODUCT((IFERROR(1*INDEX('Durée formacode'!$C$2:$AE$44,0,MATCH($A6,'Durée formacode'!$C$1:$AE$1,0)),0)&gt;
 IFERROR(1*INDEX('Durée formacode'!$C$2:$AE$44,0,MATCH(D$1,'Durée formacode'!$C$1:$AE$1,0)),0))*(IFERROR(1*INDEX('Durée formacode'!$C$2:$AE$44,0,MATCH($A6,'Durée formacode'!$C$1:$AE$1,0)),0)-IFERROR(1*INDEX('Durée formacode'!$C$2:$AE$44,0,MATCH(D$1,'Durée formacode'!$C$1:$AE$1,0)),0)))</f>
        <v>2599</v>
      </c>
      <c r="E6" cm="1">
        <f t="array" ref="E6">SUMPRODUCT((IFERROR(1*INDEX('Durée formacode'!$C$2:$AE$44,0,MATCH($A6,'Durée formacode'!$C$1:$AE$1,0)),0)&gt;
 IFERROR(1*INDEX('Durée formacode'!$C$2:$AE$44,0,MATCH(E$1,'Durée formacode'!$C$1:$AE$1,0)),0))*(IFERROR(1*INDEX('Durée formacode'!$C$2:$AE$44,0,MATCH($A6,'Durée formacode'!$C$1:$AE$1,0)),0)-IFERROR(1*INDEX('Durée formacode'!$C$2:$AE$44,0,MATCH(E$1,'Durée formacode'!$C$1:$AE$1,0)),0)))</f>
        <v>1771</v>
      </c>
      <c r="F6" cm="1">
        <f t="array" ref="F6">SUMPRODUCT((IFERROR(1*INDEX('Durée formacode'!$C$2:$AE$44,0,MATCH($A6,'Durée formacode'!$C$1:$AE$1,0)),0)&gt;
 IFERROR(1*INDEX('Durée formacode'!$C$2:$AE$44,0,MATCH(F$1,'Durée formacode'!$C$1:$AE$1,0)),0))*(IFERROR(1*INDEX('Durée formacode'!$C$2:$AE$44,0,MATCH($A6,'Durée formacode'!$C$1:$AE$1,0)),0)-IFERROR(1*INDEX('Durée formacode'!$C$2:$AE$44,0,MATCH(F$1,'Durée formacode'!$C$1:$AE$1,0)),0)))</f>
        <v>0</v>
      </c>
      <c r="G6" cm="1">
        <f t="array" ref="G6">SUMPRODUCT((IFERROR(1*INDEX('Durée formacode'!$C$2:$AE$44,0,MATCH($A6,'Durée formacode'!$C$1:$AE$1,0)),0)&gt;
 IFERROR(1*INDEX('Durée formacode'!$C$2:$AE$44,0,MATCH(G$1,'Durée formacode'!$C$1:$AE$1,0)),0))*(IFERROR(1*INDEX('Durée formacode'!$C$2:$AE$44,0,MATCH($A6,'Durée formacode'!$C$1:$AE$1,0)),0)-IFERROR(1*INDEX('Durée formacode'!$C$2:$AE$44,0,MATCH(G$1,'Durée formacode'!$C$1:$AE$1,0)),0)))</f>
        <v>1086</v>
      </c>
      <c r="H6" cm="1">
        <f t="array" ref="H6">SUMPRODUCT((IFERROR(1*INDEX('Durée formacode'!$C$2:$AE$44,0,MATCH($A6,'Durée formacode'!$C$1:$AE$1,0)),0)&gt;
 IFERROR(1*INDEX('Durée formacode'!$C$2:$AE$44,0,MATCH(H$1,'Durée formacode'!$C$1:$AE$1,0)),0))*(IFERROR(1*INDEX('Durée formacode'!$C$2:$AE$44,0,MATCH($A6,'Durée formacode'!$C$1:$AE$1,0)),0)-IFERROR(1*INDEX('Durée formacode'!$C$2:$AE$44,0,MATCH(H$1,'Durée formacode'!$C$1:$AE$1,0)),0)))</f>
        <v>2078</v>
      </c>
      <c r="I6" cm="1">
        <f t="array" ref="I6">SUMPRODUCT((IFERROR(1*INDEX('Durée formacode'!$C$2:$AE$44,0,MATCH($A6,'Durée formacode'!$C$1:$AE$1,0)),0)&gt;
 IFERROR(1*INDEX('Durée formacode'!$C$2:$AE$44,0,MATCH(I$1,'Durée formacode'!$C$1:$AE$1,0)),0))*(IFERROR(1*INDEX('Durée formacode'!$C$2:$AE$44,0,MATCH($A6,'Durée formacode'!$C$1:$AE$1,0)),0)-IFERROR(1*INDEX('Durée formacode'!$C$2:$AE$44,0,MATCH(I$1,'Durée formacode'!$C$1:$AE$1,0)),0)))</f>
        <v>2599</v>
      </c>
      <c r="J6" cm="1">
        <f t="array" ref="J6">SUMPRODUCT((IFERROR(1*INDEX('Durée formacode'!$C$2:$AE$44,0,MATCH($A6,'Durée formacode'!$C$1:$AE$1,0)),0)&gt;
 IFERROR(1*INDEX('Durée formacode'!$C$2:$AE$44,0,MATCH(J$1,'Durée formacode'!$C$1:$AE$1,0)),0))*(IFERROR(1*INDEX('Durée formacode'!$C$2:$AE$44,0,MATCH($A6,'Durée formacode'!$C$1:$AE$1,0)),0)-IFERROR(1*INDEX('Durée formacode'!$C$2:$AE$44,0,MATCH(J$1,'Durée formacode'!$C$1:$AE$1,0)),0)))</f>
        <v>2209</v>
      </c>
      <c r="K6" cm="1">
        <f t="array" ref="K6">SUMPRODUCT((IFERROR(1*INDEX('Durée formacode'!$C$2:$AE$44,0,MATCH($A6,'Durée formacode'!$C$1:$AE$1,0)),0)&gt;
 IFERROR(1*INDEX('Durée formacode'!$C$2:$AE$44,0,MATCH(K$1,'Durée formacode'!$C$1:$AE$1,0)),0))*(IFERROR(1*INDEX('Durée formacode'!$C$2:$AE$44,0,MATCH($A6,'Durée formacode'!$C$1:$AE$1,0)),0)-IFERROR(1*INDEX('Durée formacode'!$C$2:$AE$44,0,MATCH(K$1,'Durée formacode'!$C$1:$AE$1,0)),0)))</f>
        <v>1528</v>
      </c>
      <c r="L6" cm="1">
        <f t="array" ref="L6">SUMPRODUCT((IFERROR(1*INDEX('Durée formacode'!$C$2:$AE$44,0,MATCH($A6,'Durée formacode'!$C$1:$AE$1,0)),0)&gt;
 IFERROR(1*INDEX('Durée formacode'!$C$2:$AE$44,0,MATCH(L$1,'Durée formacode'!$C$1:$AE$1,0)),0))*(IFERROR(1*INDEX('Durée formacode'!$C$2:$AE$44,0,MATCH($A6,'Durée formacode'!$C$1:$AE$1,0)),0)-IFERROR(1*INDEX('Durée formacode'!$C$2:$AE$44,0,MATCH(L$1,'Durée formacode'!$C$1:$AE$1,0)),0)))</f>
        <v>2599</v>
      </c>
      <c r="M6" cm="1">
        <f t="array" ref="M6">SUMPRODUCT((IFERROR(1*INDEX('Durée formacode'!$C$2:$AE$44,0,MATCH($A6,'Durée formacode'!$C$1:$AE$1,0)),0)&gt;
 IFERROR(1*INDEX('Durée formacode'!$C$2:$AE$44,0,MATCH(M$1,'Durée formacode'!$C$1:$AE$1,0)),0))*(IFERROR(1*INDEX('Durée formacode'!$C$2:$AE$44,0,MATCH($A6,'Durée formacode'!$C$1:$AE$1,0)),0)-IFERROR(1*INDEX('Durée formacode'!$C$2:$AE$44,0,MATCH(M$1,'Durée formacode'!$C$1:$AE$1,0)),0)))</f>
        <v>2200</v>
      </c>
      <c r="N6" cm="1">
        <f t="array" ref="N6">SUMPRODUCT((IFERROR(1*INDEX('Durée formacode'!$C$2:$AE$44,0,MATCH($A6,'Durée formacode'!$C$1:$AE$1,0)),0)&gt;
 IFERROR(1*INDEX('Durée formacode'!$C$2:$AE$44,0,MATCH(N$1,'Durée formacode'!$C$1:$AE$1,0)),0))*(IFERROR(1*INDEX('Durée formacode'!$C$2:$AE$44,0,MATCH($A6,'Durée formacode'!$C$1:$AE$1,0)),0)-IFERROR(1*INDEX('Durée formacode'!$C$2:$AE$44,0,MATCH(N$1,'Durée formacode'!$C$1:$AE$1,0)),0)))</f>
        <v>1296</v>
      </c>
      <c r="O6" cm="1">
        <f t="array" ref="O6">SUMPRODUCT((IFERROR(1*INDEX('Durée formacode'!$C$2:$AE$44,0,MATCH($A6,'Durée formacode'!$C$1:$AE$1,0)),0)&gt;
 IFERROR(1*INDEX('Durée formacode'!$C$2:$AE$44,0,MATCH(O$1,'Durée formacode'!$C$1:$AE$1,0)),0))*(IFERROR(1*INDEX('Durée formacode'!$C$2:$AE$44,0,MATCH($A6,'Durée formacode'!$C$1:$AE$1,0)),0)-IFERROR(1*INDEX('Durée formacode'!$C$2:$AE$44,0,MATCH(O$1,'Durée formacode'!$C$1:$AE$1,0)),0)))</f>
        <v>2519</v>
      </c>
      <c r="P6" cm="1">
        <f t="array" ref="P6">SUMPRODUCT((IFERROR(1*INDEX('Durée formacode'!$C$2:$AE$44,0,MATCH($A6,'Durée formacode'!$C$1:$AE$1,0)),0)&gt;
 IFERROR(1*INDEX('Durée formacode'!$C$2:$AE$44,0,MATCH(P$1,'Durée formacode'!$C$1:$AE$1,0)),0))*(IFERROR(1*INDEX('Durée formacode'!$C$2:$AE$44,0,MATCH($A6,'Durée formacode'!$C$1:$AE$1,0)),0)-IFERROR(1*INDEX('Durée formacode'!$C$2:$AE$44,0,MATCH(P$1,'Durée formacode'!$C$1:$AE$1,0)),0)))</f>
        <v>2445</v>
      </c>
      <c r="Q6" cm="1">
        <f t="array" ref="Q6">SUMPRODUCT((IFERROR(1*INDEX('Durée formacode'!$C$2:$AE$44,0,MATCH($A6,'Durée formacode'!$C$1:$AE$1,0)),0)&gt;
 IFERROR(1*INDEX('Durée formacode'!$C$2:$AE$44,0,MATCH(Q$1,'Durée formacode'!$C$1:$AE$1,0)),0))*(IFERROR(1*INDEX('Durée formacode'!$C$2:$AE$44,0,MATCH($A6,'Durée formacode'!$C$1:$AE$1,0)),0)-IFERROR(1*INDEX('Durée formacode'!$C$2:$AE$44,0,MATCH(Q$1,'Durée formacode'!$C$1:$AE$1,0)),0)))</f>
        <v>1433</v>
      </c>
      <c r="R6" cm="1">
        <f t="array" ref="R6">SUMPRODUCT((IFERROR(1*INDEX('Durée formacode'!$C$2:$AE$44,0,MATCH($A6,'Durée formacode'!$C$1:$AE$1,0)),0)&gt;
 IFERROR(1*INDEX('Durée formacode'!$C$2:$AE$44,0,MATCH(R$1,'Durée formacode'!$C$1:$AE$1,0)),0))*(IFERROR(1*INDEX('Durée formacode'!$C$2:$AE$44,0,MATCH($A6,'Durée formacode'!$C$1:$AE$1,0)),0)-IFERROR(1*INDEX('Durée formacode'!$C$2:$AE$44,0,MATCH(R$1,'Durée formacode'!$C$1:$AE$1,0)),0)))</f>
        <v>2078</v>
      </c>
      <c r="S6" cm="1">
        <f t="array" ref="S6">SUMPRODUCT((IFERROR(1*INDEX('Durée formacode'!$C$2:$AE$44,0,MATCH($A6,'Durée formacode'!$C$1:$AE$1,0)),0)&gt;
 IFERROR(1*INDEX('Durée formacode'!$C$2:$AE$44,0,MATCH(S$1,'Durée formacode'!$C$1:$AE$1,0)),0))*(IFERROR(1*INDEX('Durée formacode'!$C$2:$AE$44,0,MATCH($A6,'Durée formacode'!$C$1:$AE$1,0)),0)-IFERROR(1*INDEX('Durée formacode'!$C$2:$AE$44,0,MATCH(S$1,'Durée formacode'!$C$1:$AE$1,0)),0)))</f>
        <v>2274</v>
      </c>
      <c r="T6" cm="1">
        <f t="array" ref="T6">SUMPRODUCT((IFERROR(1*INDEX('Durée formacode'!$C$2:$AE$44,0,MATCH($A6,'Durée formacode'!$C$1:$AE$1,0)),0)&gt;
 IFERROR(1*INDEX('Durée formacode'!$C$2:$AE$44,0,MATCH(T$1,'Durée formacode'!$C$1:$AE$1,0)),0))*(IFERROR(1*INDEX('Durée formacode'!$C$2:$AE$44,0,MATCH($A6,'Durée formacode'!$C$1:$AE$1,0)),0)-IFERROR(1*INDEX('Durée formacode'!$C$2:$AE$44,0,MATCH(T$1,'Durée formacode'!$C$1:$AE$1,0)),0)))</f>
        <v>1906</v>
      </c>
      <c r="U6" cm="1">
        <f t="array" ref="U6">SUMPRODUCT((IFERROR(1*INDEX('Durée formacode'!$C$2:$AE$44,0,MATCH($A6,'Durée formacode'!$C$1:$AE$1,0)),0)&gt;
 IFERROR(1*INDEX('Durée formacode'!$C$2:$AE$44,0,MATCH(U$1,'Durée formacode'!$C$1:$AE$1,0)),0))*(IFERROR(1*INDEX('Durée formacode'!$C$2:$AE$44,0,MATCH($A6,'Durée formacode'!$C$1:$AE$1,0)),0)-IFERROR(1*INDEX('Durée formacode'!$C$2:$AE$44,0,MATCH(U$1,'Durée formacode'!$C$1:$AE$1,0)),0)))</f>
        <v>2274</v>
      </c>
      <c r="V6" cm="1">
        <f t="array" ref="V6">SUMPRODUCT((IFERROR(1*INDEX('Durée formacode'!$C$2:$AE$44,0,MATCH($A6,'Durée formacode'!$C$1:$AE$1,0)),0)&gt;
 IFERROR(1*INDEX('Durée formacode'!$C$2:$AE$44,0,MATCH(V$1,'Durée formacode'!$C$1:$AE$1,0)),0))*(IFERROR(1*INDEX('Durée formacode'!$C$2:$AE$44,0,MATCH($A6,'Durée formacode'!$C$1:$AE$1,0)),0)-IFERROR(1*INDEX('Durée formacode'!$C$2:$AE$44,0,MATCH(V$1,'Durée formacode'!$C$1:$AE$1,0)),0)))</f>
        <v>1800</v>
      </c>
      <c r="W6" cm="1">
        <f t="array" ref="W6">SUMPRODUCT((IFERROR(1*INDEX('Durée formacode'!$C$2:$AE$44,0,MATCH($A6,'Durée formacode'!$C$1:$AE$1,0)),0)&gt;
 IFERROR(1*INDEX('Durée formacode'!$C$2:$AE$44,0,MATCH(W$1,'Durée formacode'!$C$1:$AE$1,0)),0))*(IFERROR(1*INDEX('Durée formacode'!$C$2:$AE$44,0,MATCH($A6,'Durée formacode'!$C$1:$AE$1,0)),0)-IFERROR(1*INDEX('Durée formacode'!$C$2:$AE$44,0,MATCH(W$1,'Durée formacode'!$C$1:$AE$1,0)),0)))</f>
        <v>1800</v>
      </c>
      <c r="X6" cm="1">
        <f t="array" ref="X6">SUMPRODUCT((IFERROR(1*INDEX('Durée formacode'!$C$2:$AE$44,0,MATCH($A6,'Durée formacode'!$C$1:$AE$1,0)),0)&gt;
 IFERROR(1*INDEX('Durée formacode'!$C$2:$AE$44,0,MATCH(X$1,'Durée formacode'!$C$1:$AE$1,0)),0))*(IFERROR(1*INDEX('Durée formacode'!$C$2:$AE$44,0,MATCH($A6,'Durée formacode'!$C$1:$AE$1,0)),0)-IFERROR(1*INDEX('Durée formacode'!$C$2:$AE$44,0,MATCH(X$1,'Durée formacode'!$C$1:$AE$1,0)),0)))</f>
        <v>1574</v>
      </c>
      <c r="Y6" cm="1">
        <f t="array" ref="Y6">SUMPRODUCT((IFERROR(1*INDEX('Durée formacode'!$C$2:$AE$44,0,MATCH($A6,'Durée formacode'!$C$1:$AE$1,0)),0)&gt;
 IFERROR(1*INDEX('Durée formacode'!$C$2:$AE$44,0,MATCH(Y$1,'Durée formacode'!$C$1:$AE$1,0)),0))*(IFERROR(1*INDEX('Durée formacode'!$C$2:$AE$44,0,MATCH($A6,'Durée formacode'!$C$1:$AE$1,0)),0)-IFERROR(1*INDEX('Durée formacode'!$C$2:$AE$44,0,MATCH(Y$1,'Durée formacode'!$C$1:$AE$1,0)),0)))</f>
        <v>2344</v>
      </c>
      <c r="Z6" cm="1">
        <f t="array" ref="Z6">SUMPRODUCT((IFERROR(1*INDEX('Durée formacode'!$C$2:$AE$44,0,MATCH($A6,'Durée formacode'!$C$1:$AE$1,0)),0)&gt;
 IFERROR(1*INDEX('Durée formacode'!$C$2:$AE$44,0,MATCH(Z$1,'Durée formacode'!$C$1:$AE$1,0)),0))*(IFERROR(1*INDEX('Durée formacode'!$C$2:$AE$44,0,MATCH($A6,'Durée formacode'!$C$1:$AE$1,0)),0)-IFERROR(1*INDEX('Durée formacode'!$C$2:$AE$44,0,MATCH(Z$1,'Durée formacode'!$C$1:$AE$1,0)),0)))</f>
        <v>2344</v>
      </c>
      <c r="AA6" cm="1">
        <f t="array" ref="AA6">SUMPRODUCT((IFERROR(1*INDEX('Durée formacode'!$C$2:$AE$44,0,MATCH($A6,'Durée formacode'!$C$1:$AE$1,0)),0)&gt;
 IFERROR(1*INDEX('Durée formacode'!$C$2:$AE$44,0,MATCH(AA$1,'Durée formacode'!$C$1:$AE$1,0)),0))*(IFERROR(1*INDEX('Durée formacode'!$C$2:$AE$44,0,MATCH($A6,'Durée formacode'!$C$1:$AE$1,0)),0)-IFERROR(1*INDEX('Durée formacode'!$C$2:$AE$44,0,MATCH(AA$1,'Durée formacode'!$C$1:$AE$1,0)),0)))</f>
        <v>2344</v>
      </c>
      <c r="AB6" cm="1">
        <f t="array" ref="AB6">SUMPRODUCT((IFERROR(1*INDEX('Durée formacode'!$C$2:$AE$44,0,MATCH($A6,'Durée formacode'!$C$1:$AE$1,0)),0)&gt;
 IFERROR(1*INDEX('Durée formacode'!$C$2:$AE$44,0,MATCH(AB$1,'Durée formacode'!$C$1:$AE$1,0)),0))*(IFERROR(1*INDEX('Durée formacode'!$C$2:$AE$44,0,MATCH($A6,'Durée formacode'!$C$1:$AE$1,0)),0)-IFERROR(1*INDEX('Durée formacode'!$C$2:$AE$44,0,MATCH(AB$1,'Durée formacode'!$C$1:$AE$1,0)),0)))</f>
        <v>2445</v>
      </c>
      <c r="AC6" cm="1">
        <f t="array" ref="AC6">SUMPRODUCT((IFERROR(1*INDEX('Durée formacode'!$C$2:$AE$44,0,MATCH($A6,'Durée formacode'!$C$1:$AE$1,0)),0)&gt;
 IFERROR(1*INDEX('Durée formacode'!$C$2:$AE$44,0,MATCH(AC$1,'Durée formacode'!$C$1:$AE$1,0)),0))*(IFERROR(1*INDEX('Durée formacode'!$C$2:$AE$44,0,MATCH($A6,'Durée formacode'!$C$1:$AE$1,0)),0)-IFERROR(1*INDEX('Durée formacode'!$C$2:$AE$44,0,MATCH(AC$1,'Durée formacode'!$C$1:$AE$1,0)),0)))</f>
        <v>2445</v>
      </c>
      <c r="AD6" cm="1">
        <f t="array" ref="AD6">SUMPRODUCT((IFERROR(1*INDEX('Durée formacode'!$C$2:$AE$44,0,MATCH($A6,'Durée formacode'!$C$1:$AE$1,0)),0)&gt;
 IFERROR(1*INDEX('Durée formacode'!$C$2:$AE$44,0,MATCH(AD$1,'Durée formacode'!$C$1:$AE$1,0)),0))*(IFERROR(1*INDEX('Durée formacode'!$C$2:$AE$44,0,MATCH($A6,'Durée formacode'!$C$1:$AE$1,0)),0)-IFERROR(1*INDEX('Durée formacode'!$C$2:$AE$44,0,MATCH(AD$1,'Durée formacode'!$C$1:$AE$1,0)),0)))</f>
        <v>2445</v>
      </c>
    </row>
    <row r="7" spans="1:30">
      <c r="A7" s="55" t="str">
        <v>Superviseur(se) de production (fabrication / conditionnement)</v>
      </c>
      <c r="B7" cm="1">
        <f t="array" ref="B7">SUMPRODUCT((IFERROR(1*INDEX('Durée formacode'!$C$2:$AE$44,0,MATCH($A7,'Durée formacode'!$C$1:$AE$1,0)),0)&gt;
 IFERROR(1*INDEX('Durée formacode'!$C$2:$AE$44,0,MATCH(B$1,'Durée formacode'!$C$1:$AE$1,0)),0))*(IFERROR(1*INDEX('Durée formacode'!$C$2:$AE$44,0,MATCH($A7,'Durée formacode'!$C$1:$AE$1,0)),0)-IFERROR(1*INDEX('Durée formacode'!$C$2:$AE$44,0,MATCH(B$1,'Durée formacode'!$C$1:$AE$1,0)),0)))</f>
        <v>1408</v>
      </c>
      <c r="C7" cm="1">
        <f t="array" ref="C7">SUMPRODUCT((IFERROR(1*INDEX('Durée formacode'!$C$2:$AE$44,0,MATCH($A7,'Durée formacode'!$C$1:$AE$1,0)),0)&gt;
 IFERROR(1*INDEX('Durée formacode'!$C$2:$AE$44,0,MATCH(C$1,'Durée formacode'!$C$1:$AE$1,0)),0))*(IFERROR(1*INDEX('Durée formacode'!$C$2:$AE$44,0,MATCH($A7,'Durée formacode'!$C$1:$AE$1,0)),0)-IFERROR(1*INDEX('Durée formacode'!$C$2:$AE$44,0,MATCH(C$1,'Durée formacode'!$C$1:$AE$1,0)),0)))</f>
        <v>1437</v>
      </c>
      <c r="D7" cm="1">
        <f t="array" ref="D7">SUMPRODUCT((IFERROR(1*INDEX('Durée formacode'!$C$2:$AE$44,0,MATCH($A7,'Durée formacode'!$C$1:$AE$1,0)),0)&gt;
 IFERROR(1*INDEX('Durée formacode'!$C$2:$AE$44,0,MATCH(D$1,'Durée formacode'!$C$1:$AE$1,0)),0))*(IFERROR(1*INDEX('Durée formacode'!$C$2:$AE$44,0,MATCH($A7,'Durée formacode'!$C$1:$AE$1,0)),0)-IFERROR(1*INDEX('Durée formacode'!$C$2:$AE$44,0,MATCH(D$1,'Durée formacode'!$C$1:$AE$1,0)),0)))</f>
        <v>2126</v>
      </c>
      <c r="E7" cm="1">
        <f t="array" ref="E7">SUMPRODUCT((IFERROR(1*INDEX('Durée formacode'!$C$2:$AE$44,0,MATCH($A7,'Durée formacode'!$C$1:$AE$1,0)),0)&gt;
 IFERROR(1*INDEX('Durée formacode'!$C$2:$AE$44,0,MATCH(E$1,'Durée formacode'!$C$1:$AE$1,0)),0))*(IFERROR(1*INDEX('Durée formacode'!$C$2:$AE$44,0,MATCH($A7,'Durée formacode'!$C$1:$AE$1,0)),0)-IFERROR(1*INDEX('Durée formacode'!$C$2:$AE$44,0,MATCH(E$1,'Durée formacode'!$C$1:$AE$1,0)),0)))</f>
        <v>1105</v>
      </c>
      <c r="F7" cm="1">
        <f t="array" ref="F7">SUMPRODUCT((IFERROR(1*INDEX('Durée formacode'!$C$2:$AE$44,0,MATCH($A7,'Durée formacode'!$C$1:$AE$1,0)),0)&gt;
 IFERROR(1*INDEX('Durée formacode'!$C$2:$AE$44,0,MATCH(F$1,'Durée formacode'!$C$1:$AE$1,0)),0))*(IFERROR(1*INDEX('Durée formacode'!$C$2:$AE$44,0,MATCH($A7,'Durée formacode'!$C$1:$AE$1,0)),0)-IFERROR(1*INDEX('Durée formacode'!$C$2:$AE$44,0,MATCH(F$1,'Durée formacode'!$C$1:$AE$1,0)),0)))</f>
        <v>613</v>
      </c>
      <c r="G7" cm="1">
        <f t="array" ref="G7">SUMPRODUCT((IFERROR(1*INDEX('Durée formacode'!$C$2:$AE$44,0,MATCH($A7,'Durée formacode'!$C$1:$AE$1,0)),0)&gt;
 IFERROR(1*INDEX('Durée formacode'!$C$2:$AE$44,0,MATCH(G$1,'Durée formacode'!$C$1:$AE$1,0)),0))*(IFERROR(1*INDEX('Durée formacode'!$C$2:$AE$44,0,MATCH($A7,'Durée formacode'!$C$1:$AE$1,0)),0)-IFERROR(1*INDEX('Durée formacode'!$C$2:$AE$44,0,MATCH(G$1,'Durée formacode'!$C$1:$AE$1,0)),0)))</f>
        <v>0</v>
      </c>
      <c r="H7" cm="1">
        <f t="array" ref="H7">SUMPRODUCT((IFERROR(1*INDEX('Durée formacode'!$C$2:$AE$44,0,MATCH($A7,'Durée formacode'!$C$1:$AE$1,0)),0)&gt;
 IFERROR(1*INDEX('Durée formacode'!$C$2:$AE$44,0,MATCH(H$1,'Durée formacode'!$C$1:$AE$1,0)),0))*(IFERROR(1*INDEX('Durée formacode'!$C$2:$AE$44,0,MATCH($A7,'Durée formacode'!$C$1:$AE$1,0)),0)-IFERROR(1*INDEX('Durée formacode'!$C$2:$AE$44,0,MATCH(H$1,'Durée formacode'!$C$1:$AE$1,0)),0)))</f>
        <v>1171</v>
      </c>
      <c r="I7" cm="1">
        <f t="array" ref="I7">SUMPRODUCT((IFERROR(1*INDEX('Durée formacode'!$C$2:$AE$44,0,MATCH($A7,'Durée formacode'!$C$1:$AE$1,0)),0)&gt;
 IFERROR(1*INDEX('Durée formacode'!$C$2:$AE$44,0,MATCH(I$1,'Durée formacode'!$C$1:$AE$1,0)),0))*(IFERROR(1*INDEX('Durée formacode'!$C$2:$AE$44,0,MATCH($A7,'Durée formacode'!$C$1:$AE$1,0)),0)-IFERROR(1*INDEX('Durée formacode'!$C$2:$AE$44,0,MATCH(I$1,'Durée formacode'!$C$1:$AE$1,0)),0)))</f>
        <v>2126</v>
      </c>
      <c r="J7" cm="1">
        <f t="array" ref="J7">SUMPRODUCT((IFERROR(1*INDEX('Durée formacode'!$C$2:$AE$44,0,MATCH($A7,'Durée formacode'!$C$1:$AE$1,0)),0)&gt;
 IFERROR(1*INDEX('Durée formacode'!$C$2:$AE$44,0,MATCH(J$1,'Durée formacode'!$C$1:$AE$1,0)),0))*(IFERROR(1*INDEX('Durée formacode'!$C$2:$AE$44,0,MATCH($A7,'Durée formacode'!$C$1:$AE$1,0)),0)-IFERROR(1*INDEX('Durée formacode'!$C$2:$AE$44,0,MATCH(J$1,'Durée formacode'!$C$1:$AE$1,0)),0)))</f>
        <v>1507</v>
      </c>
      <c r="K7" cm="1">
        <f t="array" ref="K7">SUMPRODUCT((IFERROR(1*INDEX('Durée formacode'!$C$2:$AE$44,0,MATCH($A7,'Durée formacode'!$C$1:$AE$1,0)),0)&gt;
 IFERROR(1*INDEX('Durée formacode'!$C$2:$AE$44,0,MATCH(K$1,'Durée formacode'!$C$1:$AE$1,0)),0))*(IFERROR(1*INDEX('Durée formacode'!$C$2:$AE$44,0,MATCH($A7,'Durée formacode'!$C$1:$AE$1,0)),0)-IFERROR(1*INDEX('Durée formacode'!$C$2:$AE$44,0,MATCH(K$1,'Durée formacode'!$C$1:$AE$1,0)),0)))</f>
        <v>692</v>
      </c>
      <c r="L7" cm="1">
        <f t="array" ref="L7">SUMPRODUCT((IFERROR(1*INDEX('Durée formacode'!$C$2:$AE$44,0,MATCH($A7,'Durée formacode'!$C$1:$AE$1,0)),0)&gt;
 IFERROR(1*INDEX('Durée formacode'!$C$2:$AE$44,0,MATCH(L$1,'Durée formacode'!$C$1:$AE$1,0)),0))*(IFERROR(1*INDEX('Durée formacode'!$C$2:$AE$44,0,MATCH($A7,'Durée formacode'!$C$1:$AE$1,0)),0)-IFERROR(1*INDEX('Durée formacode'!$C$2:$AE$44,0,MATCH(L$1,'Durée formacode'!$C$1:$AE$1,0)),0)))</f>
        <v>2126</v>
      </c>
      <c r="M7" cm="1">
        <f t="array" ref="M7">SUMPRODUCT((IFERROR(1*INDEX('Durée formacode'!$C$2:$AE$44,0,MATCH($A7,'Durée formacode'!$C$1:$AE$1,0)),0)&gt;
 IFERROR(1*INDEX('Durée formacode'!$C$2:$AE$44,0,MATCH(M$1,'Durée formacode'!$C$1:$AE$1,0)),0))*(IFERROR(1*INDEX('Durée formacode'!$C$2:$AE$44,0,MATCH($A7,'Durée formacode'!$C$1:$AE$1,0)),0)-IFERROR(1*INDEX('Durée formacode'!$C$2:$AE$44,0,MATCH(M$1,'Durée formacode'!$C$1:$AE$1,0)),0)))</f>
        <v>1801</v>
      </c>
      <c r="N7" cm="1">
        <f t="array" ref="N7">SUMPRODUCT((IFERROR(1*INDEX('Durée formacode'!$C$2:$AE$44,0,MATCH($A7,'Durée formacode'!$C$1:$AE$1,0)),0)&gt;
 IFERROR(1*INDEX('Durée formacode'!$C$2:$AE$44,0,MATCH(N$1,'Durée formacode'!$C$1:$AE$1,0)),0))*(IFERROR(1*INDEX('Durée formacode'!$C$2:$AE$44,0,MATCH($A7,'Durée formacode'!$C$1:$AE$1,0)),0)-IFERROR(1*INDEX('Durée formacode'!$C$2:$AE$44,0,MATCH(N$1,'Durée formacode'!$C$1:$AE$1,0)),0)))</f>
        <v>746</v>
      </c>
      <c r="O7" cm="1">
        <f t="array" ref="O7">SUMPRODUCT((IFERROR(1*INDEX('Durée formacode'!$C$2:$AE$44,0,MATCH($A7,'Durée formacode'!$C$1:$AE$1,0)),0)&gt;
 IFERROR(1*INDEX('Durée formacode'!$C$2:$AE$44,0,MATCH(O$1,'Durée formacode'!$C$1:$AE$1,0)),0))*(IFERROR(1*INDEX('Durée formacode'!$C$2:$AE$44,0,MATCH($A7,'Durée formacode'!$C$1:$AE$1,0)),0)-IFERROR(1*INDEX('Durée formacode'!$C$2:$AE$44,0,MATCH(O$1,'Durée formacode'!$C$1:$AE$1,0)),0)))</f>
        <v>2046</v>
      </c>
      <c r="P7" cm="1">
        <f t="array" ref="P7">SUMPRODUCT((IFERROR(1*INDEX('Durée formacode'!$C$2:$AE$44,0,MATCH($A7,'Durée formacode'!$C$1:$AE$1,0)),0)&gt;
 IFERROR(1*INDEX('Durée formacode'!$C$2:$AE$44,0,MATCH(P$1,'Durée formacode'!$C$1:$AE$1,0)),0))*(IFERROR(1*INDEX('Durée formacode'!$C$2:$AE$44,0,MATCH($A7,'Durée formacode'!$C$1:$AE$1,0)),0)-IFERROR(1*INDEX('Durée formacode'!$C$2:$AE$44,0,MATCH(P$1,'Durée formacode'!$C$1:$AE$1,0)),0)))</f>
        <v>2046</v>
      </c>
      <c r="Q7" cm="1">
        <f t="array" ref="Q7">SUMPRODUCT((IFERROR(1*INDEX('Durée formacode'!$C$2:$AE$44,0,MATCH($A7,'Durée formacode'!$C$1:$AE$1,0)),0)&gt;
 IFERROR(1*INDEX('Durée formacode'!$C$2:$AE$44,0,MATCH(Q$1,'Durée formacode'!$C$1:$AE$1,0)),0))*(IFERROR(1*INDEX('Durée formacode'!$C$2:$AE$44,0,MATCH($A7,'Durée formacode'!$C$1:$AE$1,0)),0)-IFERROR(1*INDEX('Durée formacode'!$C$2:$AE$44,0,MATCH(Q$1,'Durée formacode'!$C$1:$AE$1,0)),0)))</f>
        <v>820</v>
      </c>
      <c r="R7" cm="1">
        <f t="array" ref="R7">SUMPRODUCT((IFERROR(1*INDEX('Durée formacode'!$C$2:$AE$44,0,MATCH($A7,'Durée formacode'!$C$1:$AE$1,0)),0)&gt;
 IFERROR(1*INDEX('Durée formacode'!$C$2:$AE$44,0,MATCH(R$1,'Durée formacode'!$C$1:$AE$1,0)),0))*(IFERROR(1*INDEX('Durée formacode'!$C$2:$AE$44,0,MATCH($A7,'Durée formacode'!$C$1:$AE$1,0)),0)-IFERROR(1*INDEX('Durée formacode'!$C$2:$AE$44,0,MATCH(R$1,'Durée formacode'!$C$1:$AE$1,0)),0)))</f>
        <v>1521</v>
      </c>
      <c r="S7" cm="1">
        <f t="array" ref="S7">SUMPRODUCT((IFERROR(1*INDEX('Durée formacode'!$C$2:$AE$44,0,MATCH($A7,'Durée formacode'!$C$1:$AE$1,0)),0)&gt;
 IFERROR(1*INDEX('Durée formacode'!$C$2:$AE$44,0,MATCH(S$1,'Durée formacode'!$C$1:$AE$1,0)),0))*(IFERROR(1*INDEX('Durée formacode'!$C$2:$AE$44,0,MATCH($A7,'Durée formacode'!$C$1:$AE$1,0)),0)-IFERROR(1*INDEX('Durée formacode'!$C$2:$AE$44,0,MATCH(S$1,'Durée formacode'!$C$1:$AE$1,0)),0)))</f>
        <v>1801</v>
      </c>
      <c r="T7" cm="1">
        <f t="array" ref="T7">SUMPRODUCT((IFERROR(1*INDEX('Durée formacode'!$C$2:$AE$44,0,MATCH($A7,'Durée formacode'!$C$1:$AE$1,0)),0)&gt;
 IFERROR(1*INDEX('Durée formacode'!$C$2:$AE$44,0,MATCH(T$1,'Durée formacode'!$C$1:$AE$1,0)),0))*(IFERROR(1*INDEX('Durée formacode'!$C$2:$AE$44,0,MATCH($A7,'Durée formacode'!$C$1:$AE$1,0)),0)-IFERROR(1*INDEX('Durée formacode'!$C$2:$AE$44,0,MATCH(T$1,'Durée formacode'!$C$1:$AE$1,0)),0)))</f>
        <v>1507</v>
      </c>
      <c r="U7" cm="1">
        <f t="array" ref="U7">SUMPRODUCT((IFERROR(1*INDEX('Durée formacode'!$C$2:$AE$44,0,MATCH($A7,'Durée formacode'!$C$1:$AE$1,0)),0)&gt;
 IFERROR(1*INDEX('Durée formacode'!$C$2:$AE$44,0,MATCH(U$1,'Durée formacode'!$C$1:$AE$1,0)),0))*(IFERROR(1*INDEX('Durée formacode'!$C$2:$AE$44,0,MATCH($A7,'Durée formacode'!$C$1:$AE$1,0)),0)-IFERROR(1*INDEX('Durée formacode'!$C$2:$AE$44,0,MATCH(U$1,'Durée formacode'!$C$1:$AE$1,0)),0)))</f>
        <v>1801</v>
      </c>
      <c r="V7" cm="1">
        <f t="array" ref="V7">SUMPRODUCT((IFERROR(1*INDEX('Durée formacode'!$C$2:$AE$44,0,MATCH($A7,'Durée formacode'!$C$1:$AE$1,0)),0)&gt;
 IFERROR(1*INDEX('Durée formacode'!$C$2:$AE$44,0,MATCH(V$1,'Durée formacode'!$C$1:$AE$1,0)),0))*(IFERROR(1*INDEX('Durée formacode'!$C$2:$AE$44,0,MATCH($A7,'Durée formacode'!$C$1:$AE$1,0)),0)-IFERROR(1*INDEX('Durée formacode'!$C$2:$AE$44,0,MATCH(V$1,'Durée formacode'!$C$1:$AE$1,0)),0)))</f>
        <v>1401</v>
      </c>
      <c r="W7" cm="1">
        <f t="array" ref="W7">SUMPRODUCT((IFERROR(1*INDEX('Durée formacode'!$C$2:$AE$44,0,MATCH($A7,'Durée formacode'!$C$1:$AE$1,0)),0)&gt;
 IFERROR(1*INDEX('Durée formacode'!$C$2:$AE$44,0,MATCH(W$1,'Durée formacode'!$C$1:$AE$1,0)),0))*(IFERROR(1*INDEX('Durée formacode'!$C$2:$AE$44,0,MATCH($A7,'Durée formacode'!$C$1:$AE$1,0)),0)-IFERROR(1*INDEX('Durée formacode'!$C$2:$AE$44,0,MATCH(W$1,'Durée formacode'!$C$1:$AE$1,0)),0)))</f>
        <v>1292</v>
      </c>
      <c r="X7" cm="1">
        <f t="array" ref="X7">SUMPRODUCT((IFERROR(1*INDEX('Durée formacode'!$C$2:$AE$44,0,MATCH($A7,'Durée formacode'!$C$1:$AE$1,0)),0)&gt;
 IFERROR(1*INDEX('Durée formacode'!$C$2:$AE$44,0,MATCH(X$1,'Durée formacode'!$C$1:$AE$1,0)),0))*(IFERROR(1*INDEX('Durée formacode'!$C$2:$AE$44,0,MATCH($A7,'Durée formacode'!$C$1:$AE$1,0)),0)-IFERROR(1*INDEX('Durée formacode'!$C$2:$AE$44,0,MATCH(X$1,'Durée formacode'!$C$1:$AE$1,0)),0)))</f>
        <v>908</v>
      </c>
      <c r="Y7" cm="1">
        <f t="array" ref="Y7">SUMPRODUCT((IFERROR(1*INDEX('Durée formacode'!$C$2:$AE$44,0,MATCH($A7,'Durée formacode'!$C$1:$AE$1,0)),0)&gt;
 IFERROR(1*INDEX('Durée formacode'!$C$2:$AE$44,0,MATCH(Y$1,'Durée formacode'!$C$1:$AE$1,0)),0))*(IFERROR(1*INDEX('Durée formacode'!$C$2:$AE$44,0,MATCH($A7,'Durée formacode'!$C$1:$AE$1,0)),0)-IFERROR(1*INDEX('Durée formacode'!$C$2:$AE$44,0,MATCH(Y$1,'Durée formacode'!$C$1:$AE$1,0)),0)))</f>
        <v>1871</v>
      </c>
      <c r="Z7" cm="1">
        <f t="array" ref="Z7">SUMPRODUCT((IFERROR(1*INDEX('Durée formacode'!$C$2:$AE$44,0,MATCH($A7,'Durée formacode'!$C$1:$AE$1,0)),0)&gt;
 IFERROR(1*INDEX('Durée formacode'!$C$2:$AE$44,0,MATCH(Z$1,'Durée formacode'!$C$1:$AE$1,0)),0))*(IFERROR(1*INDEX('Durée formacode'!$C$2:$AE$44,0,MATCH($A7,'Durée formacode'!$C$1:$AE$1,0)),0)-IFERROR(1*INDEX('Durée formacode'!$C$2:$AE$44,0,MATCH(Z$1,'Durée formacode'!$C$1:$AE$1,0)),0)))</f>
        <v>1871</v>
      </c>
      <c r="AA7" cm="1">
        <f t="array" ref="AA7">SUMPRODUCT((IFERROR(1*INDEX('Durée formacode'!$C$2:$AE$44,0,MATCH($A7,'Durée formacode'!$C$1:$AE$1,0)),0)&gt;
 IFERROR(1*INDEX('Durée formacode'!$C$2:$AE$44,0,MATCH(AA$1,'Durée formacode'!$C$1:$AE$1,0)),0))*(IFERROR(1*INDEX('Durée formacode'!$C$2:$AE$44,0,MATCH($A7,'Durée formacode'!$C$1:$AE$1,0)),0)-IFERROR(1*INDEX('Durée formacode'!$C$2:$AE$44,0,MATCH(AA$1,'Durée formacode'!$C$1:$AE$1,0)),0)))</f>
        <v>1871</v>
      </c>
      <c r="AB7" cm="1">
        <f t="array" ref="AB7">SUMPRODUCT((IFERROR(1*INDEX('Durée formacode'!$C$2:$AE$44,0,MATCH($A7,'Durée formacode'!$C$1:$AE$1,0)),0)&gt;
 IFERROR(1*INDEX('Durée formacode'!$C$2:$AE$44,0,MATCH(AB$1,'Durée formacode'!$C$1:$AE$1,0)),0))*(IFERROR(1*INDEX('Durée formacode'!$C$2:$AE$44,0,MATCH($A7,'Durée formacode'!$C$1:$AE$1,0)),0)-IFERROR(1*INDEX('Durée formacode'!$C$2:$AE$44,0,MATCH(AB$1,'Durée formacode'!$C$1:$AE$1,0)),0)))</f>
        <v>1937</v>
      </c>
      <c r="AC7" cm="1">
        <f t="array" ref="AC7">SUMPRODUCT((IFERROR(1*INDEX('Durée formacode'!$C$2:$AE$44,0,MATCH($A7,'Durée formacode'!$C$1:$AE$1,0)),0)&gt;
 IFERROR(1*INDEX('Durée formacode'!$C$2:$AE$44,0,MATCH(AC$1,'Durée formacode'!$C$1:$AE$1,0)),0))*(IFERROR(1*INDEX('Durée formacode'!$C$2:$AE$44,0,MATCH($A7,'Durée formacode'!$C$1:$AE$1,0)),0)-IFERROR(1*INDEX('Durée formacode'!$C$2:$AE$44,0,MATCH(AC$1,'Durée formacode'!$C$1:$AE$1,0)),0)))</f>
        <v>1937</v>
      </c>
      <c r="AD7" cm="1">
        <f t="array" ref="AD7">SUMPRODUCT((IFERROR(1*INDEX('Durée formacode'!$C$2:$AE$44,0,MATCH($A7,'Durée formacode'!$C$1:$AE$1,0)),0)&gt;
 IFERROR(1*INDEX('Durée formacode'!$C$2:$AE$44,0,MATCH(AD$1,'Durée formacode'!$C$1:$AE$1,0)),0))*(IFERROR(1*INDEX('Durée formacode'!$C$2:$AE$44,0,MATCH($A7,'Durée formacode'!$C$1:$AE$1,0)),0)-IFERROR(1*INDEX('Durée formacode'!$C$2:$AE$44,0,MATCH(AD$1,'Durée formacode'!$C$1:$AE$1,0)),0)))</f>
        <v>1937</v>
      </c>
    </row>
    <row r="8" spans="1:30">
      <c r="A8" s="55" t="str">
        <v>Spécialiste planning / ordonnancement</v>
      </c>
      <c r="B8" cm="1">
        <f t="array" ref="B8">SUMPRODUCT((IFERROR(1*INDEX('Durée formacode'!$C$2:$AE$44,0,MATCH($A8,'Durée formacode'!$C$1:$AE$1,0)),0)&gt;
 IFERROR(1*INDEX('Durée formacode'!$C$2:$AE$44,0,MATCH(B$1,'Durée formacode'!$C$1:$AE$1,0)),0))*(IFERROR(1*INDEX('Durée formacode'!$C$2:$AE$44,0,MATCH($A8,'Durée formacode'!$C$1:$AE$1,0)),0)-IFERROR(1*INDEX('Durée formacode'!$C$2:$AE$44,0,MATCH(B$1,'Durée formacode'!$C$1:$AE$1,0)),0)))</f>
        <v>1937</v>
      </c>
      <c r="C8" cm="1">
        <f t="array" ref="C8">SUMPRODUCT((IFERROR(1*INDEX('Durée formacode'!$C$2:$AE$44,0,MATCH($A8,'Durée formacode'!$C$1:$AE$1,0)),0)&gt;
 IFERROR(1*INDEX('Durée formacode'!$C$2:$AE$44,0,MATCH(C$1,'Durée formacode'!$C$1:$AE$1,0)),0))*(IFERROR(1*INDEX('Durée formacode'!$C$2:$AE$44,0,MATCH($A8,'Durée formacode'!$C$1:$AE$1,0)),0)-IFERROR(1*INDEX('Durée formacode'!$C$2:$AE$44,0,MATCH(C$1,'Durée formacode'!$C$1:$AE$1,0)),0)))</f>
        <v>1867</v>
      </c>
      <c r="D8" cm="1">
        <f t="array" ref="D8">SUMPRODUCT((IFERROR(1*INDEX('Durée formacode'!$C$2:$AE$44,0,MATCH($A8,'Durée formacode'!$C$1:$AE$1,0)),0)&gt;
 IFERROR(1*INDEX('Durée formacode'!$C$2:$AE$44,0,MATCH(D$1,'Durée formacode'!$C$1:$AE$1,0)),0))*(IFERROR(1*INDEX('Durée formacode'!$C$2:$AE$44,0,MATCH($A8,'Durée formacode'!$C$1:$AE$1,0)),0)-IFERROR(1*INDEX('Durée formacode'!$C$2:$AE$44,0,MATCH(D$1,'Durée formacode'!$C$1:$AE$1,0)),0)))</f>
        <v>2017</v>
      </c>
      <c r="E8" cm="1">
        <f t="array" ref="E8">SUMPRODUCT((IFERROR(1*INDEX('Durée formacode'!$C$2:$AE$44,0,MATCH($A8,'Durée formacode'!$C$1:$AE$1,0)),0)&gt;
 IFERROR(1*INDEX('Durée formacode'!$C$2:$AE$44,0,MATCH(E$1,'Durée formacode'!$C$1:$AE$1,0)),0))*(IFERROR(1*INDEX('Durée formacode'!$C$2:$AE$44,0,MATCH($A8,'Durée formacode'!$C$1:$AE$1,0)),0)-IFERROR(1*INDEX('Durée formacode'!$C$2:$AE$44,0,MATCH(E$1,'Durée formacode'!$C$1:$AE$1,0)),0)))</f>
        <v>1670</v>
      </c>
      <c r="F8" cm="1">
        <f t="array" ref="F8">SUMPRODUCT((IFERROR(1*INDEX('Durée formacode'!$C$2:$AE$44,0,MATCH($A8,'Durée formacode'!$C$1:$AE$1,0)),0)&gt;
 IFERROR(1*INDEX('Durée formacode'!$C$2:$AE$44,0,MATCH(F$1,'Durée formacode'!$C$1:$AE$1,0)),0))*(IFERROR(1*INDEX('Durée formacode'!$C$2:$AE$44,0,MATCH($A8,'Durée formacode'!$C$1:$AE$1,0)),0)-IFERROR(1*INDEX('Durée formacode'!$C$2:$AE$44,0,MATCH(F$1,'Durée formacode'!$C$1:$AE$1,0)),0)))</f>
        <v>1426</v>
      </c>
      <c r="G8" cm="1">
        <f t="array" ref="G8">SUMPRODUCT((IFERROR(1*INDEX('Durée formacode'!$C$2:$AE$44,0,MATCH($A8,'Durée formacode'!$C$1:$AE$1,0)),0)&gt;
 IFERROR(1*INDEX('Durée formacode'!$C$2:$AE$44,0,MATCH(G$1,'Durée formacode'!$C$1:$AE$1,0)),0))*(IFERROR(1*INDEX('Durée formacode'!$C$2:$AE$44,0,MATCH($A8,'Durée formacode'!$C$1:$AE$1,0)),0)-IFERROR(1*INDEX('Durée formacode'!$C$2:$AE$44,0,MATCH(G$1,'Durée formacode'!$C$1:$AE$1,0)),0)))</f>
        <v>992</v>
      </c>
      <c r="H8" cm="1">
        <f t="array" ref="H8">SUMPRODUCT((IFERROR(1*INDEX('Durée formacode'!$C$2:$AE$44,0,MATCH($A8,'Durée formacode'!$C$1:$AE$1,0)),0)&gt;
 IFERROR(1*INDEX('Durée formacode'!$C$2:$AE$44,0,MATCH(H$1,'Durée formacode'!$C$1:$AE$1,0)),0))*(IFERROR(1*INDEX('Durée formacode'!$C$2:$AE$44,0,MATCH($A8,'Durée formacode'!$C$1:$AE$1,0)),0)-IFERROR(1*INDEX('Durée formacode'!$C$2:$AE$44,0,MATCH(H$1,'Durée formacode'!$C$1:$AE$1,0)),0)))</f>
        <v>0</v>
      </c>
      <c r="I8" cm="1">
        <f t="array" ref="I8">SUMPRODUCT((IFERROR(1*INDEX('Durée formacode'!$C$2:$AE$44,0,MATCH($A8,'Durée formacode'!$C$1:$AE$1,0)),0)&gt;
 IFERROR(1*INDEX('Durée formacode'!$C$2:$AE$44,0,MATCH(I$1,'Durée formacode'!$C$1:$AE$1,0)),0))*(IFERROR(1*INDEX('Durée formacode'!$C$2:$AE$44,0,MATCH($A8,'Durée formacode'!$C$1:$AE$1,0)),0)-IFERROR(1*INDEX('Durée formacode'!$C$2:$AE$44,0,MATCH(I$1,'Durée formacode'!$C$1:$AE$1,0)),0)))</f>
        <v>2017</v>
      </c>
      <c r="J8" cm="1">
        <f t="array" ref="J8">SUMPRODUCT((IFERROR(1*INDEX('Durée formacode'!$C$2:$AE$44,0,MATCH($A8,'Durée formacode'!$C$1:$AE$1,0)),0)&gt;
 IFERROR(1*INDEX('Durée formacode'!$C$2:$AE$44,0,MATCH(J$1,'Durée formacode'!$C$1:$AE$1,0)),0))*(IFERROR(1*INDEX('Durée formacode'!$C$2:$AE$44,0,MATCH($A8,'Durée formacode'!$C$1:$AE$1,0)),0)-IFERROR(1*INDEX('Durée formacode'!$C$2:$AE$44,0,MATCH(J$1,'Durée formacode'!$C$1:$AE$1,0)),0)))</f>
        <v>1208</v>
      </c>
      <c r="K8" cm="1">
        <f t="array" ref="K8">SUMPRODUCT((IFERROR(1*INDEX('Durée formacode'!$C$2:$AE$44,0,MATCH($A8,'Durée formacode'!$C$1:$AE$1,0)),0)&gt;
 IFERROR(1*INDEX('Durée formacode'!$C$2:$AE$44,0,MATCH(K$1,'Durée formacode'!$C$1:$AE$1,0)),0))*(IFERROR(1*INDEX('Durée formacode'!$C$2:$AE$44,0,MATCH($A8,'Durée formacode'!$C$1:$AE$1,0)),0)-IFERROR(1*INDEX('Durée formacode'!$C$2:$AE$44,0,MATCH(K$1,'Durée formacode'!$C$1:$AE$1,0)),0)))</f>
        <v>608</v>
      </c>
      <c r="L8" cm="1">
        <f t="array" ref="L8">SUMPRODUCT((IFERROR(1*INDEX('Durée formacode'!$C$2:$AE$44,0,MATCH($A8,'Durée formacode'!$C$1:$AE$1,0)),0)&gt;
 IFERROR(1*INDEX('Durée formacode'!$C$2:$AE$44,0,MATCH(L$1,'Durée formacode'!$C$1:$AE$1,0)),0))*(IFERROR(1*INDEX('Durée formacode'!$C$2:$AE$44,0,MATCH($A8,'Durée formacode'!$C$1:$AE$1,0)),0)-IFERROR(1*INDEX('Durée formacode'!$C$2:$AE$44,0,MATCH(L$1,'Durée formacode'!$C$1:$AE$1,0)),0)))</f>
        <v>2017</v>
      </c>
      <c r="M8" cm="1">
        <f t="array" ref="M8">SUMPRODUCT((IFERROR(1*INDEX('Durée formacode'!$C$2:$AE$44,0,MATCH($A8,'Durée formacode'!$C$1:$AE$1,0)),0)&gt;
 IFERROR(1*INDEX('Durée formacode'!$C$2:$AE$44,0,MATCH(M$1,'Durée formacode'!$C$1:$AE$1,0)),0))*(IFERROR(1*INDEX('Durée formacode'!$C$2:$AE$44,0,MATCH($A8,'Durée formacode'!$C$1:$AE$1,0)),0)-IFERROR(1*INDEX('Durée formacode'!$C$2:$AE$44,0,MATCH(M$1,'Durée formacode'!$C$1:$AE$1,0)),0)))</f>
        <v>1937</v>
      </c>
      <c r="N8" cm="1">
        <f t="array" ref="N8">SUMPRODUCT((IFERROR(1*INDEX('Durée formacode'!$C$2:$AE$44,0,MATCH($A8,'Durée formacode'!$C$1:$AE$1,0)),0)&gt;
 IFERROR(1*INDEX('Durée formacode'!$C$2:$AE$44,0,MATCH(N$1,'Durée formacode'!$C$1:$AE$1,0)),0))*(IFERROR(1*INDEX('Durée formacode'!$C$2:$AE$44,0,MATCH($A8,'Durée formacode'!$C$1:$AE$1,0)),0)-IFERROR(1*INDEX('Durée formacode'!$C$2:$AE$44,0,MATCH(N$1,'Durée formacode'!$C$1:$AE$1,0)),0)))</f>
        <v>1082</v>
      </c>
      <c r="O8" cm="1">
        <f t="array" ref="O8">SUMPRODUCT((IFERROR(1*INDEX('Durée formacode'!$C$2:$AE$44,0,MATCH($A8,'Durée formacode'!$C$1:$AE$1,0)),0)&gt;
 IFERROR(1*INDEX('Durée formacode'!$C$2:$AE$44,0,MATCH(O$1,'Durée formacode'!$C$1:$AE$1,0)),0))*(IFERROR(1*INDEX('Durée formacode'!$C$2:$AE$44,0,MATCH($A8,'Durée formacode'!$C$1:$AE$1,0)),0)-IFERROR(1*INDEX('Durée formacode'!$C$2:$AE$44,0,MATCH(O$1,'Durée formacode'!$C$1:$AE$1,0)),0)))</f>
        <v>1937</v>
      </c>
      <c r="P8" cm="1">
        <f t="array" ref="P8">SUMPRODUCT((IFERROR(1*INDEX('Durée formacode'!$C$2:$AE$44,0,MATCH($A8,'Durée formacode'!$C$1:$AE$1,0)),0)&gt;
 IFERROR(1*INDEX('Durée formacode'!$C$2:$AE$44,0,MATCH(P$1,'Durée formacode'!$C$1:$AE$1,0)),0))*(IFERROR(1*INDEX('Durée formacode'!$C$2:$AE$44,0,MATCH($A8,'Durée formacode'!$C$1:$AE$1,0)),0)-IFERROR(1*INDEX('Durée formacode'!$C$2:$AE$44,0,MATCH(P$1,'Durée formacode'!$C$1:$AE$1,0)),0)))</f>
        <v>1937</v>
      </c>
      <c r="Q8" cm="1">
        <f t="array" ref="Q8">SUMPRODUCT((IFERROR(1*INDEX('Durée formacode'!$C$2:$AE$44,0,MATCH($A8,'Durée formacode'!$C$1:$AE$1,0)),0)&gt;
 IFERROR(1*INDEX('Durée formacode'!$C$2:$AE$44,0,MATCH(Q$1,'Durée formacode'!$C$1:$AE$1,0)),0))*(IFERROR(1*INDEX('Durée formacode'!$C$2:$AE$44,0,MATCH($A8,'Durée formacode'!$C$1:$AE$1,0)),0)-IFERROR(1*INDEX('Durée formacode'!$C$2:$AE$44,0,MATCH(Q$1,'Durée formacode'!$C$1:$AE$1,0)),0)))</f>
        <v>1277</v>
      </c>
      <c r="R8" cm="1">
        <f t="array" ref="R8">SUMPRODUCT((IFERROR(1*INDEX('Durée formacode'!$C$2:$AE$44,0,MATCH($A8,'Durée formacode'!$C$1:$AE$1,0)),0)&gt;
 IFERROR(1*INDEX('Durée formacode'!$C$2:$AE$44,0,MATCH(R$1,'Durée formacode'!$C$1:$AE$1,0)),0))*(IFERROR(1*INDEX('Durée formacode'!$C$2:$AE$44,0,MATCH($A8,'Durée formacode'!$C$1:$AE$1,0)),0)-IFERROR(1*INDEX('Durée formacode'!$C$2:$AE$44,0,MATCH(R$1,'Durée formacode'!$C$1:$AE$1,0)),0)))</f>
        <v>1042</v>
      </c>
      <c r="S8" cm="1">
        <f t="array" ref="S8">SUMPRODUCT((IFERROR(1*INDEX('Durée formacode'!$C$2:$AE$44,0,MATCH($A8,'Durée formacode'!$C$1:$AE$1,0)),0)&gt;
 IFERROR(1*INDEX('Durée formacode'!$C$2:$AE$44,0,MATCH(S$1,'Durée formacode'!$C$1:$AE$1,0)),0))*(IFERROR(1*INDEX('Durée formacode'!$C$2:$AE$44,0,MATCH($A8,'Durée formacode'!$C$1:$AE$1,0)),0)-IFERROR(1*INDEX('Durée formacode'!$C$2:$AE$44,0,MATCH(S$1,'Durée formacode'!$C$1:$AE$1,0)),0)))</f>
        <v>1937</v>
      </c>
      <c r="T8" cm="1">
        <f t="array" ref="T8">SUMPRODUCT((IFERROR(1*INDEX('Durée formacode'!$C$2:$AE$44,0,MATCH($A8,'Durée formacode'!$C$1:$AE$1,0)),0)&gt;
 IFERROR(1*INDEX('Durée formacode'!$C$2:$AE$44,0,MATCH(T$1,'Durée formacode'!$C$1:$AE$1,0)),0))*(IFERROR(1*INDEX('Durée formacode'!$C$2:$AE$44,0,MATCH($A8,'Durée formacode'!$C$1:$AE$1,0)),0)-IFERROR(1*INDEX('Durée formacode'!$C$2:$AE$44,0,MATCH(T$1,'Durée formacode'!$C$1:$AE$1,0)),0)))</f>
        <v>1937</v>
      </c>
      <c r="U8" cm="1">
        <f t="array" ref="U8">SUMPRODUCT((IFERROR(1*INDEX('Durée formacode'!$C$2:$AE$44,0,MATCH($A8,'Durée formacode'!$C$1:$AE$1,0)),0)&gt;
 IFERROR(1*INDEX('Durée formacode'!$C$2:$AE$44,0,MATCH(U$1,'Durée formacode'!$C$1:$AE$1,0)),0))*(IFERROR(1*INDEX('Durée formacode'!$C$2:$AE$44,0,MATCH($A8,'Durée formacode'!$C$1:$AE$1,0)),0)-IFERROR(1*INDEX('Durée formacode'!$C$2:$AE$44,0,MATCH(U$1,'Durée formacode'!$C$1:$AE$1,0)),0)))</f>
        <v>1937</v>
      </c>
      <c r="V8" cm="1">
        <f t="array" ref="V8">SUMPRODUCT((IFERROR(1*INDEX('Durée formacode'!$C$2:$AE$44,0,MATCH($A8,'Durée formacode'!$C$1:$AE$1,0)),0)&gt;
 IFERROR(1*INDEX('Durée formacode'!$C$2:$AE$44,0,MATCH(V$1,'Durée formacode'!$C$1:$AE$1,0)),0))*(IFERROR(1*INDEX('Durée formacode'!$C$2:$AE$44,0,MATCH($A8,'Durée formacode'!$C$1:$AE$1,0)),0)-IFERROR(1*INDEX('Durée formacode'!$C$2:$AE$44,0,MATCH(V$1,'Durée formacode'!$C$1:$AE$1,0)),0)))</f>
        <v>1937</v>
      </c>
      <c r="W8" cm="1">
        <f t="array" ref="W8">SUMPRODUCT((IFERROR(1*INDEX('Durée formacode'!$C$2:$AE$44,0,MATCH($A8,'Durée formacode'!$C$1:$AE$1,0)),0)&gt;
 IFERROR(1*INDEX('Durée formacode'!$C$2:$AE$44,0,MATCH(W$1,'Durée formacode'!$C$1:$AE$1,0)),0))*(IFERROR(1*INDEX('Durée formacode'!$C$2:$AE$44,0,MATCH($A8,'Durée formacode'!$C$1:$AE$1,0)),0)-IFERROR(1*INDEX('Durée formacode'!$C$2:$AE$44,0,MATCH(W$1,'Durée formacode'!$C$1:$AE$1,0)),0)))</f>
        <v>1937</v>
      </c>
      <c r="X8" cm="1">
        <f t="array" ref="X8">SUMPRODUCT((IFERROR(1*INDEX('Durée formacode'!$C$2:$AE$44,0,MATCH($A8,'Durée formacode'!$C$1:$AE$1,0)),0)&gt;
 IFERROR(1*INDEX('Durée formacode'!$C$2:$AE$44,0,MATCH(X$1,'Durée formacode'!$C$1:$AE$1,0)),0))*(IFERROR(1*INDEX('Durée formacode'!$C$2:$AE$44,0,MATCH($A8,'Durée formacode'!$C$1:$AE$1,0)),0)-IFERROR(1*INDEX('Durée formacode'!$C$2:$AE$44,0,MATCH(X$1,'Durée formacode'!$C$1:$AE$1,0)),0)))</f>
        <v>1173</v>
      </c>
      <c r="Y8" cm="1">
        <f t="array" ref="Y8">SUMPRODUCT((IFERROR(1*INDEX('Durée formacode'!$C$2:$AE$44,0,MATCH($A8,'Durée formacode'!$C$1:$AE$1,0)),0)&gt;
 IFERROR(1*INDEX('Durée formacode'!$C$2:$AE$44,0,MATCH(Y$1,'Durée formacode'!$C$1:$AE$1,0)),0))*(IFERROR(1*INDEX('Durée formacode'!$C$2:$AE$44,0,MATCH($A8,'Durée formacode'!$C$1:$AE$1,0)),0)-IFERROR(1*INDEX('Durée formacode'!$C$2:$AE$44,0,MATCH(Y$1,'Durée formacode'!$C$1:$AE$1,0)),0)))</f>
        <v>1937</v>
      </c>
      <c r="Z8" cm="1">
        <f t="array" ref="Z8">SUMPRODUCT((IFERROR(1*INDEX('Durée formacode'!$C$2:$AE$44,0,MATCH($A8,'Durée formacode'!$C$1:$AE$1,0)),0)&gt;
 IFERROR(1*INDEX('Durée formacode'!$C$2:$AE$44,0,MATCH(Z$1,'Durée formacode'!$C$1:$AE$1,0)),0))*(IFERROR(1*INDEX('Durée formacode'!$C$2:$AE$44,0,MATCH($A8,'Durée formacode'!$C$1:$AE$1,0)),0)-IFERROR(1*INDEX('Durée formacode'!$C$2:$AE$44,0,MATCH(Z$1,'Durée formacode'!$C$1:$AE$1,0)),0)))</f>
        <v>1937</v>
      </c>
      <c r="AA8" cm="1">
        <f t="array" ref="AA8">SUMPRODUCT((IFERROR(1*INDEX('Durée formacode'!$C$2:$AE$44,0,MATCH($A8,'Durée formacode'!$C$1:$AE$1,0)),0)&gt;
 IFERROR(1*INDEX('Durée formacode'!$C$2:$AE$44,0,MATCH(AA$1,'Durée formacode'!$C$1:$AE$1,0)),0))*(IFERROR(1*INDEX('Durée formacode'!$C$2:$AE$44,0,MATCH($A8,'Durée formacode'!$C$1:$AE$1,0)),0)-IFERROR(1*INDEX('Durée formacode'!$C$2:$AE$44,0,MATCH(AA$1,'Durée formacode'!$C$1:$AE$1,0)),0)))</f>
        <v>1937</v>
      </c>
      <c r="AB8" cm="1">
        <f t="array" ref="AB8">SUMPRODUCT((IFERROR(1*INDEX('Durée formacode'!$C$2:$AE$44,0,MATCH($A8,'Durée formacode'!$C$1:$AE$1,0)),0)&gt;
 IFERROR(1*INDEX('Durée formacode'!$C$2:$AE$44,0,MATCH(AB$1,'Durée formacode'!$C$1:$AE$1,0)),0))*(IFERROR(1*INDEX('Durée formacode'!$C$2:$AE$44,0,MATCH($A8,'Durée formacode'!$C$1:$AE$1,0)),0)-IFERROR(1*INDEX('Durée formacode'!$C$2:$AE$44,0,MATCH(AB$1,'Durée formacode'!$C$1:$AE$1,0)),0)))</f>
        <v>1937</v>
      </c>
      <c r="AC8" cm="1">
        <f t="array" ref="AC8">SUMPRODUCT((IFERROR(1*INDEX('Durée formacode'!$C$2:$AE$44,0,MATCH($A8,'Durée formacode'!$C$1:$AE$1,0)),0)&gt;
 IFERROR(1*INDEX('Durée formacode'!$C$2:$AE$44,0,MATCH(AC$1,'Durée formacode'!$C$1:$AE$1,0)),0))*(IFERROR(1*INDEX('Durée formacode'!$C$2:$AE$44,0,MATCH($A8,'Durée formacode'!$C$1:$AE$1,0)),0)-IFERROR(1*INDEX('Durée formacode'!$C$2:$AE$44,0,MATCH(AC$1,'Durée formacode'!$C$1:$AE$1,0)),0)))</f>
        <v>1937</v>
      </c>
      <c r="AD8" cm="1">
        <f t="array" ref="AD8">SUMPRODUCT((IFERROR(1*INDEX('Durée formacode'!$C$2:$AE$44,0,MATCH($A8,'Durée formacode'!$C$1:$AE$1,0)),0)&gt;
 IFERROR(1*INDEX('Durée formacode'!$C$2:$AE$44,0,MATCH(AD$1,'Durée formacode'!$C$1:$AE$1,0)),0))*(IFERROR(1*INDEX('Durée formacode'!$C$2:$AE$44,0,MATCH($A8,'Durée formacode'!$C$1:$AE$1,0)),0)-IFERROR(1*INDEX('Durée formacode'!$C$2:$AE$44,0,MATCH(AD$1,'Durée formacode'!$C$1:$AE$1,0)),0)))</f>
        <v>1937</v>
      </c>
    </row>
    <row r="9" spans="1:30">
      <c r="A9" s="55" t="str">
        <v>Opérateur(trice) logistique</v>
      </c>
      <c r="B9" cm="1">
        <f t="array" ref="B9">SUMPRODUCT((IFERROR(1*INDEX('Durée formacode'!$C$2:$AE$44,0,MATCH($A9,'Durée formacode'!$C$1:$AE$1,0)),0)&gt;
 IFERROR(1*INDEX('Durée formacode'!$C$2:$AE$44,0,MATCH(B$1,'Durée formacode'!$C$1:$AE$1,0)),0))*(IFERROR(1*INDEX('Durée formacode'!$C$2:$AE$44,0,MATCH($A9,'Durée formacode'!$C$1:$AE$1,0)),0)-IFERROR(1*INDEX('Durée formacode'!$C$2:$AE$44,0,MATCH(B$1,'Durée formacode'!$C$1:$AE$1,0)),0)))</f>
        <v>1150</v>
      </c>
      <c r="C9" cm="1">
        <f t="array" ref="C9">SUMPRODUCT((IFERROR(1*INDEX('Durée formacode'!$C$2:$AE$44,0,MATCH($A9,'Durée formacode'!$C$1:$AE$1,0)),0)&gt;
 IFERROR(1*INDEX('Durée formacode'!$C$2:$AE$44,0,MATCH(C$1,'Durée formacode'!$C$1:$AE$1,0)),0))*(IFERROR(1*INDEX('Durée formacode'!$C$2:$AE$44,0,MATCH($A9,'Durée formacode'!$C$1:$AE$1,0)),0)-IFERROR(1*INDEX('Durée formacode'!$C$2:$AE$44,0,MATCH(C$1,'Durée formacode'!$C$1:$AE$1,0)),0)))</f>
        <v>721</v>
      </c>
      <c r="D9" cm="1">
        <f t="array" ref="D9">SUMPRODUCT((IFERROR(1*INDEX('Durée formacode'!$C$2:$AE$44,0,MATCH($A9,'Durée formacode'!$C$1:$AE$1,0)),0)&gt;
 IFERROR(1*INDEX('Durée formacode'!$C$2:$AE$44,0,MATCH(D$1,'Durée formacode'!$C$1:$AE$1,0)),0))*(IFERROR(1*INDEX('Durée formacode'!$C$2:$AE$44,0,MATCH($A9,'Durée formacode'!$C$1:$AE$1,0)),0)-IFERROR(1*INDEX('Durée formacode'!$C$2:$AE$44,0,MATCH(D$1,'Durée formacode'!$C$1:$AE$1,0)),0)))</f>
        <v>0</v>
      </c>
      <c r="E9" cm="1">
        <f t="array" ref="E9">SUMPRODUCT((IFERROR(1*INDEX('Durée formacode'!$C$2:$AE$44,0,MATCH($A9,'Durée formacode'!$C$1:$AE$1,0)),0)&gt;
 IFERROR(1*INDEX('Durée formacode'!$C$2:$AE$44,0,MATCH(E$1,'Durée formacode'!$C$1:$AE$1,0)),0))*(IFERROR(1*INDEX('Durée formacode'!$C$2:$AE$44,0,MATCH($A9,'Durée formacode'!$C$1:$AE$1,0)),0)-IFERROR(1*INDEX('Durée formacode'!$C$2:$AE$44,0,MATCH(E$1,'Durée formacode'!$C$1:$AE$1,0)),0)))</f>
        <v>258</v>
      </c>
      <c r="F9" cm="1">
        <f t="array" ref="F9">SUMPRODUCT((IFERROR(1*INDEX('Durée formacode'!$C$2:$AE$44,0,MATCH($A9,'Durée formacode'!$C$1:$AE$1,0)),0)&gt;
 IFERROR(1*INDEX('Durée formacode'!$C$2:$AE$44,0,MATCH(F$1,'Durée formacode'!$C$1:$AE$1,0)),0))*(IFERROR(1*INDEX('Durée formacode'!$C$2:$AE$44,0,MATCH($A9,'Durée formacode'!$C$1:$AE$1,0)),0)-IFERROR(1*INDEX('Durée formacode'!$C$2:$AE$44,0,MATCH(F$1,'Durée formacode'!$C$1:$AE$1,0)),0)))</f>
        <v>1226</v>
      </c>
      <c r="G9" cm="1">
        <f t="array" ref="G9">SUMPRODUCT((IFERROR(1*INDEX('Durée formacode'!$C$2:$AE$44,0,MATCH($A9,'Durée formacode'!$C$1:$AE$1,0)),0)&gt;
 IFERROR(1*INDEX('Durée formacode'!$C$2:$AE$44,0,MATCH(G$1,'Durée formacode'!$C$1:$AE$1,0)),0))*(IFERROR(1*INDEX('Durée formacode'!$C$2:$AE$44,0,MATCH($A9,'Durée formacode'!$C$1:$AE$1,0)),0)-IFERROR(1*INDEX('Durée formacode'!$C$2:$AE$44,0,MATCH(G$1,'Durée formacode'!$C$1:$AE$1,0)),0)))</f>
        <v>1226</v>
      </c>
      <c r="H9" cm="1">
        <f t="array" ref="H9">SUMPRODUCT((IFERROR(1*INDEX('Durée formacode'!$C$2:$AE$44,0,MATCH($A9,'Durée formacode'!$C$1:$AE$1,0)),0)&gt;
 IFERROR(1*INDEX('Durée formacode'!$C$2:$AE$44,0,MATCH(H$1,'Durée formacode'!$C$1:$AE$1,0)),0))*(IFERROR(1*INDEX('Durée formacode'!$C$2:$AE$44,0,MATCH($A9,'Durée formacode'!$C$1:$AE$1,0)),0)-IFERROR(1*INDEX('Durée formacode'!$C$2:$AE$44,0,MATCH(H$1,'Durée formacode'!$C$1:$AE$1,0)),0)))</f>
        <v>1296</v>
      </c>
      <c r="I9" cm="1">
        <f t="array" ref="I9">SUMPRODUCT((IFERROR(1*INDEX('Durée formacode'!$C$2:$AE$44,0,MATCH($A9,'Durée formacode'!$C$1:$AE$1,0)),0)&gt;
 IFERROR(1*INDEX('Durée formacode'!$C$2:$AE$44,0,MATCH(I$1,'Durée formacode'!$C$1:$AE$1,0)),0))*(IFERROR(1*INDEX('Durée formacode'!$C$2:$AE$44,0,MATCH($A9,'Durée formacode'!$C$1:$AE$1,0)),0)-IFERROR(1*INDEX('Durée formacode'!$C$2:$AE$44,0,MATCH(I$1,'Durée formacode'!$C$1:$AE$1,0)),0)))</f>
        <v>0</v>
      </c>
      <c r="J9" cm="1">
        <f t="array" ref="J9">SUMPRODUCT((IFERROR(1*INDEX('Durée formacode'!$C$2:$AE$44,0,MATCH($A9,'Durée formacode'!$C$1:$AE$1,0)),0)&gt;
 IFERROR(1*INDEX('Durée formacode'!$C$2:$AE$44,0,MATCH(J$1,'Durée formacode'!$C$1:$AE$1,0)),0))*(IFERROR(1*INDEX('Durée formacode'!$C$2:$AE$44,0,MATCH($A9,'Durée formacode'!$C$1:$AE$1,0)),0)-IFERROR(1*INDEX('Durée formacode'!$C$2:$AE$44,0,MATCH(J$1,'Durée formacode'!$C$1:$AE$1,0)),0)))</f>
        <v>1186</v>
      </c>
      <c r="K9" cm="1">
        <f t="array" ref="K9">SUMPRODUCT((IFERROR(1*INDEX('Durée formacode'!$C$2:$AE$44,0,MATCH($A9,'Durée formacode'!$C$1:$AE$1,0)),0)&gt;
 IFERROR(1*INDEX('Durée formacode'!$C$2:$AE$44,0,MATCH(K$1,'Durée formacode'!$C$1:$AE$1,0)),0))*(IFERROR(1*INDEX('Durée formacode'!$C$2:$AE$44,0,MATCH($A9,'Durée formacode'!$C$1:$AE$1,0)),0)-IFERROR(1*INDEX('Durée formacode'!$C$2:$AE$44,0,MATCH(K$1,'Durée formacode'!$C$1:$AE$1,0)),0)))</f>
        <v>1226</v>
      </c>
      <c r="L9" cm="1">
        <f t="array" ref="L9">SUMPRODUCT((IFERROR(1*INDEX('Durée formacode'!$C$2:$AE$44,0,MATCH($A9,'Durée formacode'!$C$1:$AE$1,0)),0)&gt;
 IFERROR(1*INDEX('Durée formacode'!$C$2:$AE$44,0,MATCH(L$1,'Durée formacode'!$C$1:$AE$1,0)),0))*(IFERROR(1*INDEX('Durée formacode'!$C$2:$AE$44,0,MATCH($A9,'Durée formacode'!$C$1:$AE$1,0)),0)-IFERROR(1*INDEX('Durée formacode'!$C$2:$AE$44,0,MATCH(L$1,'Durée formacode'!$C$1:$AE$1,0)),0)))</f>
        <v>1150</v>
      </c>
      <c r="M9" cm="1">
        <f t="array" ref="M9">SUMPRODUCT((IFERROR(1*INDEX('Durée formacode'!$C$2:$AE$44,0,MATCH($A9,'Durée formacode'!$C$1:$AE$1,0)),0)&gt;
 IFERROR(1*INDEX('Durée formacode'!$C$2:$AE$44,0,MATCH(M$1,'Durée formacode'!$C$1:$AE$1,0)),0))*(IFERROR(1*INDEX('Durée formacode'!$C$2:$AE$44,0,MATCH($A9,'Durée formacode'!$C$1:$AE$1,0)),0)-IFERROR(1*INDEX('Durée formacode'!$C$2:$AE$44,0,MATCH(M$1,'Durée formacode'!$C$1:$AE$1,0)),0)))</f>
        <v>1226</v>
      </c>
      <c r="N9" cm="1">
        <f t="array" ref="N9">SUMPRODUCT((IFERROR(1*INDEX('Durée formacode'!$C$2:$AE$44,0,MATCH($A9,'Durée formacode'!$C$1:$AE$1,0)),0)&gt;
 IFERROR(1*INDEX('Durée formacode'!$C$2:$AE$44,0,MATCH(N$1,'Durée formacode'!$C$1:$AE$1,0)),0))*(IFERROR(1*INDEX('Durée formacode'!$C$2:$AE$44,0,MATCH($A9,'Durée formacode'!$C$1:$AE$1,0)),0)-IFERROR(1*INDEX('Durée formacode'!$C$2:$AE$44,0,MATCH(N$1,'Durée formacode'!$C$1:$AE$1,0)),0)))</f>
        <v>1226</v>
      </c>
      <c r="O9" cm="1">
        <f t="array" ref="O9">SUMPRODUCT((IFERROR(1*INDEX('Durée formacode'!$C$2:$AE$44,0,MATCH($A9,'Durée formacode'!$C$1:$AE$1,0)),0)&gt;
 IFERROR(1*INDEX('Durée formacode'!$C$2:$AE$44,0,MATCH(O$1,'Durée formacode'!$C$1:$AE$1,0)),0))*(IFERROR(1*INDEX('Durée formacode'!$C$2:$AE$44,0,MATCH($A9,'Durée formacode'!$C$1:$AE$1,0)),0)-IFERROR(1*INDEX('Durée formacode'!$C$2:$AE$44,0,MATCH(O$1,'Durée formacode'!$C$1:$AE$1,0)),0)))</f>
        <v>1150</v>
      </c>
      <c r="P9" cm="1">
        <f t="array" ref="P9">SUMPRODUCT((IFERROR(1*INDEX('Durée formacode'!$C$2:$AE$44,0,MATCH($A9,'Durée formacode'!$C$1:$AE$1,0)),0)&gt;
 IFERROR(1*INDEX('Durée formacode'!$C$2:$AE$44,0,MATCH(P$1,'Durée formacode'!$C$1:$AE$1,0)),0))*(IFERROR(1*INDEX('Durée formacode'!$C$2:$AE$44,0,MATCH($A9,'Durée formacode'!$C$1:$AE$1,0)),0)-IFERROR(1*INDEX('Durée formacode'!$C$2:$AE$44,0,MATCH(P$1,'Durée formacode'!$C$1:$AE$1,0)),0)))</f>
        <v>1220</v>
      </c>
      <c r="Q9" cm="1">
        <f t="array" ref="Q9">SUMPRODUCT((IFERROR(1*INDEX('Durée formacode'!$C$2:$AE$44,0,MATCH($A9,'Durée formacode'!$C$1:$AE$1,0)),0)&gt;
 IFERROR(1*INDEX('Durée formacode'!$C$2:$AE$44,0,MATCH(Q$1,'Durée formacode'!$C$1:$AE$1,0)),0))*(IFERROR(1*INDEX('Durée formacode'!$C$2:$AE$44,0,MATCH($A9,'Durée formacode'!$C$1:$AE$1,0)),0)-IFERROR(1*INDEX('Durée formacode'!$C$2:$AE$44,0,MATCH(Q$1,'Durée formacode'!$C$1:$AE$1,0)),0)))</f>
        <v>721</v>
      </c>
      <c r="R9" cm="1">
        <f t="array" ref="R9">SUMPRODUCT((IFERROR(1*INDEX('Durée formacode'!$C$2:$AE$44,0,MATCH($A9,'Durée formacode'!$C$1:$AE$1,0)),0)&gt;
 IFERROR(1*INDEX('Durée formacode'!$C$2:$AE$44,0,MATCH(R$1,'Durée formacode'!$C$1:$AE$1,0)),0))*(IFERROR(1*INDEX('Durée formacode'!$C$2:$AE$44,0,MATCH($A9,'Durée formacode'!$C$1:$AE$1,0)),0)-IFERROR(1*INDEX('Durée formacode'!$C$2:$AE$44,0,MATCH(R$1,'Durée formacode'!$C$1:$AE$1,0)),0)))</f>
        <v>1296</v>
      </c>
      <c r="S9" cm="1">
        <f t="array" ref="S9">SUMPRODUCT((IFERROR(1*INDEX('Durée formacode'!$C$2:$AE$44,0,MATCH($A9,'Durée formacode'!$C$1:$AE$1,0)),0)&gt;
 IFERROR(1*INDEX('Durée formacode'!$C$2:$AE$44,0,MATCH(S$1,'Durée formacode'!$C$1:$AE$1,0)),0))*(IFERROR(1*INDEX('Durée formacode'!$C$2:$AE$44,0,MATCH($A9,'Durée formacode'!$C$1:$AE$1,0)),0)-IFERROR(1*INDEX('Durée formacode'!$C$2:$AE$44,0,MATCH(S$1,'Durée formacode'!$C$1:$AE$1,0)),0)))</f>
        <v>1150</v>
      </c>
      <c r="T9" cm="1">
        <f t="array" ref="T9">SUMPRODUCT((IFERROR(1*INDEX('Durée formacode'!$C$2:$AE$44,0,MATCH($A9,'Durée formacode'!$C$1:$AE$1,0)),0)&gt;
 IFERROR(1*INDEX('Durée formacode'!$C$2:$AE$44,0,MATCH(T$1,'Durée formacode'!$C$1:$AE$1,0)),0))*(IFERROR(1*INDEX('Durée formacode'!$C$2:$AE$44,0,MATCH($A9,'Durée formacode'!$C$1:$AE$1,0)),0)-IFERROR(1*INDEX('Durée formacode'!$C$2:$AE$44,0,MATCH(T$1,'Durée formacode'!$C$1:$AE$1,0)),0)))</f>
        <v>1150</v>
      </c>
      <c r="U9" cm="1">
        <f t="array" ref="U9">SUMPRODUCT((IFERROR(1*INDEX('Durée formacode'!$C$2:$AE$44,0,MATCH($A9,'Durée formacode'!$C$1:$AE$1,0)),0)&gt;
 IFERROR(1*INDEX('Durée formacode'!$C$2:$AE$44,0,MATCH(U$1,'Durée formacode'!$C$1:$AE$1,0)),0))*(IFERROR(1*INDEX('Durée formacode'!$C$2:$AE$44,0,MATCH($A9,'Durée formacode'!$C$1:$AE$1,0)),0)-IFERROR(1*INDEX('Durée formacode'!$C$2:$AE$44,0,MATCH(U$1,'Durée formacode'!$C$1:$AE$1,0)),0)))</f>
        <v>1150</v>
      </c>
      <c r="V9" cm="1">
        <f t="array" ref="V9">SUMPRODUCT((IFERROR(1*INDEX('Durée formacode'!$C$2:$AE$44,0,MATCH($A9,'Durée formacode'!$C$1:$AE$1,0)),0)&gt;
 IFERROR(1*INDEX('Durée formacode'!$C$2:$AE$44,0,MATCH(V$1,'Durée formacode'!$C$1:$AE$1,0)),0))*(IFERROR(1*INDEX('Durée formacode'!$C$2:$AE$44,0,MATCH($A9,'Durée formacode'!$C$1:$AE$1,0)),0)-IFERROR(1*INDEX('Durée formacode'!$C$2:$AE$44,0,MATCH(V$1,'Durée formacode'!$C$1:$AE$1,0)),0)))</f>
        <v>1150</v>
      </c>
      <c r="W9" cm="1">
        <f t="array" ref="W9">SUMPRODUCT((IFERROR(1*INDEX('Durée formacode'!$C$2:$AE$44,0,MATCH($A9,'Durée formacode'!$C$1:$AE$1,0)),0)&gt;
 IFERROR(1*INDEX('Durée formacode'!$C$2:$AE$44,0,MATCH(W$1,'Durée formacode'!$C$1:$AE$1,0)),0))*(IFERROR(1*INDEX('Durée formacode'!$C$2:$AE$44,0,MATCH($A9,'Durée formacode'!$C$1:$AE$1,0)),0)-IFERROR(1*INDEX('Durée formacode'!$C$2:$AE$44,0,MATCH(W$1,'Durée formacode'!$C$1:$AE$1,0)),0)))</f>
        <v>1226</v>
      </c>
      <c r="X9" cm="1">
        <f t="array" ref="X9">SUMPRODUCT((IFERROR(1*INDEX('Durée formacode'!$C$2:$AE$44,0,MATCH($A9,'Durée formacode'!$C$1:$AE$1,0)),0)&gt;
 IFERROR(1*INDEX('Durée formacode'!$C$2:$AE$44,0,MATCH(X$1,'Durée formacode'!$C$1:$AE$1,0)),0))*(IFERROR(1*INDEX('Durée formacode'!$C$2:$AE$44,0,MATCH($A9,'Durée formacode'!$C$1:$AE$1,0)),0)-IFERROR(1*INDEX('Durée formacode'!$C$2:$AE$44,0,MATCH(X$1,'Durée formacode'!$C$1:$AE$1,0)),0)))</f>
        <v>258</v>
      </c>
      <c r="Y9" cm="1">
        <f t="array" ref="Y9">SUMPRODUCT((IFERROR(1*INDEX('Durée formacode'!$C$2:$AE$44,0,MATCH($A9,'Durée formacode'!$C$1:$AE$1,0)),0)&gt;
 IFERROR(1*INDEX('Durée formacode'!$C$2:$AE$44,0,MATCH(Y$1,'Durée formacode'!$C$1:$AE$1,0)),0))*(IFERROR(1*INDEX('Durée formacode'!$C$2:$AE$44,0,MATCH($A9,'Durée formacode'!$C$1:$AE$1,0)),0)-IFERROR(1*INDEX('Durée formacode'!$C$2:$AE$44,0,MATCH(Y$1,'Durée formacode'!$C$1:$AE$1,0)),0)))</f>
        <v>1150</v>
      </c>
      <c r="Z9" cm="1">
        <f t="array" ref="Z9">SUMPRODUCT((IFERROR(1*INDEX('Durée formacode'!$C$2:$AE$44,0,MATCH($A9,'Durée formacode'!$C$1:$AE$1,0)),0)&gt;
 IFERROR(1*INDEX('Durée formacode'!$C$2:$AE$44,0,MATCH(Z$1,'Durée formacode'!$C$1:$AE$1,0)),0))*(IFERROR(1*INDEX('Durée formacode'!$C$2:$AE$44,0,MATCH($A9,'Durée formacode'!$C$1:$AE$1,0)),0)-IFERROR(1*INDEX('Durée formacode'!$C$2:$AE$44,0,MATCH(Z$1,'Durée formacode'!$C$1:$AE$1,0)),0)))</f>
        <v>1150</v>
      </c>
      <c r="AA9" cm="1">
        <f t="array" ref="AA9">SUMPRODUCT((IFERROR(1*INDEX('Durée formacode'!$C$2:$AE$44,0,MATCH($A9,'Durée formacode'!$C$1:$AE$1,0)),0)&gt;
 IFERROR(1*INDEX('Durée formacode'!$C$2:$AE$44,0,MATCH(AA$1,'Durée formacode'!$C$1:$AE$1,0)),0))*(IFERROR(1*INDEX('Durée formacode'!$C$2:$AE$44,0,MATCH($A9,'Durée formacode'!$C$1:$AE$1,0)),0)-IFERROR(1*INDEX('Durée formacode'!$C$2:$AE$44,0,MATCH(AA$1,'Durée formacode'!$C$1:$AE$1,0)),0)))</f>
        <v>1150</v>
      </c>
      <c r="AB9" cm="1">
        <f t="array" ref="AB9">SUMPRODUCT((IFERROR(1*INDEX('Durée formacode'!$C$2:$AE$44,0,MATCH($A9,'Durée formacode'!$C$1:$AE$1,0)),0)&gt;
 IFERROR(1*INDEX('Durée formacode'!$C$2:$AE$44,0,MATCH(AB$1,'Durée formacode'!$C$1:$AE$1,0)),0))*(IFERROR(1*INDEX('Durée formacode'!$C$2:$AE$44,0,MATCH($A9,'Durée formacode'!$C$1:$AE$1,0)),0)-IFERROR(1*INDEX('Durée formacode'!$C$2:$AE$44,0,MATCH(AB$1,'Durée formacode'!$C$1:$AE$1,0)),0)))</f>
        <v>1220</v>
      </c>
      <c r="AC9" cm="1">
        <f t="array" ref="AC9">SUMPRODUCT((IFERROR(1*INDEX('Durée formacode'!$C$2:$AE$44,0,MATCH($A9,'Durée formacode'!$C$1:$AE$1,0)),0)&gt;
 IFERROR(1*INDEX('Durée formacode'!$C$2:$AE$44,0,MATCH(AC$1,'Durée formacode'!$C$1:$AE$1,0)),0))*(IFERROR(1*INDEX('Durée formacode'!$C$2:$AE$44,0,MATCH($A9,'Durée formacode'!$C$1:$AE$1,0)),0)-IFERROR(1*INDEX('Durée formacode'!$C$2:$AE$44,0,MATCH(AC$1,'Durée formacode'!$C$1:$AE$1,0)),0)))</f>
        <v>1220</v>
      </c>
      <c r="AD9" cm="1">
        <f t="array" ref="AD9">SUMPRODUCT((IFERROR(1*INDEX('Durée formacode'!$C$2:$AE$44,0,MATCH($A9,'Durée formacode'!$C$1:$AE$1,0)),0)&gt;
 IFERROR(1*INDEX('Durée formacode'!$C$2:$AE$44,0,MATCH(AD$1,'Durée formacode'!$C$1:$AE$1,0)),0))*(IFERROR(1*INDEX('Durée formacode'!$C$2:$AE$44,0,MATCH($A9,'Durée formacode'!$C$1:$AE$1,0)),0)-IFERROR(1*INDEX('Durée formacode'!$C$2:$AE$44,0,MATCH(AD$1,'Durée formacode'!$C$1:$AE$1,0)),0)))</f>
        <v>1220</v>
      </c>
    </row>
    <row r="10" spans="1:30">
      <c r="A10" s="55" t="str">
        <v>Logisticien(ne) approvisionneur(se)</v>
      </c>
      <c r="B10" cm="1">
        <f t="array" ref="B10">SUMPRODUCT((IFERROR(1*INDEX('Durée formacode'!$C$2:$AE$44,0,MATCH($A10,'Durée formacode'!$C$1:$AE$1,0)),0)&gt;
 IFERROR(1*INDEX('Durée formacode'!$C$2:$AE$44,0,MATCH(B$1,'Durée formacode'!$C$1:$AE$1,0)),0))*(IFERROR(1*INDEX('Durée formacode'!$C$2:$AE$44,0,MATCH($A10,'Durée formacode'!$C$1:$AE$1,0)),0)-IFERROR(1*INDEX('Durée formacode'!$C$2:$AE$44,0,MATCH(B$1,'Durée formacode'!$C$1:$AE$1,0)),0)))</f>
        <v>2432</v>
      </c>
      <c r="C10" cm="1">
        <f t="array" ref="C10">SUMPRODUCT((IFERROR(1*INDEX('Durée formacode'!$C$2:$AE$44,0,MATCH($A10,'Durée formacode'!$C$1:$AE$1,0)),0)&gt;
 IFERROR(1*INDEX('Durée formacode'!$C$2:$AE$44,0,MATCH(C$1,'Durée formacode'!$C$1:$AE$1,0)),0))*(IFERROR(1*INDEX('Durée formacode'!$C$2:$AE$44,0,MATCH($A10,'Durée formacode'!$C$1:$AE$1,0)),0)-IFERROR(1*INDEX('Durée formacode'!$C$2:$AE$44,0,MATCH(C$1,'Durée formacode'!$C$1:$AE$1,0)),0)))</f>
        <v>2432</v>
      </c>
      <c r="D10" cm="1">
        <f t="array" ref="D10">SUMPRODUCT((IFERROR(1*INDEX('Durée formacode'!$C$2:$AE$44,0,MATCH($A10,'Durée formacode'!$C$1:$AE$1,0)),0)&gt;
 IFERROR(1*INDEX('Durée formacode'!$C$2:$AE$44,0,MATCH(D$1,'Durée formacode'!$C$1:$AE$1,0)),0))*(IFERROR(1*INDEX('Durée formacode'!$C$2:$AE$44,0,MATCH($A10,'Durée formacode'!$C$1:$AE$1,0)),0)-IFERROR(1*INDEX('Durée formacode'!$C$2:$AE$44,0,MATCH(D$1,'Durée formacode'!$C$1:$AE$1,0)),0)))</f>
        <v>2402</v>
      </c>
      <c r="E10" cm="1">
        <f t="array" ref="E10">SUMPRODUCT((IFERROR(1*INDEX('Durée formacode'!$C$2:$AE$44,0,MATCH($A10,'Durée formacode'!$C$1:$AE$1,0)),0)&gt;
 IFERROR(1*INDEX('Durée formacode'!$C$2:$AE$44,0,MATCH(E$1,'Durée formacode'!$C$1:$AE$1,0)),0))*(IFERROR(1*INDEX('Durée formacode'!$C$2:$AE$44,0,MATCH($A10,'Durée formacode'!$C$1:$AE$1,0)),0)-IFERROR(1*INDEX('Durée formacode'!$C$2:$AE$44,0,MATCH(E$1,'Durée formacode'!$C$1:$AE$1,0)),0)))</f>
        <v>1334</v>
      </c>
      <c r="F10" cm="1">
        <f t="array" ref="F10">SUMPRODUCT((IFERROR(1*INDEX('Durée formacode'!$C$2:$AE$44,0,MATCH($A10,'Durée formacode'!$C$1:$AE$1,0)),0)&gt;
 IFERROR(1*INDEX('Durée formacode'!$C$2:$AE$44,0,MATCH(F$1,'Durée formacode'!$C$1:$AE$1,0)),0))*(IFERROR(1*INDEX('Durée formacode'!$C$2:$AE$44,0,MATCH($A10,'Durée formacode'!$C$1:$AE$1,0)),0)-IFERROR(1*INDEX('Durée formacode'!$C$2:$AE$44,0,MATCH(F$1,'Durée formacode'!$C$1:$AE$1,0)),0)))</f>
        <v>2052</v>
      </c>
      <c r="G10" cm="1">
        <f t="array" ref="G10">SUMPRODUCT((IFERROR(1*INDEX('Durée formacode'!$C$2:$AE$44,0,MATCH($A10,'Durée formacode'!$C$1:$AE$1,0)),0)&gt;
 IFERROR(1*INDEX('Durée formacode'!$C$2:$AE$44,0,MATCH(G$1,'Durée formacode'!$C$1:$AE$1,0)),0))*(IFERROR(1*INDEX('Durée formacode'!$C$2:$AE$44,0,MATCH($A10,'Durée formacode'!$C$1:$AE$1,0)),0)-IFERROR(1*INDEX('Durée formacode'!$C$2:$AE$44,0,MATCH(G$1,'Durée formacode'!$C$1:$AE$1,0)),0)))</f>
        <v>1823</v>
      </c>
      <c r="H10" cm="1">
        <f t="array" ref="H10">SUMPRODUCT((IFERROR(1*INDEX('Durée formacode'!$C$2:$AE$44,0,MATCH($A10,'Durée formacode'!$C$1:$AE$1,0)),0)&gt;
 IFERROR(1*INDEX('Durée formacode'!$C$2:$AE$44,0,MATCH(H$1,'Durée formacode'!$C$1:$AE$1,0)),0))*(IFERROR(1*INDEX('Durée formacode'!$C$2:$AE$44,0,MATCH($A10,'Durée formacode'!$C$1:$AE$1,0)),0)-IFERROR(1*INDEX('Durée formacode'!$C$2:$AE$44,0,MATCH(H$1,'Durée formacode'!$C$1:$AE$1,0)),0)))</f>
        <v>1703</v>
      </c>
      <c r="I10" cm="1">
        <f t="array" ref="I10">SUMPRODUCT((IFERROR(1*INDEX('Durée formacode'!$C$2:$AE$44,0,MATCH($A10,'Durée formacode'!$C$1:$AE$1,0)),0)&gt;
 IFERROR(1*INDEX('Durée formacode'!$C$2:$AE$44,0,MATCH(I$1,'Durée formacode'!$C$1:$AE$1,0)),0))*(IFERROR(1*INDEX('Durée formacode'!$C$2:$AE$44,0,MATCH($A10,'Durée formacode'!$C$1:$AE$1,0)),0)-IFERROR(1*INDEX('Durée formacode'!$C$2:$AE$44,0,MATCH(I$1,'Durée formacode'!$C$1:$AE$1,0)),0)))</f>
        <v>2402</v>
      </c>
      <c r="J10" cm="1">
        <f t="array" ref="J10">SUMPRODUCT((IFERROR(1*INDEX('Durée formacode'!$C$2:$AE$44,0,MATCH($A10,'Durée formacode'!$C$1:$AE$1,0)),0)&gt;
 IFERROR(1*INDEX('Durée formacode'!$C$2:$AE$44,0,MATCH(J$1,'Durée formacode'!$C$1:$AE$1,0)),0))*(IFERROR(1*INDEX('Durée formacode'!$C$2:$AE$44,0,MATCH($A10,'Durée formacode'!$C$1:$AE$1,0)),0)-IFERROR(1*INDEX('Durée formacode'!$C$2:$AE$44,0,MATCH(J$1,'Durée formacode'!$C$1:$AE$1,0)),0)))</f>
        <v>0</v>
      </c>
      <c r="K10" cm="1">
        <f t="array" ref="K10">SUMPRODUCT((IFERROR(1*INDEX('Durée formacode'!$C$2:$AE$44,0,MATCH($A10,'Durée formacode'!$C$1:$AE$1,0)),0)&gt;
 IFERROR(1*INDEX('Durée formacode'!$C$2:$AE$44,0,MATCH(K$1,'Durée formacode'!$C$1:$AE$1,0)),0))*(IFERROR(1*INDEX('Durée formacode'!$C$2:$AE$44,0,MATCH($A10,'Durée formacode'!$C$1:$AE$1,0)),0)-IFERROR(1*INDEX('Durée formacode'!$C$2:$AE$44,0,MATCH(K$1,'Durée formacode'!$C$1:$AE$1,0)),0)))</f>
        <v>1865</v>
      </c>
      <c r="L10" cm="1">
        <f t="array" ref="L10">SUMPRODUCT((IFERROR(1*INDEX('Durée formacode'!$C$2:$AE$44,0,MATCH($A10,'Durée formacode'!$C$1:$AE$1,0)),0)&gt;
 IFERROR(1*INDEX('Durée formacode'!$C$2:$AE$44,0,MATCH(L$1,'Durée formacode'!$C$1:$AE$1,0)),0))*(IFERROR(1*INDEX('Durée formacode'!$C$2:$AE$44,0,MATCH($A10,'Durée formacode'!$C$1:$AE$1,0)),0)-IFERROR(1*INDEX('Durée formacode'!$C$2:$AE$44,0,MATCH(L$1,'Durée formacode'!$C$1:$AE$1,0)),0)))</f>
        <v>2512</v>
      </c>
      <c r="M10" cm="1">
        <f t="array" ref="M10">SUMPRODUCT((IFERROR(1*INDEX('Durée formacode'!$C$2:$AE$44,0,MATCH($A10,'Durée formacode'!$C$1:$AE$1,0)),0)&gt;
 IFERROR(1*INDEX('Durée formacode'!$C$2:$AE$44,0,MATCH(M$1,'Durée formacode'!$C$1:$AE$1,0)),0))*(IFERROR(1*INDEX('Durée formacode'!$C$2:$AE$44,0,MATCH($A10,'Durée formacode'!$C$1:$AE$1,0)),0)-IFERROR(1*INDEX('Durée formacode'!$C$2:$AE$44,0,MATCH(M$1,'Durée formacode'!$C$1:$AE$1,0)),0)))</f>
        <v>2432</v>
      </c>
      <c r="N10" cm="1">
        <f t="array" ref="N10">SUMPRODUCT((IFERROR(1*INDEX('Durée formacode'!$C$2:$AE$44,0,MATCH($A10,'Durée formacode'!$C$1:$AE$1,0)),0)&gt;
 IFERROR(1*INDEX('Durée formacode'!$C$2:$AE$44,0,MATCH(N$1,'Durée formacode'!$C$1:$AE$1,0)),0))*(IFERROR(1*INDEX('Durée formacode'!$C$2:$AE$44,0,MATCH($A10,'Durée formacode'!$C$1:$AE$1,0)),0)-IFERROR(1*INDEX('Durée formacode'!$C$2:$AE$44,0,MATCH(N$1,'Durée formacode'!$C$1:$AE$1,0)),0)))</f>
        <v>1729</v>
      </c>
      <c r="O10" cm="1">
        <f t="array" ref="O10">SUMPRODUCT((IFERROR(1*INDEX('Durée formacode'!$C$2:$AE$44,0,MATCH($A10,'Durée formacode'!$C$1:$AE$1,0)),0)&gt;
 IFERROR(1*INDEX('Durée formacode'!$C$2:$AE$44,0,MATCH(O$1,'Durée formacode'!$C$1:$AE$1,0)),0))*(IFERROR(1*INDEX('Durée formacode'!$C$2:$AE$44,0,MATCH($A10,'Durée formacode'!$C$1:$AE$1,0)),0)-IFERROR(1*INDEX('Durée formacode'!$C$2:$AE$44,0,MATCH(O$1,'Durée formacode'!$C$1:$AE$1,0)),0)))</f>
        <v>2432</v>
      </c>
      <c r="P10" cm="1">
        <f t="array" ref="P10">SUMPRODUCT((IFERROR(1*INDEX('Durée formacode'!$C$2:$AE$44,0,MATCH($A10,'Durée formacode'!$C$1:$AE$1,0)),0)&gt;
 IFERROR(1*INDEX('Durée formacode'!$C$2:$AE$44,0,MATCH(P$1,'Durée formacode'!$C$1:$AE$1,0)),0))*(IFERROR(1*INDEX('Durée formacode'!$C$2:$AE$44,0,MATCH($A10,'Durée formacode'!$C$1:$AE$1,0)),0)-IFERROR(1*INDEX('Durée formacode'!$C$2:$AE$44,0,MATCH(P$1,'Durée formacode'!$C$1:$AE$1,0)),0)))</f>
        <v>2432</v>
      </c>
      <c r="Q10" cm="1">
        <f t="array" ref="Q10">SUMPRODUCT((IFERROR(1*INDEX('Durée formacode'!$C$2:$AE$44,0,MATCH($A10,'Durée formacode'!$C$1:$AE$1,0)),0)&gt;
 IFERROR(1*INDEX('Durée formacode'!$C$2:$AE$44,0,MATCH(Q$1,'Durée formacode'!$C$1:$AE$1,0)),0))*(IFERROR(1*INDEX('Durée formacode'!$C$2:$AE$44,0,MATCH($A10,'Durée formacode'!$C$1:$AE$1,0)),0)-IFERROR(1*INDEX('Durée formacode'!$C$2:$AE$44,0,MATCH(Q$1,'Durée formacode'!$C$1:$AE$1,0)),0)))</f>
        <v>1825</v>
      </c>
      <c r="R10" cm="1">
        <f t="array" ref="R10">SUMPRODUCT((IFERROR(1*INDEX('Durée formacode'!$C$2:$AE$44,0,MATCH($A10,'Durée formacode'!$C$1:$AE$1,0)),0)&gt;
 IFERROR(1*INDEX('Durée formacode'!$C$2:$AE$44,0,MATCH(R$1,'Durée formacode'!$C$1:$AE$1,0)),0))*(IFERROR(1*INDEX('Durée formacode'!$C$2:$AE$44,0,MATCH($A10,'Durée formacode'!$C$1:$AE$1,0)),0)-IFERROR(1*INDEX('Durée formacode'!$C$2:$AE$44,0,MATCH(R$1,'Durée formacode'!$C$1:$AE$1,0)),0)))</f>
        <v>1445</v>
      </c>
      <c r="S10" cm="1">
        <f t="array" ref="S10">SUMPRODUCT((IFERROR(1*INDEX('Durée formacode'!$C$2:$AE$44,0,MATCH($A10,'Durée formacode'!$C$1:$AE$1,0)),0)&gt;
 IFERROR(1*INDEX('Durée formacode'!$C$2:$AE$44,0,MATCH(S$1,'Durée formacode'!$C$1:$AE$1,0)),0))*(IFERROR(1*INDEX('Durée formacode'!$C$2:$AE$44,0,MATCH($A10,'Durée formacode'!$C$1:$AE$1,0)),0)-IFERROR(1*INDEX('Durée formacode'!$C$2:$AE$44,0,MATCH(S$1,'Durée formacode'!$C$1:$AE$1,0)),0)))</f>
        <v>2432</v>
      </c>
      <c r="T10" cm="1">
        <f t="array" ref="T10">SUMPRODUCT((IFERROR(1*INDEX('Durée formacode'!$C$2:$AE$44,0,MATCH($A10,'Durée formacode'!$C$1:$AE$1,0)),0)&gt;
 IFERROR(1*INDEX('Durée formacode'!$C$2:$AE$44,0,MATCH(T$1,'Durée formacode'!$C$1:$AE$1,0)),0))*(IFERROR(1*INDEX('Durée formacode'!$C$2:$AE$44,0,MATCH($A10,'Durée formacode'!$C$1:$AE$1,0)),0)-IFERROR(1*INDEX('Durée formacode'!$C$2:$AE$44,0,MATCH(T$1,'Durée formacode'!$C$1:$AE$1,0)),0)))</f>
        <v>2432</v>
      </c>
      <c r="U10" cm="1">
        <f t="array" ref="U10">SUMPRODUCT((IFERROR(1*INDEX('Durée formacode'!$C$2:$AE$44,0,MATCH($A10,'Durée formacode'!$C$1:$AE$1,0)),0)&gt;
 IFERROR(1*INDEX('Durée formacode'!$C$2:$AE$44,0,MATCH(U$1,'Durée formacode'!$C$1:$AE$1,0)),0))*(IFERROR(1*INDEX('Durée formacode'!$C$2:$AE$44,0,MATCH($A10,'Durée formacode'!$C$1:$AE$1,0)),0)-IFERROR(1*INDEX('Durée formacode'!$C$2:$AE$44,0,MATCH(U$1,'Durée formacode'!$C$1:$AE$1,0)),0)))</f>
        <v>2432</v>
      </c>
      <c r="V10" cm="1">
        <f t="array" ref="V10">SUMPRODUCT((IFERROR(1*INDEX('Durée formacode'!$C$2:$AE$44,0,MATCH($A10,'Durée formacode'!$C$1:$AE$1,0)),0)&gt;
 IFERROR(1*INDEX('Durée formacode'!$C$2:$AE$44,0,MATCH(V$1,'Durée formacode'!$C$1:$AE$1,0)),0))*(IFERROR(1*INDEX('Durée formacode'!$C$2:$AE$44,0,MATCH($A10,'Durée formacode'!$C$1:$AE$1,0)),0)-IFERROR(1*INDEX('Durée formacode'!$C$2:$AE$44,0,MATCH(V$1,'Durée formacode'!$C$1:$AE$1,0)),0)))</f>
        <v>2432</v>
      </c>
      <c r="W10" cm="1">
        <f t="array" ref="W10">SUMPRODUCT((IFERROR(1*INDEX('Durée formacode'!$C$2:$AE$44,0,MATCH($A10,'Durée formacode'!$C$1:$AE$1,0)),0)&gt;
 IFERROR(1*INDEX('Durée formacode'!$C$2:$AE$44,0,MATCH(W$1,'Durée formacode'!$C$1:$AE$1,0)),0))*(IFERROR(1*INDEX('Durée formacode'!$C$2:$AE$44,0,MATCH($A10,'Durée formacode'!$C$1:$AE$1,0)),0)-IFERROR(1*INDEX('Durée formacode'!$C$2:$AE$44,0,MATCH(W$1,'Durée formacode'!$C$1:$AE$1,0)),0)))</f>
        <v>2323</v>
      </c>
      <c r="X10" cm="1">
        <f t="array" ref="X10">SUMPRODUCT((IFERROR(1*INDEX('Durée formacode'!$C$2:$AE$44,0,MATCH($A10,'Durée formacode'!$C$1:$AE$1,0)),0)&gt;
 IFERROR(1*INDEX('Durée formacode'!$C$2:$AE$44,0,MATCH(X$1,'Durée formacode'!$C$1:$AE$1,0)),0))*(IFERROR(1*INDEX('Durée formacode'!$C$2:$AE$44,0,MATCH($A10,'Durée formacode'!$C$1:$AE$1,0)),0)-IFERROR(1*INDEX('Durée formacode'!$C$2:$AE$44,0,MATCH(X$1,'Durée formacode'!$C$1:$AE$1,0)),0)))</f>
        <v>720</v>
      </c>
      <c r="Y10" cm="1">
        <f t="array" ref="Y10">SUMPRODUCT((IFERROR(1*INDEX('Durée formacode'!$C$2:$AE$44,0,MATCH($A10,'Durée formacode'!$C$1:$AE$1,0)),0)&gt;
 IFERROR(1*INDEX('Durée formacode'!$C$2:$AE$44,0,MATCH(Y$1,'Durée formacode'!$C$1:$AE$1,0)),0))*(IFERROR(1*INDEX('Durée formacode'!$C$2:$AE$44,0,MATCH($A10,'Durée formacode'!$C$1:$AE$1,0)),0)-IFERROR(1*INDEX('Durée formacode'!$C$2:$AE$44,0,MATCH(Y$1,'Durée formacode'!$C$1:$AE$1,0)),0)))</f>
        <v>2432</v>
      </c>
      <c r="Z10" cm="1">
        <f t="array" ref="Z10">SUMPRODUCT((IFERROR(1*INDEX('Durée formacode'!$C$2:$AE$44,0,MATCH($A10,'Durée formacode'!$C$1:$AE$1,0)),0)&gt;
 IFERROR(1*INDEX('Durée formacode'!$C$2:$AE$44,0,MATCH(Z$1,'Durée formacode'!$C$1:$AE$1,0)),0))*(IFERROR(1*INDEX('Durée formacode'!$C$2:$AE$44,0,MATCH($A10,'Durée formacode'!$C$1:$AE$1,0)),0)-IFERROR(1*INDEX('Durée formacode'!$C$2:$AE$44,0,MATCH(Z$1,'Durée formacode'!$C$1:$AE$1,0)),0)))</f>
        <v>2432</v>
      </c>
      <c r="AA10" cm="1">
        <f t="array" ref="AA10">SUMPRODUCT((IFERROR(1*INDEX('Durée formacode'!$C$2:$AE$44,0,MATCH($A10,'Durée formacode'!$C$1:$AE$1,0)),0)&gt;
 IFERROR(1*INDEX('Durée formacode'!$C$2:$AE$44,0,MATCH(AA$1,'Durée formacode'!$C$1:$AE$1,0)),0))*(IFERROR(1*INDEX('Durée formacode'!$C$2:$AE$44,0,MATCH($A10,'Durée formacode'!$C$1:$AE$1,0)),0)-IFERROR(1*INDEX('Durée formacode'!$C$2:$AE$44,0,MATCH(AA$1,'Durée formacode'!$C$1:$AE$1,0)),0)))</f>
        <v>2432</v>
      </c>
      <c r="AB10" cm="1">
        <f t="array" ref="AB10">SUMPRODUCT((IFERROR(1*INDEX('Durée formacode'!$C$2:$AE$44,0,MATCH($A10,'Durée formacode'!$C$1:$AE$1,0)),0)&gt;
 IFERROR(1*INDEX('Durée formacode'!$C$2:$AE$44,0,MATCH(AB$1,'Durée formacode'!$C$1:$AE$1,0)),0))*(IFERROR(1*INDEX('Durée formacode'!$C$2:$AE$44,0,MATCH($A10,'Durée formacode'!$C$1:$AE$1,0)),0)-IFERROR(1*INDEX('Durée formacode'!$C$2:$AE$44,0,MATCH(AB$1,'Durée formacode'!$C$1:$AE$1,0)),0)))</f>
        <v>2323</v>
      </c>
      <c r="AC10" cm="1">
        <f t="array" ref="AC10">SUMPRODUCT((IFERROR(1*INDEX('Durée formacode'!$C$2:$AE$44,0,MATCH($A10,'Durée formacode'!$C$1:$AE$1,0)),0)&gt;
 IFERROR(1*INDEX('Durée formacode'!$C$2:$AE$44,0,MATCH(AC$1,'Durée formacode'!$C$1:$AE$1,0)),0))*(IFERROR(1*INDEX('Durée formacode'!$C$2:$AE$44,0,MATCH($A10,'Durée formacode'!$C$1:$AE$1,0)),0)-IFERROR(1*INDEX('Durée formacode'!$C$2:$AE$44,0,MATCH(AC$1,'Durée formacode'!$C$1:$AE$1,0)),0)))</f>
        <v>2323</v>
      </c>
      <c r="AD10" cm="1">
        <f t="array" ref="AD10">SUMPRODUCT((IFERROR(1*INDEX('Durée formacode'!$C$2:$AE$44,0,MATCH($A10,'Durée formacode'!$C$1:$AE$1,0)),0)&gt;
 IFERROR(1*INDEX('Durée formacode'!$C$2:$AE$44,0,MATCH(AD$1,'Durée formacode'!$C$1:$AE$1,0)),0))*(IFERROR(1*INDEX('Durée formacode'!$C$2:$AE$44,0,MATCH($A10,'Durée formacode'!$C$1:$AE$1,0)),0)-IFERROR(1*INDEX('Durée formacode'!$C$2:$AE$44,0,MATCH(AD$1,'Durée formacode'!$C$1:$AE$1,0)),0)))</f>
        <v>2323</v>
      </c>
    </row>
    <row r="11" spans="1:30">
      <c r="A11" s="55" t="str">
        <v>Responsable de production de produits alimentaires (fabrication / conditionnement)</v>
      </c>
      <c r="B11" cm="1">
        <f t="array" ref="B11">SUMPRODUCT((IFERROR(1*INDEX('Durée formacode'!$C$2:$AE$44,0,MATCH($A11,'Durée formacode'!$C$1:$AE$1,0)),0)&gt;
 IFERROR(1*INDEX('Durée formacode'!$C$2:$AE$44,0,MATCH(B$1,'Durée formacode'!$C$1:$AE$1,0)),0))*(IFERROR(1*INDEX('Durée formacode'!$C$2:$AE$44,0,MATCH($A11,'Durée formacode'!$C$1:$AE$1,0)),0)-IFERROR(1*INDEX('Durée formacode'!$C$2:$AE$44,0,MATCH(B$1,'Durée formacode'!$C$1:$AE$1,0)),0)))</f>
        <v>3907</v>
      </c>
      <c r="C11" cm="1">
        <f t="array" ref="C11">SUMPRODUCT((IFERROR(1*INDEX('Durée formacode'!$C$2:$AE$44,0,MATCH($A11,'Durée formacode'!$C$1:$AE$1,0)),0)&gt;
 IFERROR(1*INDEX('Durée formacode'!$C$2:$AE$44,0,MATCH(C$1,'Durée formacode'!$C$1:$AE$1,0)),0))*(IFERROR(1*INDEX('Durée formacode'!$C$2:$AE$44,0,MATCH($A11,'Durée formacode'!$C$1:$AE$1,0)),0)-IFERROR(1*INDEX('Durée formacode'!$C$2:$AE$44,0,MATCH(C$1,'Durée formacode'!$C$1:$AE$1,0)),0)))</f>
        <v>4006</v>
      </c>
      <c r="D11" cm="1">
        <f t="array" ref="D11">SUMPRODUCT((IFERROR(1*INDEX('Durée formacode'!$C$2:$AE$44,0,MATCH($A11,'Durée formacode'!$C$1:$AE$1,0)),0)&gt;
 IFERROR(1*INDEX('Durée formacode'!$C$2:$AE$44,0,MATCH(D$1,'Durée formacode'!$C$1:$AE$1,0)),0))*(IFERROR(1*INDEX('Durée formacode'!$C$2:$AE$44,0,MATCH($A11,'Durée formacode'!$C$1:$AE$1,0)),0)-IFERROR(1*INDEX('Durée formacode'!$C$2:$AE$44,0,MATCH(D$1,'Durée formacode'!$C$1:$AE$1,0)),0)))</f>
        <v>4251</v>
      </c>
      <c r="E11" cm="1">
        <f t="array" ref="E11">SUMPRODUCT((IFERROR(1*INDEX('Durée formacode'!$C$2:$AE$44,0,MATCH($A11,'Durée formacode'!$C$1:$AE$1,0)),0)&gt;
 IFERROR(1*INDEX('Durée formacode'!$C$2:$AE$44,0,MATCH(E$1,'Durée formacode'!$C$1:$AE$1,0)),0))*(IFERROR(1*INDEX('Durée formacode'!$C$2:$AE$44,0,MATCH($A11,'Durée formacode'!$C$1:$AE$1,0)),0)-IFERROR(1*INDEX('Durée formacode'!$C$2:$AE$44,0,MATCH(E$1,'Durée formacode'!$C$1:$AE$1,0)),0)))</f>
        <v>3230</v>
      </c>
      <c r="F11" cm="1">
        <f t="array" ref="F11">SUMPRODUCT((IFERROR(1*INDEX('Durée formacode'!$C$2:$AE$44,0,MATCH($A11,'Durée formacode'!$C$1:$AE$1,0)),0)&gt;
 IFERROR(1*INDEX('Durée formacode'!$C$2:$AE$44,0,MATCH(F$1,'Durée formacode'!$C$1:$AE$1,0)),0))*(IFERROR(1*INDEX('Durée formacode'!$C$2:$AE$44,0,MATCH($A11,'Durée formacode'!$C$1:$AE$1,0)),0)-IFERROR(1*INDEX('Durée formacode'!$C$2:$AE$44,0,MATCH(F$1,'Durée formacode'!$C$1:$AE$1,0)),0)))</f>
        <v>3180</v>
      </c>
      <c r="G11" cm="1">
        <f t="array" ref="G11">SUMPRODUCT((IFERROR(1*INDEX('Durée formacode'!$C$2:$AE$44,0,MATCH($A11,'Durée formacode'!$C$1:$AE$1,0)),0)&gt;
 IFERROR(1*INDEX('Durée formacode'!$C$2:$AE$44,0,MATCH(G$1,'Durée formacode'!$C$1:$AE$1,0)),0))*(IFERROR(1*INDEX('Durée formacode'!$C$2:$AE$44,0,MATCH($A11,'Durée formacode'!$C$1:$AE$1,0)),0)-IFERROR(1*INDEX('Durée formacode'!$C$2:$AE$44,0,MATCH(G$1,'Durée formacode'!$C$1:$AE$1,0)),0)))</f>
        <v>2817</v>
      </c>
      <c r="H11" cm="1">
        <f t="array" ref="H11">SUMPRODUCT((IFERROR(1*INDEX('Durée formacode'!$C$2:$AE$44,0,MATCH($A11,'Durée formacode'!$C$1:$AE$1,0)),0)&gt;
 IFERROR(1*INDEX('Durée formacode'!$C$2:$AE$44,0,MATCH(H$1,'Durée formacode'!$C$1:$AE$1,0)),0))*(IFERROR(1*INDEX('Durée formacode'!$C$2:$AE$44,0,MATCH($A11,'Durée formacode'!$C$1:$AE$1,0)),0)-IFERROR(1*INDEX('Durée formacode'!$C$2:$AE$44,0,MATCH(H$1,'Durée formacode'!$C$1:$AE$1,0)),0)))</f>
        <v>2912</v>
      </c>
      <c r="I11" cm="1">
        <f t="array" ref="I11">SUMPRODUCT((IFERROR(1*INDEX('Durée formacode'!$C$2:$AE$44,0,MATCH($A11,'Durée formacode'!$C$1:$AE$1,0)),0)&gt;
 IFERROR(1*INDEX('Durée formacode'!$C$2:$AE$44,0,MATCH(I$1,'Durée formacode'!$C$1:$AE$1,0)),0))*(IFERROR(1*INDEX('Durée formacode'!$C$2:$AE$44,0,MATCH($A11,'Durée formacode'!$C$1:$AE$1,0)),0)-IFERROR(1*INDEX('Durée formacode'!$C$2:$AE$44,0,MATCH(I$1,'Durée formacode'!$C$1:$AE$1,0)),0)))</f>
        <v>4251</v>
      </c>
      <c r="J11" cm="1">
        <f t="array" ref="J11">SUMPRODUCT((IFERROR(1*INDEX('Durée formacode'!$C$2:$AE$44,0,MATCH($A11,'Durée formacode'!$C$1:$AE$1,0)),0)&gt;
 IFERROR(1*INDEX('Durée formacode'!$C$2:$AE$44,0,MATCH(J$1,'Durée formacode'!$C$1:$AE$1,0)),0))*(IFERROR(1*INDEX('Durée formacode'!$C$2:$AE$44,0,MATCH($A11,'Durée formacode'!$C$1:$AE$1,0)),0)-IFERROR(1*INDEX('Durée formacode'!$C$2:$AE$44,0,MATCH(J$1,'Durée formacode'!$C$1:$AE$1,0)),0)))</f>
        <v>3674</v>
      </c>
      <c r="K11" cm="1">
        <f t="array" ref="K11">SUMPRODUCT((IFERROR(1*INDEX('Durée formacode'!$C$2:$AE$44,0,MATCH($A11,'Durée formacode'!$C$1:$AE$1,0)),0)&gt;
 IFERROR(1*INDEX('Durée formacode'!$C$2:$AE$44,0,MATCH(K$1,'Durée formacode'!$C$1:$AE$1,0)),0))*(IFERROR(1*INDEX('Durée formacode'!$C$2:$AE$44,0,MATCH($A11,'Durée formacode'!$C$1:$AE$1,0)),0)-IFERROR(1*INDEX('Durée formacode'!$C$2:$AE$44,0,MATCH(K$1,'Durée formacode'!$C$1:$AE$1,0)),0)))</f>
        <v>0</v>
      </c>
      <c r="L11" cm="1">
        <f t="array" ref="L11">SUMPRODUCT((IFERROR(1*INDEX('Durée formacode'!$C$2:$AE$44,0,MATCH($A11,'Durée formacode'!$C$1:$AE$1,0)),0)&gt;
 IFERROR(1*INDEX('Durée formacode'!$C$2:$AE$44,0,MATCH(L$1,'Durée formacode'!$C$1:$AE$1,0)),0))*(IFERROR(1*INDEX('Durée formacode'!$C$2:$AE$44,0,MATCH($A11,'Durée formacode'!$C$1:$AE$1,0)),0)-IFERROR(1*INDEX('Durée formacode'!$C$2:$AE$44,0,MATCH(L$1,'Durée formacode'!$C$1:$AE$1,0)),0)))</f>
        <v>4251</v>
      </c>
      <c r="M11" cm="1">
        <f t="array" ref="M11">SUMPRODUCT((IFERROR(1*INDEX('Durée formacode'!$C$2:$AE$44,0,MATCH($A11,'Durée formacode'!$C$1:$AE$1,0)),0)&gt;
 IFERROR(1*INDEX('Durée formacode'!$C$2:$AE$44,0,MATCH(M$1,'Durée formacode'!$C$1:$AE$1,0)),0))*(IFERROR(1*INDEX('Durée formacode'!$C$2:$AE$44,0,MATCH($A11,'Durée formacode'!$C$1:$AE$1,0)),0)-IFERROR(1*INDEX('Durée formacode'!$C$2:$AE$44,0,MATCH(M$1,'Durée formacode'!$C$1:$AE$1,0)),0)))</f>
        <v>4076</v>
      </c>
      <c r="N11" cm="1">
        <f t="array" ref="N11">SUMPRODUCT((IFERROR(1*INDEX('Durée formacode'!$C$2:$AE$44,0,MATCH($A11,'Durée formacode'!$C$1:$AE$1,0)),0)&gt;
 IFERROR(1*INDEX('Durée formacode'!$C$2:$AE$44,0,MATCH(N$1,'Durée formacode'!$C$1:$AE$1,0)),0))*(IFERROR(1*INDEX('Durée formacode'!$C$2:$AE$44,0,MATCH($A11,'Durée formacode'!$C$1:$AE$1,0)),0)-IFERROR(1*INDEX('Durée formacode'!$C$2:$AE$44,0,MATCH(N$1,'Durée formacode'!$C$1:$AE$1,0)),0)))</f>
        <v>2413</v>
      </c>
      <c r="O11" cm="1">
        <f t="array" ref="O11">SUMPRODUCT((IFERROR(1*INDEX('Durée formacode'!$C$2:$AE$44,0,MATCH($A11,'Durée formacode'!$C$1:$AE$1,0)),0)&gt;
 IFERROR(1*INDEX('Durée formacode'!$C$2:$AE$44,0,MATCH(O$1,'Durée formacode'!$C$1:$AE$1,0)),0))*(IFERROR(1*INDEX('Durée formacode'!$C$2:$AE$44,0,MATCH($A11,'Durée formacode'!$C$1:$AE$1,0)),0)-IFERROR(1*INDEX('Durée formacode'!$C$2:$AE$44,0,MATCH(O$1,'Durée formacode'!$C$1:$AE$1,0)),0)))</f>
        <v>4251</v>
      </c>
      <c r="P11" cm="1">
        <f t="array" ref="P11">SUMPRODUCT((IFERROR(1*INDEX('Durée formacode'!$C$2:$AE$44,0,MATCH($A11,'Durée formacode'!$C$1:$AE$1,0)),0)&gt;
 IFERROR(1*INDEX('Durée formacode'!$C$2:$AE$44,0,MATCH(P$1,'Durée formacode'!$C$1:$AE$1,0)),0))*(IFERROR(1*INDEX('Durée formacode'!$C$2:$AE$44,0,MATCH($A11,'Durée formacode'!$C$1:$AE$1,0)),0)-IFERROR(1*INDEX('Durée formacode'!$C$2:$AE$44,0,MATCH(P$1,'Durée formacode'!$C$1:$AE$1,0)),0)))</f>
        <v>4321</v>
      </c>
      <c r="Q11" cm="1">
        <f t="array" ref="Q11">SUMPRODUCT((IFERROR(1*INDEX('Durée formacode'!$C$2:$AE$44,0,MATCH($A11,'Durée formacode'!$C$1:$AE$1,0)),0)&gt;
 IFERROR(1*INDEX('Durée formacode'!$C$2:$AE$44,0,MATCH(Q$1,'Durée formacode'!$C$1:$AE$1,0)),0))*(IFERROR(1*INDEX('Durée formacode'!$C$2:$AE$44,0,MATCH($A11,'Durée formacode'!$C$1:$AE$1,0)),0)-IFERROR(1*INDEX('Durée formacode'!$C$2:$AE$44,0,MATCH(Q$1,'Durée formacode'!$C$1:$AE$1,0)),0)))</f>
        <v>3637</v>
      </c>
      <c r="R11" cm="1">
        <f t="array" ref="R11">SUMPRODUCT((IFERROR(1*INDEX('Durée formacode'!$C$2:$AE$44,0,MATCH($A11,'Durée formacode'!$C$1:$AE$1,0)),0)&gt;
 IFERROR(1*INDEX('Durée formacode'!$C$2:$AE$44,0,MATCH(R$1,'Durée formacode'!$C$1:$AE$1,0)),0))*(IFERROR(1*INDEX('Durée formacode'!$C$2:$AE$44,0,MATCH($A11,'Durée formacode'!$C$1:$AE$1,0)),0)-IFERROR(1*INDEX('Durée formacode'!$C$2:$AE$44,0,MATCH(R$1,'Durée formacode'!$C$1:$AE$1,0)),0)))</f>
        <v>3674</v>
      </c>
      <c r="S11" cm="1">
        <f t="array" ref="S11">SUMPRODUCT((IFERROR(1*INDEX('Durée formacode'!$C$2:$AE$44,0,MATCH($A11,'Durée formacode'!$C$1:$AE$1,0)),0)&gt;
 IFERROR(1*INDEX('Durée formacode'!$C$2:$AE$44,0,MATCH(S$1,'Durée formacode'!$C$1:$AE$1,0)),0))*(IFERROR(1*INDEX('Durée formacode'!$C$2:$AE$44,0,MATCH($A11,'Durée formacode'!$C$1:$AE$1,0)),0)-IFERROR(1*INDEX('Durée formacode'!$C$2:$AE$44,0,MATCH(S$1,'Durée formacode'!$C$1:$AE$1,0)),0)))</f>
        <v>4076</v>
      </c>
      <c r="T11" cm="1">
        <f t="array" ref="T11">SUMPRODUCT((IFERROR(1*INDEX('Durée formacode'!$C$2:$AE$44,0,MATCH($A11,'Durée formacode'!$C$1:$AE$1,0)),0)&gt;
 IFERROR(1*INDEX('Durée formacode'!$C$2:$AE$44,0,MATCH(T$1,'Durée formacode'!$C$1:$AE$1,0)),0))*(IFERROR(1*INDEX('Durée formacode'!$C$2:$AE$44,0,MATCH($A11,'Durée formacode'!$C$1:$AE$1,0)),0)-IFERROR(1*INDEX('Durée formacode'!$C$2:$AE$44,0,MATCH(T$1,'Durée formacode'!$C$1:$AE$1,0)),0)))</f>
        <v>4076</v>
      </c>
      <c r="U11" cm="1">
        <f t="array" ref="U11">SUMPRODUCT((IFERROR(1*INDEX('Durée formacode'!$C$2:$AE$44,0,MATCH($A11,'Durée formacode'!$C$1:$AE$1,0)),0)&gt;
 IFERROR(1*INDEX('Durée formacode'!$C$2:$AE$44,0,MATCH(U$1,'Durée formacode'!$C$1:$AE$1,0)),0))*(IFERROR(1*INDEX('Durée formacode'!$C$2:$AE$44,0,MATCH($A11,'Durée formacode'!$C$1:$AE$1,0)),0)-IFERROR(1*INDEX('Durée formacode'!$C$2:$AE$44,0,MATCH(U$1,'Durée formacode'!$C$1:$AE$1,0)),0)))</f>
        <v>4076</v>
      </c>
      <c r="V11" cm="1">
        <f t="array" ref="V11">SUMPRODUCT((IFERROR(1*INDEX('Durée formacode'!$C$2:$AE$44,0,MATCH($A11,'Durée formacode'!$C$1:$AE$1,0)),0)&gt;
 IFERROR(1*INDEX('Durée formacode'!$C$2:$AE$44,0,MATCH(V$1,'Durée formacode'!$C$1:$AE$1,0)),0))*(IFERROR(1*INDEX('Durée formacode'!$C$2:$AE$44,0,MATCH($A11,'Durée formacode'!$C$1:$AE$1,0)),0)-IFERROR(1*INDEX('Durée formacode'!$C$2:$AE$44,0,MATCH(V$1,'Durée formacode'!$C$1:$AE$1,0)),0)))</f>
        <v>3970</v>
      </c>
      <c r="W11" cm="1">
        <f t="array" ref="W11">SUMPRODUCT((IFERROR(1*INDEX('Durée formacode'!$C$2:$AE$44,0,MATCH($A11,'Durée formacode'!$C$1:$AE$1,0)),0)&gt;
 IFERROR(1*INDEX('Durée formacode'!$C$2:$AE$44,0,MATCH(W$1,'Durée formacode'!$C$1:$AE$1,0)),0))*(IFERROR(1*INDEX('Durée formacode'!$C$2:$AE$44,0,MATCH($A11,'Durée formacode'!$C$1:$AE$1,0)),0)-IFERROR(1*INDEX('Durée formacode'!$C$2:$AE$44,0,MATCH(W$1,'Durée formacode'!$C$1:$AE$1,0)),0)))</f>
        <v>3626</v>
      </c>
      <c r="X11" cm="1">
        <f t="array" ref="X11">SUMPRODUCT((IFERROR(1*INDEX('Durée formacode'!$C$2:$AE$44,0,MATCH($A11,'Durée formacode'!$C$1:$AE$1,0)),0)&gt;
 IFERROR(1*INDEX('Durée formacode'!$C$2:$AE$44,0,MATCH(X$1,'Durée formacode'!$C$1:$AE$1,0)),0))*(IFERROR(1*INDEX('Durée formacode'!$C$2:$AE$44,0,MATCH($A11,'Durée formacode'!$C$1:$AE$1,0)),0)-IFERROR(1*INDEX('Durée formacode'!$C$2:$AE$44,0,MATCH(X$1,'Durée formacode'!$C$1:$AE$1,0)),0)))</f>
        <v>1989</v>
      </c>
      <c r="Y11" cm="1">
        <f t="array" ref="Y11">SUMPRODUCT((IFERROR(1*INDEX('Durée formacode'!$C$2:$AE$44,0,MATCH($A11,'Durée formacode'!$C$1:$AE$1,0)),0)&gt;
 IFERROR(1*INDEX('Durée formacode'!$C$2:$AE$44,0,MATCH(Y$1,'Durée formacode'!$C$1:$AE$1,0)),0))*(IFERROR(1*INDEX('Durée formacode'!$C$2:$AE$44,0,MATCH($A11,'Durée formacode'!$C$1:$AE$1,0)),0)-IFERROR(1*INDEX('Durée formacode'!$C$2:$AE$44,0,MATCH(Y$1,'Durée formacode'!$C$1:$AE$1,0)),0)))</f>
        <v>4076</v>
      </c>
      <c r="Z11" cm="1">
        <f t="array" ref="Z11">SUMPRODUCT((IFERROR(1*INDEX('Durée formacode'!$C$2:$AE$44,0,MATCH($A11,'Durée formacode'!$C$1:$AE$1,0)),0)&gt;
 IFERROR(1*INDEX('Durée formacode'!$C$2:$AE$44,0,MATCH(Z$1,'Durée formacode'!$C$1:$AE$1,0)),0))*(IFERROR(1*INDEX('Durée formacode'!$C$2:$AE$44,0,MATCH($A11,'Durée formacode'!$C$1:$AE$1,0)),0)-IFERROR(1*INDEX('Durée formacode'!$C$2:$AE$44,0,MATCH(Z$1,'Durée formacode'!$C$1:$AE$1,0)),0)))</f>
        <v>4076</v>
      </c>
      <c r="AA11" cm="1">
        <f t="array" ref="AA11">SUMPRODUCT((IFERROR(1*INDEX('Durée formacode'!$C$2:$AE$44,0,MATCH($A11,'Durée formacode'!$C$1:$AE$1,0)),0)&gt;
 IFERROR(1*INDEX('Durée formacode'!$C$2:$AE$44,0,MATCH(AA$1,'Durée formacode'!$C$1:$AE$1,0)),0))*(IFERROR(1*INDEX('Durée formacode'!$C$2:$AE$44,0,MATCH($A11,'Durée formacode'!$C$1:$AE$1,0)),0)-IFERROR(1*INDEX('Durée formacode'!$C$2:$AE$44,0,MATCH(AA$1,'Durée formacode'!$C$1:$AE$1,0)),0)))</f>
        <v>4076</v>
      </c>
      <c r="AB11" cm="1">
        <f t="array" ref="AB11">SUMPRODUCT((IFERROR(1*INDEX('Durée formacode'!$C$2:$AE$44,0,MATCH($A11,'Durée formacode'!$C$1:$AE$1,0)),0)&gt;
 IFERROR(1*INDEX('Durée formacode'!$C$2:$AE$44,0,MATCH(AB$1,'Durée formacode'!$C$1:$AE$1,0)),0))*(IFERROR(1*INDEX('Durée formacode'!$C$2:$AE$44,0,MATCH($A11,'Durée formacode'!$C$1:$AE$1,0)),0)-IFERROR(1*INDEX('Durée formacode'!$C$2:$AE$44,0,MATCH(AB$1,'Durée formacode'!$C$1:$AE$1,0)),0)))</f>
        <v>4212</v>
      </c>
      <c r="AC11" cm="1">
        <f t="array" ref="AC11">SUMPRODUCT((IFERROR(1*INDEX('Durée formacode'!$C$2:$AE$44,0,MATCH($A11,'Durée formacode'!$C$1:$AE$1,0)),0)&gt;
 IFERROR(1*INDEX('Durée formacode'!$C$2:$AE$44,0,MATCH(AC$1,'Durée formacode'!$C$1:$AE$1,0)),0))*(IFERROR(1*INDEX('Durée formacode'!$C$2:$AE$44,0,MATCH($A11,'Durée formacode'!$C$1:$AE$1,0)),0)-IFERROR(1*INDEX('Durée formacode'!$C$2:$AE$44,0,MATCH(AC$1,'Durée formacode'!$C$1:$AE$1,0)),0)))</f>
        <v>4212</v>
      </c>
      <c r="AD11" cm="1">
        <f t="array" ref="AD11">SUMPRODUCT((IFERROR(1*INDEX('Durée formacode'!$C$2:$AE$44,0,MATCH($A11,'Durée formacode'!$C$1:$AE$1,0)),0)&gt;
 IFERROR(1*INDEX('Durée formacode'!$C$2:$AE$44,0,MATCH(AD$1,'Durée formacode'!$C$1:$AE$1,0)),0))*(IFERROR(1*INDEX('Durée formacode'!$C$2:$AE$44,0,MATCH($A11,'Durée formacode'!$C$1:$AE$1,0)),0)-IFERROR(1*INDEX('Durée formacode'!$C$2:$AE$44,0,MATCH(AD$1,'Durée formacode'!$C$1:$AE$1,0)),0)))</f>
        <v>4212</v>
      </c>
    </row>
    <row r="12" spans="1:30">
      <c r="A12" s="55" t="str">
        <v>Chauffeur(se) livreur(se)</v>
      </c>
      <c r="B12" cm="1">
        <f t="array" ref="B12">SUMPRODUCT((IFERROR(1*INDEX('Durée formacode'!$C$2:$AE$44,0,MATCH($A12,'Durée formacode'!$C$1:$AE$1,0)),0)&gt;
 IFERROR(1*INDEX('Durée formacode'!$C$2:$AE$44,0,MATCH(B$1,'Durée formacode'!$C$1:$AE$1,0)),0))*(IFERROR(1*INDEX('Durée formacode'!$C$2:$AE$44,0,MATCH($A12,'Durée formacode'!$C$1:$AE$1,0)),0)-IFERROR(1*INDEX('Durée formacode'!$C$2:$AE$44,0,MATCH(B$1,'Durée formacode'!$C$1:$AE$1,0)),0)))</f>
        <v>689</v>
      </c>
      <c r="C12" cm="1">
        <f t="array" ref="C12">SUMPRODUCT((IFERROR(1*INDEX('Durée formacode'!$C$2:$AE$44,0,MATCH($A12,'Durée formacode'!$C$1:$AE$1,0)),0)&gt;
 IFERROR(1*INDEX('Durée formacode'!$C$2:$AE$44,0,MATCH(C$1,'Durée formacode'!$C$1:$AE$1,0)),0))*(IFERROR(1*INDEX('Durée formacode'!$C$2:$AE$44,0,MATCH($A12,'Durée formacode'!$C$1:$AE$1,0)),0)-IFERROR(1*INDEX('Durée formacode'!$C$2:$AE$44,0,MATCH(C$1,'Durée formacode'!$C$1:$AE$1,0)),0)))</f>
        <v>689</v>
      </c>
      <c r="D12" cm="1">
        <f t="array" ref="D12">SUMPRODUCT((IFERROR(1*INDEX('Durée formacode'!$C$2:$AE$44,0,MATCH($A12,'Durée formacode'!$C$1:$AE$1,0)),0)&gt;
 IFERROR(1*INDEX('Durée formacode'!$C$2:$AE$44,0,MATCH(D$1,'Durée formacode'!$C$1:$AE$1,0)),0))*(IFERROR(1*INDEX('Durée formacode'!$C$2:$AE$44,0,MATCH($A12,'Durée formacode'!$C$1:$AE$1,0)),0)-IFERROR(1*INDEX('Durée formacode'!$C$2:$AE$44,0,MATCH(D$1,'Durée formacode'!$C$1:$AE$1,0)),0)))</f>
        <v>689</v>
      </c>
      <c r="E12" cm="1">
        <f t="array" ref="E12">SUMPRODUCT((IFERROR(1*INDEX('Durée formacode'!$C$2:$AE$44,0,MATCH($A12,'Durée formacode'!$C$1:$AE$1,0)),0)&gt;
 IFERROR(1*INDEX('Durée formacode'!$C$2:$AE$44,0,MATCH(E$1,'Durée formacode'!$C$1:$AE$1,0)),0))*(IFERROR(1*INDEX('Durée formacode'!$C$2:$AE$44,0,MATCH($A12,'Durée formacode'!$C$1:$AE$1,0)),0)-IFERROR(1*INDEX('Durée formacode'!$C$2:$AE$44,0,MATCH(E$1,'Durée formacode'!$C$1:$AE$1,0)),0)))</f>
        <v>765</v>
      </c>
      <c r="F12" cm="1">
        <f t="array" ref="F12">SUMPRODUCT((IFERROR(1*INDEX('Durée formacode'!$C$2:$AE$44,0,MATCH($A12,'Durée formacode'!$C$1:$AE$1,0)),0)&gt;
 IFERROR(1*INDEX('Durée formacode'!$C$2:$AE$44,0,MATCH(F$1,'Durée formacode'!$C$1:$AE$1,0)),0))*(IFERROR(1*INDEX('Durée formacode'!$C$2:$AE$44,0,MATCH($A12,'Durée formacode'!$C$1:$AE$1,0)),0)-IFERROR(1*INDEX('Durée formacode'!$C$2:$AE$44,0,MATCH(F$1,'Durée formacode'!$C$1:$AE$1,0)),0)))</f>
        <v>765</v>
      </c>
      <c r="G12" cm="1">
        <f t="array" ref="G12">SUMPRODUCT((IFERROR(1*INDEX('Durée formacode'!$C$2:$AE$44,0,MATCH($A12,'Durée formacode'!$C$1:$AE$1,0)),0)&gt;
 IFERROR(1*INDEX('Durée formacode'!$C$2:$AE$44,0,MATCH(G$1,'Durée formacode'!$C$1:$AE$1,0)),0))*(IFERROR(1*INDEX('Durée formacode'!$C$2:$AE$44,0,MATCH($A12,'Durée formacode'!$C$1:$AE$1,0)),0)-IFERROR(1*INDEX('Durée formacode'!$C$2:$AE$44,0,MATCH(G$1,'Durée formacode'!$C$1:$AE$1,0)),0)))</f>
        <v>765</v>
      </c>
      <c r="H12" cm="1">
        <f t="array" ref="H12">SUMPRODUCT((IFERROR(1*INDEX('Durée formacode'!$C$2:$AE$44,0,MATCH($A12,'Durée formacode'!$C$1:$AE$1,0)),0)&gt;
 IFERROR(1*INDEX('Durée formacode'!$C$2:$AE$44,0,MATCH(H$1,'Durée formacode'!$C$1:$AE$1,0)),0))*(IFERROR(1*INDEX('Durée formacode'!$C$2:$AE$44,0,MATCH($A12,'Durée formacode'!$C$1:$AE$1,0)),0)-IFERROR(1*INDEX('Durée formacode'!$C$2:$AE$44,0,MATCH(H$1,'Durée formacode'!$C$1:$AE$1,0)),0)))</f>
        <v>835</v>
      </c>
      <c r="I12" cm="1">
        <f t="array" ref="I12">SUMPRODUCT((IFERROR(1*INDEX('Durée formacode'!$C$2:$AE$44,0,MATCH($A12,'Durée formacode'!$C$1:$AE$1,0)),0)&gt;
 IFERROR(1*INDEX('Durée formacode'!$C$2:$AE$44,0,MATCH(I$1,'Durée formacode'!$C$1:$AE$1,0)),0))*(IFERROR(1*INDEX('Durée formacode'!$C$2:$AE$44,0,MATCH($A12,'Durée formacode'!$C$1:$AE$1,0)),0)-IFERROR(1*INDEX('Durée formacode'!$C$2:$AE$44,0,MATCH(I$1,'Durée formacode'!$C$1:$AE$1,0)),0)))</f>
        <v>689</v>
      </c>
      <c r="J12" cm="1">
        <f t="array" ref="J12">SUMPRODUCT((IFERROR(1*INDEX('Durée formacode'!$C$2:$AE$44,0,MATCH($A12,'Durée formacode'!$C$1:$AE$1,0)),0)&gt;
 IFERROR(1*INDEX('Durée formacode'!$C$2:$AE$44,0,MATCH(J$1,'Durée formacode'!$C$1:$AE$1,0)),0))*(IFERROR(1*INDEX('Durée formacode'!$C$2:$AE$44,0,MATCH($A12,'Durée formacode'!$C$1:$AE$1,0)),0)-IFERROR(1*INDEX('Durée formacode'!$C$2:$AE$44,0,MATCH(J$1,'Durée formacode'!$C$1:$AE$1,0)),0)))</f>
        <v>835</v>
      </c>
      <c r="K12" cm="1">
        <f t="array" ref="K12">SUMPRODUCT((IFERROR(1*INDEX('Durée formacode'!$C$2:$AE$44,0,MATCH($A12,'Durée formacode'!$C$1:$AE$1,0)),0)&gt;
 IFERROR(1*INDEX('Durée formacode'!$C$2:$AE$44,0,MATCH(K$1,'Durée formacode'!$C$1:$AE$1,0)),0))*(IFERROR(1*INDEX('Durée formacode'!$C$2:$AE$44,0,MATCH($A12,'Durée formacode'!$C$1:$AE$1,0)),0)-IFERROR(1*INDEX('Durée formacode'!$C$2:$AE$44,0,MATCH(K$1,'Durée formacode'!$C$1:$AE$1,0)),0)))</f>
        <v>765</v>
      </c>
      <c r="L12" cm="1">
        <f t="array" ref="L12">SUMPRODUCT((IFERROR(1*INDEX('Durée formacode'!$C$2:$AE$44,0,MATCH($A12,'Durée formacode'!$C$1:$AE$1,0)),0)&gt;
 IFERROR(1*INDEX('Durée formacode'!$C$2:$AE$44,0,MATCH(L$1,'Durée formacode'!$C$1:$AE$1,0)),0))*(IFERROR(1*INDEX('Durée formacode'!$C$2:$AE$44,0,MATCH($A12,'Durée formacode'!$C$1:$AE$1,0)),0)-IFERROR(1*INDEX('Durée formacode'!$C$2:$AE$44,0,MATCH(L$1,'Durée formacode'!$C$1:$AE$1,0)),0)))</f>
        <v>0</v>
      </c>
      <c r="M12" cm="1">
        <f t="array" ref="M12">SUMPRODUCT((IFERROR(1*INDEX('Durée formacode'!$C$2:$AE$44,0,MATCH($A12,'Durée formacode'!$C$1:$AE$1,0)),0)&gt;
 IFERROR(1*INDEX('Durée formacode'!$C$2:$AE$44,0,MATCH(M$1,'Durée formacode'!$C$1:$AE$1,0)),0))*(IFERROR(1*INDEX('Durée formacode'!$C$2:$AE$44,0,MATCH($A12,'Durée formacode'!$C$1:$AE$1,0)),0)-IFERROR(1*INDEX('Durée formacode'!$C$2:$AE$44,0,MATCH(M$1,'Durée formacode'!$C$1:$AE$1,0)),0)))</f>
        <v>765</v>
      </c>
      <c r="N12" cm="1">
        <f t="array" ref="N12">SUMPRODUCT((IFERROR(1*INDEX('Durée formacode'!$C$2:$AE$44,0,MATCH($A12,'Durée formacode'!$C$1:$AE$1,0)),0)&gt;
 IFERROR(1*INDEX('Durée formacode'!$C$2:$AE$44,0,MATCH(N$1,'Durée formacode'!$C$1:$AE$1,0)),0))*(IFERROR(1*INDEX('Durée formacode'!$C$2:$AE$44,0,MATCH($A12,'Durée formacode'!$C$1:$AE$1,0)),0)-IFERROR(1*INDEX('Durée formacode'!$C$2:$AE$44,0,MATCH(N$1,'Durée formacode'!$C$1:$AE$1,0)),0)))</f>
        <v>765</v>
      </c>
      <c r="O12" cm="1">
        <f t="array" ref="O12">SUMPRODUCT((IFERROR(1*INDEX('Durée formacode'!$C$2:$AE$44,0,MATCH($A12,'Durée formacode'!$C$1:$AE$1,0)),0)&gt;
 IFERROR(1*INDEX('Durée formacode'!$C$2:$AE$44,0,MATCH(O$1,'Durée formacode'!$C$1:$AE$1,0)),0))*(IFERROR(1*INDEX('Durée formacode'!$C$2:$AE$44,0,MATCH($A12,'Durée formacode'!$C$1:$AE$1,0)),0)-IFERROR(1*INDEX('Durée formacode'!$C$2:$AE$44,0,MATCH(O$1,'Durée formacode'!$C$1:$AE$1,0)),0)))</f>
        <v>0</v>
      </c>
      <c r="P12" cm="1">
        <f t="array" ref="P12">SUMPRODUCT((IFERROR(1*INDEX('Durée formacode'!$C$2:$AE$44,0,MATCH($A12,'Durée formacode'!$C$1:$AE$1,0)),0)&gt;
 IFERROR(1*INDEX('Durée formacode'!$C$2:$AE$44,0,MATCH(P$1,'Durée formacode'!$C$1:$AE$1,0)),0))*(IFERROR(1*INDEX('Durée formacode'!$C$2:$AE$44,0,MATCH($A12,'Durée formacode'!$C$1:$AE$1,0)),0)-IFERROR(1*INDEX('Durée formacode'!$C$2:$AE$44,0,MATCH(P$1,'Durée formacode'!$C$1:$AE$1,0)),0)))</f>
        <v>759</v>
      </c>
      <c r="Q12" cm="1">
        <f t="array" ref="Q12">SUMPRODUCT((IFERROR(1*INDEX('Durée formacode'!$C$2:$AE$44,0,MATCH($A12,'Durée formacode'!$C$1:$AE$1,0)),0)&gt;
 IFERROR(1*INDEX('Durée formacode'!$C$2:$AE$44,0,MATCH(Q$1,'Durée formacode'!$C$1:$AE$1,0)),0))*(IFERROR(1*INDEX('Durée formacode'!$C$2:$AE$44,0,MATCH($A12,'Durée formacode'!$C$1:$AE$1,0)),0)-IFERROR(1*INDEX('Durée formacode'!$C$2:$AE$44,0,MATCH(Q$1,'Durée formacode'!$C$1:$AE$1,0)),0)))</f>
        <v>689</v>
      </c>
      <c r="R12" cm="1">
        <f t="array" ref="R12">SUMPRODUCT((IFERROR(1*INDEX('Durée formacode'!$C$2:$AE$44,0,MATCH($A12,'Durée formacode'!$C$1:$AE$1,0)),0)&gt;
 IFERROR(1*INDEX('Durée formacode'!$C$2:$AE$44,0,MATCH(R$1,'Durée formacode'!$C$1:$AE$1,0)),0))*(IFERROR(1*INDEX('Durée formacode'!$C$2:$AE$44,0,MATCH($A12,'Durée formacode'!$C$1:$AE$1,0)),0)-IFERROR(1*INDEX('Durée formacode'!$C$2:$AE$44,0,MATCH(R$1,'Durée formacode'!$C$1:$AE$1,0)),0)))</f>
        <v>835</v>
      </c>
      <c r="S12" cm="1">
        <f t="array" ref="S12">SUMPRODUCT((IFERROR(1*INDEX('Durée formacode'!$C$2:$AE$44,0,MATCH($A12,'Durée formacode'!$C$1:$AE$1,0)),0)&gt;
 IFERROR(1*INDEX('Durée formacode'!$C$2:$AE$44,0,MATCH(S$1,'Durée formacode'!$C$1:$AE$1,0)),0))*(IFERROR(1*INDEX('Durée formacode'!$C$2:$AE$44,0,MATCH($A12,'Durée formacode'!$C$1:$AE$1,0)),0)-IFERROR(1*INDEX('Durée formacode'!$C$2:$AE$44,0,MATCH(S$1,'Durée formacode'!$C$1:$AE$1,0)),0)))</f>
        <v>689</v>
      </c>
      <c r="T12" cm="1">
        <f t="array" ref="T12">SUMPRODUCT((IFERROR(1*INDEX('Durée formacode'!$C$2:$AE$44,0,MATCH($A12,'Durée formacode'!$C$1:$AE$1,0)),0)&gt;
 IFERROR(1*INDEX('Durée formacode'!$C$2:$AE$44,0,MATCH(T$1,'Durée formacode'!$C$1:$AE$1,0)),0))*(IFERROR(1*INDEX('Durée formacode'!$C$2:$AE$44,0,MATCH($A12,'Durée formacode'!$C$1:$AE$1,0)),0)-IFERROR(1*INDEX('Durée formacode'!$C$2:$AE$44,0,MATCH(T$1,'Durée formacode'!$C$1:$AE$1,0)),0)))</f>
        <v>689</v>
      </c>
      <c r="U12" cm="1">
        <f t="array" ref="U12">SUMPRODUCT((IFERROR(1*INDEX('Durée formacode'!$C$2:$AE$44,0,MATCH($A12,'Durée formacode'!$C$1:$AE$1,0)),0)&gt;
 IFERROR(1*INDEX('Durée formacode'!$C$2:$AE$44,0,MATCH(U$1,'Durée formacode'!$C$1:$AE$1,0)),0))*(IFERROR(1*INDEX('Durée formacode'!$C$2:$AE$44,0,MATCH($A12,'Durée formacode'!$C$1:$AE$1,0)),0)-IFERROR(1*INDEX('Durée formacode'!$C$2:$AE$44,0,MATCH(U$1,'Durée formacode'!$C$1:$AE$1,0)),0)))</f>
        <v>689</v>
      </c>
      <c r="V12" cm="1">
        <f t="array" ref="V12">SUMPRODUCT((IFERROR(1*INDEX('Durée formacode'!$C$2:$AE$44,0,MATCH($A12,'Durée formacode'!$C$1:$AE$1,0)),0)&gt;
 IFERROR(1*INDEX('Durée formacode'!$C$2:$AE$44,0,MATCH(V$1,'Durée formacode'!$C$1:$AE$1,0)),0))*(IFERROR(1*INDEX('Durée formacode'!$C$2:$AE$44,0,MATCH($A12,'Durée formacode'!$C$1:$AE$1,0)),0)-IFERROR(1*INDEX('Durée formacode'!$C$2:$AE$44,0,MATCH(V$1,'Durée formacode'!$C$1:$AE$1,0)),0)))</f>
        <v>689</v>
      </c>
      <c r="W12" cm="1">
        <f t="array" ref="W12">SUMPRODUCT((IFERROR(1*INDEX('Durée formacode'!$C$2:$AE$44,0,MATCH($A12,'Durée formacode'!$C$1:$AE$1,0)),0)&gt;
 IFERROR(1*INDEX('Durée formacode'!$C$2:$AE$44,0,MATCH(W$1,'Durée formacode'!$C$1:$AE$1,0)),0))*(IFERROR(1*INDEX('Durée formacode'!$C$2:$AE$44,0,MATCH($A12,'Durée formacode'!$C$1:$AE$1,0)),0)-IFERROR(1*INDEX('Durée formacode'!$C$2:$AE$44,0,MATCH(W$1,'Durée formacode'!$C$1:$AE$1,0)),0)))</f>
        <v>765</v>
      </c>
      <c r="X12" cm="1">
        <f t="array" ref="X12">SUMPRODUCT((IFERROR(1*INDEX('Durée formacode'!$C$2:$AE$44,0,MATCH($A12,'Durée formacode'!$C$1:$AE$1,0)),0)&gt;
 IFERROR(1*INDEX('Durée formacode'!$C$2:$AE$44,0,MATCH(X$1,'Durée formacode'!$C$1:$AE$1,0)),0))*(IFERROR(1*INDEX('Durée formacode'!$C$2:$AE$44,0,MATCH($A12,'Durée formacode'!$C$1:$AE$1,0)),0)-IFERROR(1*INDEX('Durée formacode'!$C$2:$AE$44,0,MATCH(X$1,'Durée formacode'!$C$1:$AE$1,0)),0)))</f>
        <v>765</v>
      </c>
      <c r="Y12" cm="1">
        <f t="array" ref="Y12">SUMPRODUCT((IFERROR(1*INDEX('Durée formacode'!$C$2:$AE$44,0,MATCH($A12,'Durée formacode'!$C$1:$AE$1,0)),0)&gt;
 IFERROR(1*INDEX('Durée formacode'!$C$2:$AE$44,0,MATCH(Y$1,'Durée formacode'!$C$1:$AE$1,0)),0))*(IFERROR(1*INDEX('Durée formacode'!$C$2:$AE$44,0,MATCH($A12,'Durée formacode'!$C$1:$AE$1,0)),0)-IFERROR(1*INDEX('Durée formacode'!$C$2:$AE$44,0,MATCH(Y$1,'Durée formacode'!$C$1:$AE$1,0)),0)))</f>
        <v>689</v>
      </c>
      <c r="Z12" cm="1">
        <f t="array" ref="Z12">SUMPRODUCT((IFERROR(1*INDEX('Durée formacode'!$C$2:$AE$44,0,MATCH($A12,'Durée formacode'!$C$1:$AE$1,0)),0)&gt;
 IFERROR(1*INDEX('Durée formacode'!$C$2:$AE$44,0,MATCH(Z$1,'Durée formacode'!$C$1:$AE$1,0)),0))*(IFERROR(1*INDEX('Durée formacode'!$C$2:$AE$44,0,MATCH($A12,'Durée formacode'!$C$1:$AE$1,0)),0)-IFERROR(1*INDEX('Durée formacode'!$C$2:$AE$44,0,MATCH(Z$1,'Durée formacode'!$C$1:$AE$1,0)),0)))</f>
        <v>689</v>
      </c>
      <c r="AA12" cm="1">
        <f t="array" ref="AA12">SUMPRODUCT((IFERROR(1*INDEX('Durée formacode'!$C$2:$AE$44,0,MATCH($A12,'Durée formacode'!$C$1:$AE$1,0)),0)&gt;
 IFERROR(1*INDEX('Durée formacode'!$C$2:$AE$44,0,MATCH(AA$1,'Durée formacode'!$C$1:$AE$1,0)),0))*(IFERROR(1*INDEX('Durée formacode'!$C$2:$AE$44,0,MATCH($A12,'Durée formacode'!$C$1:$AE$1,0)),0)-IFERROR(1*INDEX('Durée formacode'!$C$2:$AE$44,0,MATCH(AA$1,'Durée formacode'!$C$1:$AE$1,0)),0)))</f>
        <v>689</v>
      </c>
      <c r="AB12" cm="1">
        <f t="array" ref="AB12">SUMPRODUCT((IFERROR(1*INDEX('Durée formacode'!$C$2:$AE$44,0,MATCH($A12,'Durée formacode'!$C$1:$AE$1,0)),0)&gt;
 IFERROR(1*INDEX('Durée formacode'!$C$2:$AE$44,0,MATCH(AB$1,'Durée formacode'!$C$1:$AE$1,0)),0))*(IFERROR(1*INDEX('Durée formacode'!$C$2:$AE$44,0,MATCH($A12,'Durée formacode'!$C$1:$AE$1,0)),0)-IFERROR(1*INDEX('Durée formacode'!$C$2:$AE$44,0,MATCH(AB$1,'Durée formacode'!$C$1:$AE$1,0)),0)))</f>
        <v>759</v>
      </c>
      <c r="AC12" cm="1">
        <f t="array" ref="AC12">SUMPRODUCT((IFERROR(1*INDEX('Durée formacode'!$C$2:$AE$44,0,MATCH($A12,'Durée formacode'!$C$1:$AE$1,0)),0)&gt;
 IFERROR(1*INDEX('Durée formacode'!$C$2:$AE$44,0,MATCH(AC$1,'Durée formacode'!$C$1:$AE$1,0)),0))*(IFERROR(1*INDEX('Durée formacode'!$C$2:$AE$44,0,MATCH($A12,'Durée formacode'!$C$1:$AE$1,0)),0)-IFERROR(1*INDEX('Durée formacode'!$C$2:$AE$44,0,MATCH(AC$1,'Durée formacode'!$C$1:$AE$1,0)),0)))</f>
        <v>759</v>
      </c>
      <c r="AD12" cm="1">
        <f t="array" ref="AD12">SUMPRODUCT((IFERROR(1*INDEX('Durée formacode'!$C$2:$AE$44,0,MATCH($A12,'Durée formacode'!$C$1:$AE$1,0)),0)&gt;
 IFERROR(1*INDEX('Durée formacode'!$C$2:$AE$44,0,MATCH(AD$1,'Durée formacode'!$C$1:$AE$1,0)),0))*(IFERROR(1*INDEX('Durée formacode'!$C$2:$AE$44,0,MATCH($A12,'Durée formacode'!$C$1:$AE$1,0)),0)-IFERROR(1*INDEX('Durée formacode'!$C$2:$AE$44,0,MATCH(AD$1,'Durée formacode'!$C$1:$AE$1,0)),0)))</f>
        <v>759</v>
      </c>
    </row>
    <row r="13" spans="1:30">
      <c r="A13" s="55" t="str">
        <v>Régleur(se)</v>
      </c>
      <c r="B13" cm="1">
        <f t="array" ref="B13">SUMPRODUCT((IFERROR(1*INDEX('Durée formacode'!$C$2:$AE$44,0,MATCH($A13,'Durée formacode'!$C$1:$AE$1,0)),0)&gt;
 IFERROR(1*INDEX('Durée formacode'!$C$2:$AE$44,0,MATCH(B$1,'Durée formacode'!$C$1:$AE$1,0)),0))*(IFERROR(1*INDEX('Durée formacode'!$C$2:$AE$44,0,MATCH($A13,'Durée formacode'!$C$1:$AE$1,0)),0)-IFERROR(1*INDEX('Durée formacode'!$C$2:$AE$44,0,MATCH(B$1,'Durée formacode'!$C$1:$AE$1,0)),0)))</f>
        <v>424</v>
      </c>
      <c r="C13" cm="1">
        <f t="array" ref="C13">SUMPRODUCT((IFERROR(1*INDEX('Durée formacode'!$C$2:$AE$44,0,MATCH($A13,'Durée formacode'!$C$1:$AE$1,0)),0)&gt;
 IFERROR(1*INDEX('Durée formacode'!$C$2:$AE$44,0,MATCH(C$1,'Durée formacode'!$C$1:$AE$1,0)),0))*(IFERROR(1*INDEX('Durée formacode'!$C$2:$AE$44,0,MATCH($A13,'Durée formacode'!$C$1:$AE$1,0)),0)-IFERROR(1*INDEX('Durée formacode'!$C$2:$AE$44,0,MATCH(C$1,'Durée formacode'!$C$1:$AE$1,0)),0)))</f>
        <v>210</v>
      </c>
      <c r="D13" cm="1">
        <f t="array" ref="D13">SUMPRODUCT((IFERROR(1*INDEX('Durée formacode'!$C$2:$AE$44,0,MATCH($A13,'Durée formacode'!$C$1:$AE$1,0)),0)&gt;
 IFERROR(1*INDEX('Durée formacode'!$C$2:$AE$44,0,MATCH(D$1,'Durée formacode'!$C$1:$AE$1,0)),0))*(IFERROR(1*INDEX('Durée formacode'!$C$2:$AE$44,0,MATCH($A13,'Durée formacode'!$C$1:$AE$1,0)),0)-IFERROR(1*INDEX('Durée formacode'!$C$2:$AE$44,0,MATCH(D$1,'Durée formacode'!$C$1:$AE$1,0)),0)))</f>
        <v>924</v>
      </c>
      <c r="E13" cm="1">
        <f t="array" ref="E13">SUMPRODUCT((IFERROR(1*INDEX('Durée formacode'!$C$2:$AE$44,0,MATCH($A13,'Durée formacode'!$C$1:$AE$1,0)),0)&gt;
 IFERROR(1*INDEX('Durée formacode'!$C$2:$AE$44,0,MATCH(E$1,'Durée formacode'!$C$1:$AE$1,0)),0))*(IFERROR(1*INDEX('Durée formacode'!$C$2:$AE$44,0,MATCH($A13,'Durée formacode'!$C$1:$AE$1,0)),0)-IFERROR(1*INDEX('Durée formacode'!$C$2:$AE$44,0,MATCH(E$1,'Durée formacode'!$C$1:$AE$1,0)),0)))</f>
        <v>749</v>
      </c>
      <c r="F13" cm="1">
        <f t="array" ref="F13">SUMPRODUCT((IFERROR(1*INDEX('Durée formacode'!$C$2:$AE$44,0,MATCH($A13,'Durée formacode'!$C$1:$AE$1,0)),0)&gt;
 IFERROR(1*INDEX('Durée formacode'!$C$2:$AE$44,0,MATCH(F$1,'Durée formacode'!$C$1:$AE$1,0)),0))*(IFERROR(1*INDEX('Durée formacode'!$C$2:$AE$44,0,MATCH($A13,'Durée formacode'!$C$1:$AE$1,0)),0)-IFERROR(1*INDEX('Durée formacode'!$C$2:$AE$44,0,MATCH(F$1,'Durée formacode'!$C$1:$AE$1,0)),0)))</f>
        <v>525</v>
      </c>
      <c r="G13" cm="1">
        <f t="array" ref="G13">SUMPRODUCT((IFERROR(1*INDEX('Durée formacode'!$C$2:$AE$44,0,MATCH($A13,'Durée formacode'!$C$1:$AE$1,0)),0)&gt;
 IFERROR(1*INDEX('Durée formacode'!$C$2:$AE$44,0,MATCH(G$1,'Durée formacode'!$C$1:$AE$1,0)),0))*(IFERROR(1*INDEX('Durée formacode'!$C$2:$AE$44,0,MATCH($A13,'Durée formacode'!$C$1:$AE$1,0)),0)-IFERROR(1*INDEX('Durée formacode'!$C$2:$AE$44,0,MATCH(G$1,'Durée formacode'!$C$1:$AE$1,0)),0)))</f>
        <v>599</v>
      </c>
      <c r="H13" cm="1">
        <f t="array" ref="H13">SUMPRODUCT((IFERROR(1*INDEX('Durée formacode'!$C$2:$AE$44,0,MATCH($A13,'Durée formacode'!$C$1:$AE$1,0)),0)&gt;
 IFERROR(1*INDEX('Durée formacode'!$C$2:$AE$44,0,MATCH(H$1,'Durée formacode'!$C$1:$AE$1,0)),0))*(IFERROR(1*INDEX('Durée formacode'!$C$2:$AE$44,0,MATCH($A13,'Durée formacode'!$C$1:$AE$1,0)),0)-IFERROR(1*INDEX('Durée formacode'!$C$2:$AE$44,0,MATCH(H$1,'Durée formacode'!$C$1:$AE$1,0)),0)))</f>
        <v>914</v>
      </c>
      <c r="I13" cm="1">
        <f t="array" ref="I13">SUMPRODUCT((IFERROR(1*INDEX('Durée formacode'!$C$2:$AE$44,0,MATCH($A13,'Durée formacode'!$C$1:$AE$1,0)),0)&gt;
 IFERROR(1*INDEX('Durée formacode'!$C$2:$AE$44,0,MATCH(I$1,'Durée formacode'!$C$1:$AE$1,0)),0))*(IFERROR(1*INDEX('Durée formacode'!$C$2:$AE$44,0,MATCH($A13,'Durée formacode'!$C$1:$AE$1,0)),0)-IFERROR(1*INDEX('Durée formacode'!$C$2:$AE$44,0,MATCH(I$1,'Durée formacode'!$C$1:$AE$1,0)),0)))</f>
        <v>924</v>
      </c>
      <c r="J13" cm="1">
        <f t="array" ref="J13">SUMPRODUCT((IFERROR(1*INDEX('Durée formacode'!$C$2:$AE$44,0,MATCH($A13,'Durée formacode'!$C$1:$AE$1,0)),0)&gt;
 IFERROR(1*INDEX('Durée formacode'!$C$2:$AE$44,0,MATCH(J$1,'Durée formacode'!$C$1:$AE$1,0)),0))*(IFERROR(1*INDEX('Durée formacode'!$C$2:$AE$44,0,MATCH($A13,'Durée formacode'!$C$1:$AE$1,0)),0)-IFERROR(1*INDEX('Durée formacode'!$C$2:$AE$44,0,MATCH(J$1,'Durée formacode'!$C$1:$AE$1,0)),0)))</f>
        <v>914</v>
      </c>
      <c r="K13" cm="1">
        <f t="array" ref="K13">SUMPRODUCT((IFERROR(1*INDEX('Durée formacode'!$C$2:$AE$44,0,MATCH($A13,'Durée formacode'!$C$1:$AE$1,0)),0)&gt;
 IFERROR(1*INDEX('Durée formacode'!$C$2:$AE$44,0,MATCH(K$1,'Durée formacode'!$C$1:$AE$1,0)),0))*(IFERROR(1*INDEX('Durée formacode'!$C$2:$AE$44,0,MATCH($A13,'Durée formacode'!$C$1:$AE$1,0)),0)-IFERROR(1*INDEX('Durée formacode'!$C$2:$AE$44,0,MATCH(K$1,'Durée formacode'!$C$1:$AE$1,0)),0)))</f>
        <v>749</v>
      </c>
      <c r="L13" cm="1">
        <f t="array" ref="L13">SUMPRODUCT((IFERROR(1*INDEX('Durée formacode'!$C$2:$AE$44,0,MATCH($A13,'Durée formacode'!$C$1:$AE$1,0)),0)&gt;
 IFERROR(1*INDEX('Durée formacode'!$C$2:$AE$44,0,MATCH(L$1,'Durée formacode'!$C$1:$AE$1,0)),0))*(IFERROR(1*INDEX('Durée formacode'!$C$2:$AE$44,0,MATCH($A13,'Durée formacode'!$C$1:$AE$1,0)),0)-IFERROR(1*INDEX('Durée formacode'!$C$2:$AE$44,0,MATCH(L$1,'Durée formacode'!$C$1:$AE$1,0)),0)))</f>
        <v>924</v>
      </c>
      <c r="M13" cm="1">
        <f t="array" ref="M13">SUMPRODUCT((IFERROR(1*INDEX('Durée formacode'!$C$2:$AE$44,0,MATCH($A13,'Durée formacode'!$C$1:$AE$1,0)),0)&gt;
 IFERROR(1*INDEX('Durée formacode'!$C$2:$AE$44,0,MATCH(M$1,'Durée formacode'!$C$1:$AE$1,0)),0))*(IFERROR(1*INDEX('Durée formacode'!$C$2:$AE$44,0,MATCH($A13,'Durée formacode'!$C$1:$AE$1,0)),0)-IFERROR(1*INDEX('Durée formacode'!$C$2:$AE$44,0,MATCH(M$1,'Durée formacode'!$C$1:$AE$1,0)),0)))</f>
        <v>0</v>
      </c>
      <c r="N13" cm="1">
        <f t="array" ref="N13">SUMPRODUCT((IFERROR(1*INDEX('Durée formacode'!$C$2:$AE$44,0,MATCH($A13,'Durée formacode'!$C$1:$AE$1,0)),0)&gt;
 IFERROR(1*INDEX('Durée formacode'!$C$2:$AE$44,0,MATCH(N$1,'Durée formacode'!$C$1:$AE$1,0)),0))*(IFERROR(1*INDEX('Durée formacode'!$C$2:$AE$44,0,MATCH($A13,'Durée formacode'!$C$1:$AE$1,0)),0)-IFERROR(1*INDEX('Durée formacode'!$C$2:$AE$44,0,MATCH(N$1,'Durée formacode'!$C$1:$AE$1,0)),0)))</f>
        <v>424</v>
      </c>
      <c r="O13" cm="1">
        <f t="array" ref="O13">SUMPRODUCT((IFERROR(1*INDEX('Durée formacode'!$C$2:$AE$44,0,MATCH($A13,'Durée formacode'!$C$1:$AE$1,0)),0)&gt;
 IFERROR(1*INDEX('Durée formacode'!$C$2:$AE$44,0,MATCH(O$1,'Durée formacode'!$C$1:$AE$1,0)),0))*(IFERROR(1*INDEX('Durée formacode'!$C$2:$AE$44,0,MATCH($A13,'Durée formacode'!$C$1:$AE$1,0)),0)-IFERROR(1*INDEX('Durée formacode'!$C$2:$AE$44,0,MATCH(O$1,'Durée formacode'!$C$1:$AE$1,0)),0)))</f>
        <v>844</v>
      </c>
      <c r="P13" cm="1">
        <f t="array" ref="P13">SUMPRODUCT((IFERROR(1*INDEX('Durée formacode'!$C$2:$AE$44,0,MATCH($A13,'Durée formacode'!$C$1:$AE$1,0)),0)&gt;
 IFERROR(1*INDEX('Durée formacode'!$C$2:$AE$44,0,MATCH(P$1,'Durée formacode'!$C$1:$AE$1,0)),0))*(IFERROR(1*INDEX('Durée formacode'!$C$2:$AE$44,0,MATCH($A13,'Durée formacode'!$C$1:$AE$1,0)),0)-IFERROR(1*INDEX('Durée formacode'!$C$2:$AE$44,0,MATCH(P$1,'Durée formacode'!$C$1:$AE$1,0)),0)))</f>
        <v>455</v>
      </c>
      <c r="Q13" cm="1">
        <f t="array" ref="Q13">SUMPRODUCT((IFERROR(1*INDEX('Durée formacode'!$C$2:$AE$44,0,MATCH($A13,'Durée formacode'!$C$1:$AE$1,0)),0)&gt;
 IFERROR(1*INDEX('Durée formacode'!$C$2:$AE$44,0,MATCH(Q$1,'Durée formacode'!$C$1:$AE$1,0)),0))*(IFERROR(1*INDEX('Durée formacode'!$C$2:$AE$44,0,MATCH($A13,'Durée formacode'!$C$1:$AE$1,0)),0)-IFERROR(1*INDEX('Durée formacode'!$C$2:$AE$44,0,MATCH(Q$1,'Durée formacode'!$C$1:$AE$1,0)),0)))</f>
        <v>354</v>
      </c>
      <c r="R13" cm="1">
        <f t="array" ref="R13">SUMPRODUCT((IFERROR(1*INDEX('Durée formacode'!$C$2:$AE$44,0,MATCH($A13,'Durée formacode'!$C$1:$AE$1,0)),0)&gt;
 IFERROR(1*INDEX('Durée formacode'!$C$2:$AE$44,0,MATCH(R$1,'Durée formacode'!$C$1:$AE$1,0)),0))*(IFERROR(1*INDEX('Durée formacode'!$C$2:$AE$44,0,MATCH($A13,'Durée formacode'!$C$1:$AE$1,0)),0)-IFERROR(1*INDEX('Durée formacode'!$C$2:$AE$44,0,MATCH(R$1,'Durée formacode'!$C$1:$AE$1,0)),0)))</f>
        <v>914</v>
      </c>
      <c r="S13" cm="1">
        <f t="array" ref="S13">SUMPRODUCT((IFERROR(1*INDEX('Durée formacode'!$C$2:$AE$44,0,MATCH($A13,'Durée formacode'!$C$1:$AE$1,0)),0)&gt;
 IFERROR(1*INDEX('Durée formacode'!$C$2:$AE$44,0,MATCH(S$1,'Durée formacode'!$C$1:$AE$1,0)),0))*(IFERROR(1*INDEX('Durée formacode'!$C$2:$AE$44,0,MATCH($A13,'Durée formacode'!$C$1:$AE$1,0)),0)-IFERROR(1*INDEX('Durée formacode'!$C$2:$AE$44,0,MATCH(S$1,'Durée formacode'!$C$1:$AE$1,0)),0)))</f>
        <v>424</v>
      </c>
      <c r="T13" cm="1">
        <f t="array" ref="T13">SUMPRODUCT((IFERROR(1*INDEX('Durée formacode'!$C$2:$AE$44,0,MATCH($A13,'Durée formacode'!$C$1:$AE$1,0)),0)&gt;
 IFERROR(1*INDEX('Durée formacode'!$C$2:$AE$44,0,MATCH(T$1,'Durée formacode'!$C$1:$AE$1,0)),0))*(IFERROR(1*INDEX('Durée formacode'!$C$2:$AE$44,0,MATCH($A13,'Durée formacode'!$C$1:$AE$1,0)),0)-IFERROR(1*INDEX('Durée formacode'!$C$2:$AE$44,0,MATCH(T$1,'Durée formacode'!$C$1:$AE$1,0)),0)))</f>
        <v>210</v>
      </c>
      <c r="U13" cm="1">
        <f t="array" ref="U13">SUMPRODUCT((IFERROR(1*INDEX('Durée formacode'!$C$2:$AE$44,0,MATCH($A13,'Durée formacode'!$C$1:$AE$1,0)),0)&gt;
 IFERROR(1*INDEX('Durée formacode'!$C$2:$AE$44,0,MATCH(U$1,'Durée formacode'!$C$1:$AE$1,0)),0))*(IFERROR(1*INDEX('Durée formacode'!$C$2:$AE$44,0,MATCH($A13,'Durée formacode'!$C$1:$AE$1,0)),0)-IFERROR(1*INDEX('Durée formacode'!$C$2:$AE$44,0,MATCH(U$1,'Durée formacode'!$C$1:$AE$1,0)),0)))</f>
        <v>424</v>
      </c>
      <c r="V13" cm="1">
        <f t="array" ref="V13">SUMPRODUCT((IFERROR(1*INDEX('Durée formacode'!$C$2:$AE$44,0,MATCH($A13,'Durée formacode'!$C$1:$AE$1,0)),0)&gt;
 IFERROR(1*INDEX('Durée formacode'!$C$2:$AE$44,0,MATCH(V$1,'Durée formacode'!$C$1:$AE$1,0)),0))*(IFERROR(1*INDEX('Durée formacode'!$C$2:$AE$44,0,MATCH($A13,'Durée formacode'!$C$1:$AE$1,0)),0)-IFERROR(1*INDEX('Durée formacode'!$C$2:$AE$44,0,MATCH(V$1,'Durée formacode'!$C$1:$AE$1,0)),0)))</f>
        <v>210</v>
      </c>
      <c r="W13" cm="1">
        <f t="array" ref="W13">SUMPRODUCT((IFERROR(1*INDEX('Durée formacode'!$C$2:$AE$44,0,MATCH($A13,'Durée formacode'!$C$1:$AE$1,0)),0)&gt;
 IFERROR(1*INDEX('Durée formacode'!$C$2:$AE$44,0,MATCH(W$1,'Durée formacode'!$C$1:$AE$1,0)),0))*(IFERROR(1*INDEX('Durée formacode'!$C$2:$AE$44,0,MATCH($A13,'Durée formacode'!$C$1:$AE$1,0)),0)-IFERROR(1*INDEX('Durée formacode'!$C$2:$AE$44,0,MATCH(W$1,'Durée formacode'!$C$1:$AE$1,0)),0)))</f>
        <v>210</v>
      </c>
      <c r="X13" cm="1">
        <f t="array" ref="X13">SUMPRODUCT((IFERROR(1*INDEX('Durée formacode'!$C$2:$AE$44,0,MATCH($A13,'Durée formacode'!$C$1:$AE$1,0)),0)&gt;
 IFERROR(1*INDEX('Durée formacode'!$C$2:$AE$44,0,MATCH(X$1,'Durée formacode'!$C$1:$AE$1,0)),0))*(IFERROR(1*INDEX('Durée formacode'!$C$2:$AE$44,0,MATCH($A13,'Durée formacode'!$C$1:$AE$1,0)),0)-IFERROR(1*INDEX('Durée formacode'!$C$2:$AE$44,0,MATCH(X$1,'Durée formacode'!$C$1:$AE$1,0)),0)))</f>
        <v>669</v>
      </c>
      <c r="Y13" cm="1">
        <f t="array" ref="Y13">SUMPRODUCT((IFERROR(1*INDEX('Durée formacode'!$C$2:$AE$44,0,MATCH($A13,'Durée formacode'!$C$1:$AE$1,0)),0)&gt;
 IFERROR(1*INDEX('Durée formacode'!$C$2:$AE$44,0,MATCH(Y$1,'Durée formacode'!$C$1:$AE$1,0)),0))*(IFERROR(1*INDEX('Durée formacode'!$C$2:$AE$44,0,MATCH($A13,'Durée formacode'!$C$1:$AE$1,0)),0)-IFERROR(1*INDEX('Durée formacode'!$C$2:$AE$44,0,MATCH(Y$1,'Durée formacode'!$C$1:$AE$1,0)),0)))</f>
        <v>424</v>
      </c>
      <c r="Z13" cm="1">
        <f t="array" ref="Z13">SUMPRODUCT((IFERROR(1*INDEX('Durée formacode'!$C$2:$AE$44,0,MATCH($A13,'Durée formacode'!$C$1:$AE$1,0)),0)&gt;
 IFERROR(1*INDEX('Durée formacode'!$C$2:$AE$44,0,MATCH(Z$1,'Durée formacode'!$C$1:$AE$1,0)),0))*(IFERROR(1*INDEX('Durée formacode'!$C$2:$AE$44,0,MATCH($A13,'Durée formacode'!$C$1:$AE$1,0)),0)-IFERROR(1*INDEX('Durée formacode'!$C$2:$AE$44,0,MATCH(Z$1,'Durée formacode'!$C$1:$AE$1,0)),0)))</f>
        <v>424</v>
      </c>
      <c r="AA13" cm="1">
        <f t="array" ref="AA13">SUMPRODUCT((IFERROR(1*INDEX('Durée formacode'!$C$2:$AE$44,0,MATCH($A13,'Durée formacode'!$C$1:$AE$1,0)),0)&gt;
 IFERROR(1*INDEX('Durée formacode'!$C$2:$AE$44,0,MATCH(AA$1,'Durée formacode'!$C$1:$AE$1,0)),0))*(IFERROR(1*INDEX('Durée formacode'!$C$2:$AE$44,0,MATCH($A13,'Durée formacode'!$C$1:$AE$1,0)),0)-IFERROR(1*INDEX('Durée formacode'!$C$2:$AE$44,0,MATCH(AA$1,'Durée formacode'!$C$1:$AE$1,0)),0)))</f>
        <v>424</v>
      </c>
      <c r="AB13" cm="1">
        <f t="array" ref="AB13">SUMPRODUCT((IFERROR(1*INDEX('Durée formacode'!$C$2:$AE$44,0,MATCH($A13,'Durée formacode'!$C$1:$AE$1,0)),0)&gt;
 IFERROR(1*INDEX('Durée formacode'!$C$2:$AE$44,0,MATCH(AB$1,'Durée formacode'!$C$1:$AE$1,0)),0))*(IFERROR(1*INDEX('Durée formacode'!$C$2:$AE$44,0,MATCH($A13,'Durée formacode'!$C$1:$AE$1,0)),0)-IFERROR(1*INDEX('Durée formacode'!$C$2:$AE$44,0,MATCH(AB$1,'Durée formacode'!$C$1:$AE$1,0)),0)))</f>
        <v>245</v>
      </c>
      <c r="AC13" cm="1">
        <f t="array" ref="AC13">SUMPRODUCT((IFERROR(1*INDEX('Durée formacode'!$C$2:$AE$44,0,MATCH($A13,'Durée formacode'!$C$1:$AE$1,0)),0)&gt;
 IFERROR(1*INDEX('Durée formacode'!$C$2:$AE$44,0,MATCH(AC$1,'Durée formacode'!$C$1:$AE$1,0)),0))*(IFERROR(1*INDEX('Durée formacode'!$C$2:$AE$44,0,MATCH($A13,'Durée formacode'!$C$1:$AE$1,0)),0)-IFERROR(1*INDEX('Durée formacode'!$C$2:$AE$44,0,MATCH(AC$1,'Durée formacode'!$C$1:$AE$1,0)),0)))</f>
        <v>245</v>
      </c>
      <c r="AD13" cm="1">
        <f t="array" ref="AD13">SUMPRODUCT((IFERROR(1*INDEX('Durée formacode'!$C$2:$AE$44,0,MATCH($A13,'Durée formacode'!$C$1:$AE$1,0)),0)&gt;
 IFERROR(1*INDEX('Durée formacode'!$C$2:$AE$44,0,MATCH(AD$1,'Durée formacode'!$C$1:$AE$1,0)),0))*(IFERROR(1*INDEX('Durée formacode'!$C$2:$AE$44,0,MATCH($A13,'Durée formacode'!$C$1:$AE$1,0)),0)-IFERROR(1*INDEX('Durée formacode'!$C$2:$AE$44,0,MATCH(AD$1,'Durée formacode'!$C$1:$AE$1,0)),0)))</f>
        <v>245</v>
      </c>
    </row>
    <row r="14" spans="1:30">
      <c r="A14" s="55" t="str">
        <v>Spécialiste procédés et installations de production alimentaire</v>
      </c>
      <c r="B14" cm="1">
        <f t="array" ref="B14">SUMPRODUCT((IFERROR(1*INDEX('Durée formacode'!$C$2:$AE$44,0,MATCH($A14,'Durée formacode'!$C$1:$AE$1,0)),0)&gt;
 IFERROR(1*INDEX('Durée formacode'!$C$2:$AE$44,0,MATCH(B$1,'Durée formacode'!$C$1:$AE$1,0)),0))*(IFERROR(1*INDEX('Durée formacode'!$C$2:$AE$44,0,MATCH($A14,'Durée formacode'!$C$1:$AE$1,0)),0)-IFERROR(1*INDEX('Durée formacode'!$C$2:$AE$44,0,MATCH(B$1,'Durée formacode'!$C$1:$AE$1,0)),0)))</f>
        <v>2008</v>
      </c>
      <c r="C14" cm="1">
        <f t="array" ref="C14">SUMPRODUCT((IFERROR(1*INDEX('Durée formacode'!$C$2:$AE$44,0,MATCH($A14,'Durée formacode'!$C$1:$AE$1,0)),0)&gt;
 IFERROR(1*INDEX('Durée formacode'!$C$2:$AE$44,0,MATCH(C$1,'Durée formacode'!$C$1:$AE$1,0)),0))*(IFERROR(1*INDEX('Durée formacode'!$C$2:$AE$44,0,MATCH($A14,'Durée formacode'!$C$1:$AE$1,0)),0)-IFERROR(1*INDEX('Durée formacode'!$C$2:$AE$44,0,MATCH(C$1,'Durée formacode'!$C$1:$AE$1,0)),0)))</f>
        <v>2001</v>
      </c>
      <c r="D14" cm="1">
        <f t="array" ref="D14">SUMPRODUCT((IFERROR(1*INDEX('Durée formacode'!$C$2:$AE$44,0,MATCH($A14,'Durée formacode'!$C$1:$AE$1,0)),0)&gt;
 IFERROR(1*INDEX('Durée formacode'!$C$2:$AE$44,0,MATCH(D$1,'Durée formacode'!$C$1:$AE$1,0)),0))*(IFERROR(1*INDEX('Durée formacode'!$C$2:$AE$44,0,MATCH($A14,'Durée formacode'!$C$1:$AE$1,0)),0)-IFERROR(1*INDEX('Durée formacode'!$C$2:$AE$44,0,MATCH(D$1,'Durée formacode'!$C$1:$AE$1,0)),0)))</f>
        <v>2865</v>
      </c>
      <c r="E14" cm="1">
        <f t="array" ref="E14">SUMPRODUCT((IFERROR(1*INDEX('Durée formacode'!$C$2:$AE$44,0,MATCH($A14,'Durée formacode'!$C$1:$AE$1,0)),0)&gt;
 IFERROR(1*INDEX('Durée formacode'!$C$2:$AE$44,0,MATCH(E$1,'Durée formacode'!$C$1:$AE$1,0)),0))*(IFERROR(1*INDEX('Durée formacode'!$C$2:$AE$44,0,MATCH($A14,'Durée formacode'!$C$1:$AE$1,0)),0)-IFERROR(1*INDEX('Durée formacode'!$C$2:$AE$44,0,MATCH(E$1,'Durée formacode'!$C$1:$AE$1,0)),0)))</f>
        <v>2318</v>
      </c>
      <c r="F14" cm="1">
        <f t="array" ref="F14">SUMPRODUCT((IFERROR(1*INDEX('Durée formacode'!$C$2:$AE$44,0,MATCH($A14,'Durée formacode'!$C$1:$AE$1,0)),0)&gt;
 IFERROR(1*INDEX('Durée formacode'!$C$2:$AE$44,0,MATCH(F$1,'Durée formacode'!$C$1:$AE$1,0)),0))*(IFERROR(1*INDEX('Durée formacode'!$C$2:$AE$44,0,MATCH($A14,'Durée formacode'!$C$1:$AE$1,0)),0)-IFERROR(1*INDEX('Durée formacode'!$C$2:$AE$44,0,MATCH(F$1,'Durée formacode'!$C$1:$AE$1,0)),0)))</f>
        <v>1562</v>
      </c>
      <c r="G14" cm="1">
        <f t="array" ref="G14">SUMPRODUCT((IFERROR(1*INDEX('Durée formacode'!$C$2:$AE$44,0,MATCH($A14,'Durée formacode'!$C$1:$AE$1,0)),0)&gt;
 IFERROR(1*INDEX('Durée formacode'!$C$2:$AE$44,0,MATCH(G$1,'Durée formacode'!$C$1:$AE$1,0)),0))*(IFERROR(1*INDEX('Durée formacode'!$C$2:$AE$44,0,MATCH($A14,'Durée formacode'!$C$1:$AE$1,0)),0)-IFERROR(1*INDEX('Durée formacode'!$C$2:$AE$44,0,MATCH(G$1,'Durée formacode'!$C$1:$AE$1,0)),0)))</f>
        <v>1485</v>
      </c>
      <c r="H14" cm="1">
        <f t="array" ref="H14">SUMPRODUCT((IFERROR(1*INDEX('Durée formacode'!$C$2:$AE$44,0,MATCH($A14,'Durée formacode'!$C$1:$AE$1,0)),0)&gt;
 IFERROR(1*INDEX('Durée formacode'!$C$2:$AE$44,0,MATCH(H$1,'Durée formacode'!$C$1:$AE$1,0)),0))*(IFERROR(1*INDEX('Durée formacode'!$C$2:$AE$44,0,MATCH($A14,'Durée formacode'!$C$1:$AE$1,0)),0)-IFERROR(1*INDEX('Durée formacode'!$C$2:$AE$44,0,MATCH(H$1,'Durée formacode'!$C$1:$AE$1,0)),0)))</f>
        <v>2000</v>
      </c>
      <c r="I14" cm="1">
        <f t="array" ref="I14">SUMPRODUCT((IFERROR(1*INDEX('Durée formacode'!$C$2:$AE$44,0,MATCH($A14,'Durée formacode'!$C$1:$AE$1,0)),0)&gt;
 IFERROR(1*INDEX('Durée formacode'!$C$2:$AE$44,0,MATCH(I$1,'Durée formacode'!$C$1:$AE$1,0)),0))*(IFERROR(1*INDEX('Durée formacode'!$C$2:$AE$44,0,MATCH($A14,'Durée formacode'!$C$1:$AE$1,0)),0)-IFERROR(1*INDEX('Durée formacode'!$C$2:$AE$44,0,MATCH(I$1,'Durée formacode'!$C$1:$AE$1,0)),0)))</f>
        <v>2865</v>
      </c>
      <c r="J14" cm="1">
        <f t="array" ref="J14">SUMPRODUCT((IFERROR(1*INDEX('Durée formacode'!$C$2:$AE$44,0,MATCH($A14,'Durée formacode'!$C$1:$AE$1,0)),0)&gt;
 IFERROR(1*INDEX('Durée formacode'!$C$2:$AE$44,0,MATCH(J$1,'Durée formacode'!$C$1:$AE$1,0)),0))*(IFERROR(1*INDEX('Durée formacode'!$C$2:$AE$44,0,MATCH($A14,'Durée formacode'!$C$1:$AE$1,0)),0)-IFERROR(1*INDEX('Durée formacode'!$C$2:$AE$44,0,MATCH(J$1,'Durée formacode'!$C$1:$AE$1,0)),0)))</f>
        <v>2152</v>
      </c>
      <c r="K14" cm="1">
        <f t="array" ref="K14">SUMPRODUCT((IFERROR(1*INDEX('Durée formacode'!$C$2:$AE$44,0,MATCH($A14,'Durée formacode'!$C$1:$AE$1,0)),0)&gt;
 IFERROR(1*INDEX('Durée formacode'!$C$2:$AE$44,0,MATCH(K$1,'Durée formacode'!$C$1:$AE$1,0)),0))*(IFERROR(1*INDEX('Durée formacode'!$C$2:$AE$44,0,MATCH($A14,'Durée formacode'!$C$1:$AE$1,0)),0)-IFERROR(1*INDEX('Durée formacode'!$C$2:$AE$44,0,MATCH(K$1,'Durée formacode'!$C$1:$AE$1,0)),0)))</f>
        <v>1027</v>
      </c>
      <c r="L14" cm="1">
        <f t="array" ref="L14">SUMPRODUCT((IFERROR(1*INDEX('Durée formacode'!$C$2:$AE$44,0,MATCH($A14,'Durée formacode'!$C$1:$AE$1,0)),0)&gt;
 IFERROR(1*INDEX('Durée formacode'!$C$2:$AE$44,0,MATCH(L$1,'Durée formacode'!$C$1:$AE$1,0)),0))*(IFERROR(1*INDEX('Durée formacode'!$C$2:$AE$44,0,MATCH($A14,'Durée formacode'!$C$1:$AE$1,0)),0)-IFERROR(1*INDEX('Durée formacode'!$C$2:$AE$44,0,MATCH(L$1,'Durée formacode'!$C$1:$AE$1,0)),0)))</f>
        <v>2865</v>
      </c>
      <c r="M14" cm="1">
        <f t="array" ref="M14">SUMPRODUCT((IFERROR(1*INDEX('Durée formacode'!$C$2:$AE$44,0,MATCH($A14,'Durée formacode'!$C$1:$AE$1,0)),0)&gt;
 IFERROR(1*INDEX('Durée formacode'!$C$2:$AE$44,0,MATCH(M$1,'Durée formacode'!$C$1:$AE$1,0)),0))*(IFERROR(1*INDEX('Durée formacode'!$C$2:$AE$44,0,MATCH($A14,'Durée formacode'!$C$1:$AE$1,0)),0)-IFERROR(1*INDEX('Durée formacode'!$C$2:$AE$44,0,MATCH(M$1,'Durée formacode'!$C$1:$AE$1,0)),0)))</f>
        <v>2365</v>
      </c>
      <c r="N14" cm="1">
        <f t="array" ref="N14">SUMPRODUCT((IFERROR(1*INDEX('Durée formacode'!$C$2:$AE$44,0,MATCH($A14,'Durée formacode'!$C$1:$AE$1,0)),0)&gt;
 IFERROR(1*INDEX('Durée formacode'!$C$2:$AE$44,0,MATCH(N$1,'Durée formacode'!$C$1:$AE$1,0)),0))*(IFERROR(1*INDEX('Durée formacode'!$C$2:$AE$44,0,MATCH($A14,'Durée formacode'!$C$1:$AE$1,0)),0)-IFERROR(1*INDEX('Durée formacode'!$C$2:$AE$44,0,MATCH(N$1,'Durée formacode'!$C$1:$AE$1,0)),0)))</f>
        <v>0</v>
      </c>
      <c r="O14" cm="1">
        <f t="array" ref="O14">SUMPRODUCT((IFERROR(1*INDEX('Durée formacode'!$C$2:$AE$44,0,MATCH($A14,'Durée formacode'!$C$1:$AE$1,0)),0)&gt;
 IFERROR(1*INDEX('Durée formacode'!$C$2:$AE$44,0,MATCH(O$1,'Durée formacode'!$C$1:$AE$1,0)),0))*(IFERROR(1*INDEX('Durée formacode'!$C$2:$AE$44,0,MATCH($A14,'Durée formacode'!$C$1:$AE$1,0)),0)-IFERROR(1*INDEX('Durée formacode'!$C$2:$AE$44,0,MATCH(O$1,'Durée formacode'!$C$1:$AE$1,0)),0)))</f>
        <v>2785</v>
      </c>
      <c r="P14" cm="1">
        <f t="array" ref="P14">SUMPRODUCT((IFERROR(1*INDEX('Durée formacode'!$C$2:$AE$44,0,MATCH($A14,'Durée formacode'!$C$1:$AE$1,0)),0)&gt;
 IFERROR(1*INDEX('Durée formacode'!$C$2:$AE$44,0,MATCH(P$1,'Durée formacode'!$C$1:$AE$1,0)),0))*(IFERROR(1*INDEX('Durée formacode'!$C$2:$AE$44,0,MATCH($A14,'Durée formacode'!$C$1:$AE$1,0)),0)-IFERROR(1*INDEX('Durée formacode'!$C$2:$AE$44,0,MATCH(P$1,'Durée formacode'!$C$1:$AE$1,0)),0)))</f>
        <v>2610</v>
      </c>
      <c r="Q14" cm="1">
        <f t="array" ref="Q14">SUMPRODUCT((IFERROR(1*INDEX('Durée formacode'!$C$2:$AE$44,0,MATCH($A14,'Durée formacode'!$C$1:$AE$1,0)),0)&gt;
 IFERROR(1*INDEX('Durée formacode'!$C$2:$AE$44,0,MATCH(Q$1,'Durée formacode'!$C$1:$AE$1,0)),0))*(IFERROR(1*INDEX('Durée formacode'!$C$2:$AE$44,0,MATCH($A14,'Durée formacode'!$C$1:$AE$1,0)),0)-IFERROR(1*INDEX('Durée formacode'!$C$2:$AE$44,0,MATCH(Q$1,'Durée formacode'!$C$1:$AE$1,0)),0)))</f>
        <v>1490</v>
      </c>
      <c r="R14" cm="1">
        <f t="array" ref="R14">SUMPRODUCT((IFERROR(1*INDEX('Durée formacode'!$C$2:$AE$44,0,MATCH($A14,'Durée formacode'!$C$1:$AE$1,0)),0)&gt;
 IFERROR(1*INDEX('Durée formacode'!$C$2:$AE$44,0,MATCH(R$1,'Durée formacode'!$C$1:$AE$1,0)),0))*(IFERROR(1*INDEX('Durée formacode'!$C$2:$AE$44,0,MATCH($A14,'Durée formacode'!$C$1:$AE$1,0)),0)-IFERROR(1*INDEX('Durée formacode'!$C$2:$AE$44,0,MATCH(R$1,'Durée formacode'!$C$1:$AE$1,0)),0)))</f>
        <v>2344</v>
      </c>
      <c r="S14" cm="1">
        <f t="array" ref="S14">SUMPRODUCT((IFERROR(1*INDEX('Durée formacode'!$C$2:$AE$44,0,MATCH($A14,'Durée formacode'!$C$1:$AE$1,0)),0)&gt;
 IFERROR(1*INDEX('Durée formacode'!$C$2:$AE$44,0,MATCH(S$1,'Durée formacode'!$C$1:$AE$1,0)),0))*(IFERROR(1*INDEX('Durée formacode'!$C$2:$AE$44,0,MATCH($A14,'Durée formacode'!$C$1:$AE$1,0)),0)-IFERROR(1*INDEX('Durée formacode'!$C$2:$AE$44,0,MATCH(S$1,'Durée formacode'!$C$1:$AE$1,0)),0)))</f>
        <v>2295</v>
      </c>
      <c r="T14" cm="1">
        <f t="array" ref="T14">SUMPRODUCT((IFERROR(1*INDEX('Durée formacode'!$C$2:$AE$44,0,MATCH($A14,'Durée formacode'!$C$1:$AE$1,0)),0)&gt;
 IFERROR(1*INDEX('Durée formacode'!$C$2:$AE$44,0,MATCH(T$1,'Durée formacode'!$C$1:$AE$1,0)),0))*(IFERROR(1*INDEX('Durée formacode'!$C$2:$AE$44,0,MATCH($A14,'Durée formacode'!$C$1:$AE$1,0)),0)-IFERROR(1*INDEX('Durée formacode'!$C$2:$AE$44,0,MATCH(T$1,'Durée formacode'!$C$1:$AE$1,0)),0)))</f>
        <v>2071</v>
      </c>
      <c r="U14" cm="1">
        <f t="array" ref="U14">SUMPRODUCT((IFERROR(1*INDEX('Durée formacode'!$C$2:$AE$44,0,MATCH($A14,'Durée formacode'!$C$1:$AE$1,0)),0)&gt;
 IFERROR(1*INDEX('Durée formacode'!$C$2:$AE$44,0,MATCH(U$1,'Durée formacode'!$C$1:$AE$1,0)),0))*(IFERROR(1*INDEX('Durée formacode'!$C$2:$AE$44,0,MATCH($A14,'Durée formacode'!$C$1:$AE$1,0)),0)-IFERROR(1*INDEX('Durée formacode'!$C$2:$AE$44,0,MATCH(U$1,'Durée formacode'!$C$1:$AE$1,0)),0)))</f>
        <v>2295</v>
      </c>
      <c r="V14" cm="1">
        <f t="array" ref="V14">SUMPRODUCT((IFERROR(1*INDEX('Durée formacode'!$C$2:$AE$44,0,MATCH($A14,'Durée formacode'!$C$1:$AE$1,0)),0)&gt;
 IFERROR(1*INDEX('Durée formacode'!$C$2:$AE$44,0,MATCH(V$1,'Durée formacode'!$C$1:$AE$1,0)),0))*(IFERROR(1*INDEX('Durée formacode'!$C$2:$AE$44,0,MATCH($A14,'Durée formacode'!$C$1:$AE$1,0)),0)-IFERROR(1*INDEX('Durée formacode'!$C$2:$AE$44,0,MATCH(V$1,'Durée formacode'!$C$1:$AE$1,0)),0)))</f>
        <v>2071</v>
      </c>
      <c r="W14" cm="1">
        <f t="array" ref="W14">SUMPRODUCT((IFERROR(1*INDEX('Durée formacode'!$C$2:$AE$44,0,MATCH($A14,'Durée formacode'!$C$1:$AE$1,0)),0)&gt;
 IFERROR(1*INDEX('Durée formacode'!$C$2:$AE$44,0,MATCH(W$1,'Durée formacode'!$C$1:$AE$1,0)),0))*(IFERROR(1*INDEX('Durée formacode'!$C$2:$AE$44,0,MATCH($A14,'Durée formacode'!$C$1:$AE$1,0)),0)-IFERROR(1*INDEX('Durée formacode'!$C$2:$AE$44,0,MATCH(W$1,'Durée formacode'!$C$1:$AE$1,0)),0)))</f>
        <v>1727</v>
      </c>
      <c r="X14" cm="1">
        <f t="array" ref="X14">SUMPRODUCT((IFERROR(1*INDEX('Durée formacode'!$C$2:$AE$44,0,MATCH($A14,'Durée formacode'!$C$1:$AE$1,0)),0)&gt;
 IFERROR(1*INDEX('Durée formacode'!$C$2:$AE$44,0,MATCH(X$1,'Durée formacode'!$C$1:$AE$1,0)),0))*(IFERROR(1*INDEX('Durée formacode'!$C$2:$AE$44,0,MATCH($A14,'Durée formacode'!$C$1:$AE$1,0)),0)-IFERROR(1*INDEX('Durée formacode'!$C$2:$AE$44,0,MATCH(X$1,'Durée formacode'!$C$1:$AE$1,0)),0)))</f>
        <v>1985</v>
      </c>
      <c r="Y14" cm="1">
        <f t="array" ref="Y14">SUMPRODUCT((IFERROR(1*INDEX('Durée formacode'!$C$2:$AE$44,0,MATCH($A14,'Durée formacode'!$C$1:$AE$1,0)),0)&gt;
 IFERROR(1*INDEX('Durée formacode'!$C$2:$AE$44,0,MATCH(Y$1,'Durée formacode'!$C$1:$AE$1,0)),0))*(IFERROR(1*INDEX('Durée formacode'!$C$2:$AE$44,0,MATCH($A14,'Durée formacode'!$C$1:$AE$1,0)),0)-IFERROR(1*INDEX('Durée formacode'!$C$2:$AE$44,0,MATCH(Y$1,'Durée formacode'!$C$1:$AE$1,0)),0)))</f>
        <v>2365</v>
      </c>
      <c r="Z14" cm="1">
        <f t="array" ref="Z14">SUMPRODUCT((IFERROR(1*INDEX('Durée formacode'!$C$2:$AE$44,0,MATCH($A14,'Durée formacode'!$C$1:$AE$1,0)),0)&gt;
 IFERROR(1*INDEX('Durée formacode'!$C$2:$AE$44,0,MATCH(Z$1,'Durée formacode'!$C$1:$AE$1,0)),0))*(IFERROR(1*INDEX('Durée formacode'!$C$2:$AE$44,0,MATCH($A14,'Durée formacode'!$C$1:$AE$1,0)),0)-IFERROR(1*INDEX('Durée formacode'!$C$2:$AE$44,0,MATCH(Z$1,'Durée formacode'!$C$1:$AE$1,0)),0)))</f>
        <v>2365</v>
      </c>
      <c r="AA14" cm="1">
        <f t="array" ref="AA14">SUMPRODUCT((IFERROR(1*INDEX('Durée formacode'!$C$2:$AE$44,0,MATCH($A14,'Durée formacode'!$C$1:$AE$1,0)),0)&gt;
 IFERROR(1*INDEX('Durée formacode'!$C$2:$AE$44,0,MATCH(AA$1,'Durée formacode'!$C$1:$AE$1,0)),0))*(IFERROR(1*INDEX('Durée formacode'!$C$2:$AE$44,0,MATCH($A14,'Durée formacode'!$C$1:$AE$1,0)),0)-IFERROR(1*INDEX('Durée formacode'!$C$2:$AE$44,0,MATCH(AA$1,'Durée formacode'!$C$1:$AE$1,0)),0)))</f>
        <v>2365</v>
      </c>
      <c r="AB14" cm="1">
        <f t="array" ref="AB14">SUMPRODUCT((IFERROR(1*INDEX('Durée formacode'!$C$2:$AE$44,0,MATCH($A14,'Durée formacode'!$C$1:$AE$1,0)),0)&gt;
 IFERROR(1*INDEX('Durée formacode'!$C$2:$AE$44,0,MATCH(AB$1,'Durée formacode'!$C$1:$AE$1,0)),0))*(IFERROR(1*INDEX('Durée formacode'!$C$2:$AE$44,0,MATCH($A14,'Durée formacode'!$C$1:$AE$1,0)),0)-IFERROR(1*INDEX('Durée formacode'!$C$2:$AE$44,0,MATCH(AB$1,'Durée formacode'!$C$1:$AE$1,0)),0)))</f>
        <v>2501</v>
      </c>
      <c r="AC14" cm="1">
        <f t="array" ref="AC14">SUMPRODUCT((IFERROR(1*INDEX('Durée formacode'!$C$2:$AE$44,0,MATCH($A14,'Durée formacode'!$C$1:$AE$1,0)),0)&gt;
 IFERROR(1*INDEX('Durée formacode'!$C$2:$AE$44,0,MATCH(AC$1,'Durée formacode'!$C$1:$AE$1,0)),0))*(IFERROR(1*INDEX('Durée formacode'!$C$2:$AE$44,0,MATCH($A14,'Durée formacode'!$C$1:$AE$1,0)),0)-IFERROR(1*INDEX('Durée formacode'!$C$2:$AE$44,0,MATCH(AC$1,'Durée formacode'!$C$1:$AE$1,0)),0)))</f>
        <v>2501</v>
      </c>
      <c r="AD14" cm="1">
        <f t="array" ref="AD14">SUMPRODUCT((IFERROR(1*INDEX('Durée formacode'!$C$2:$AE$44,0,MATCH($A14,'Durée formacode'!$C$1:$AE$1,0)),0)&gt;
 IFERROR(1*INDEX('Durée formacode'!$C$2:$AE$44,0,MATCH(AD$1,'Durée formacode'!$C$1:$AE$1,0)),0))*(IFERROR(1*INDEX('Durée formacode'!$C$2:$AE$44,0,MATCH($A14,'Durée formacode'!$C$1:$AE$1,0)),0)-IFERROR(1*INDEX('Durée formacode'!$C$2:$AE$44,0,MATCH(AD$1,'Durée formacode'!$C$1:$AE$1,0)),0)))</f>
        <v>2501</v>
      </c>
    </row>
    <row r="15" spans="1:30">
      <c r="A15" s="55" t="str">
        <v>Conducteur(trice) de livraison et de collecte</v>
      </c>
      <c r="B15" cm="1">
        <f t="array" ref="B15">SUMPRODUCT((IFERROR(1*INDEX('Durée formacode'!$C$2:$AE$44,0,MATCH($A15,'Durée formacode'!$C$1:$AE$1,0)),0)&gt;
 IFERROR(1*INDEX('Durée formacode'!$C$2:$AE$44,0,MATCH(B$1,'Durée formacode'!$C$1:$AE$1,0)),0))*(IFERROR(1*INDEX('Durée formacode'!$C$2:$AE$44,0,MATCH($A15,'Durée formacode'!$C$1:$AE$1,0)),0)-IFERROR(1*INDEX('Durée formacode'!$C$2:$AE$44,0,MATCH(B$1,'Durée formacode'!$C$1:$AE$1,0)),0)))</f>
        <v>689</v>
      </c>
      <c r="C15" cm="1">
        <f t="array" ref="C15">SUMPRODUCT((IFERROR(1*INDEX('Durée formacode'!$C$2:$AE$44,0,MATCH($A15,'Durée formacode'!$C$1:$AE$1,0)),0)&gt;
 IFERROR(1*INDEX('Durée formacode'!$C$2:$AE$44,0,MATCH(C$1,'Durée formacode'!$C$1:$AE$1,0)),0))*(IFERROR(1*INDEX('Durée formacode'!$C$2:$AE$44,0,MATCH($A15,'Durée formacode'!$C$1:$AE$1,0)),0)-IFERROR(1*INDEX('Durée formacode'!$C$2:$AE$44,0,MATCH(C$1,'Durée formacode'!$C$1:$AE$1,0)),0)))</f>
        <v>689</v>
      </c>
      <c r="D15" cm="1">
        <f t="array" ref="D15">SUMPRODUCT((IFERROR(1*INDEX('Durée formacode'!$C$2:$AE$44,0,MATCH($A15,'Durée formacode'!$C$1:$AE$1,0)),0)&gt;
 IFERROR(1*INDEX('Durée formacode'!$C$2:$AE$44,0,MATCH(D$1,'Durée formacode'!$C$1:$AE$1,0)),0))*(IFERROR(1*INDEX('Durée formacode'!$C$2:$AE$44,0,MATCH($A15,'Durée formacode'!$C$1:$AE$1,0)),0)-IFERROR(1*INDEX('Durée formacode'!$C$2:$AE$44,0,MATCH(D$1,'Durée formacode'!$C$1:$AE$1,0)),0)))</f>
        <v>769</v>
      </c>
      <c r="E15" cm="1">
        <f t="array" ref="E15">SUMPRODUCT((IFERROR(1*INDEX('Durée formacode'!$C$2:$AE$44,0,MATCH($A15,'Durée formacode'!$C$1:$AE$1,0)),0)&gt;
 IFERROR(1*INDEX('Durée formacode'!$C$2:$AE$44,0,MATCH(E$1,'Durée formacode'!$C$1:$AE$1,0)),0))*(IFERROR(1*INDEX('Durée formacode'!$C$2:$AE$44,0,MATCH($A15,'Durée formacode'!$C$1:$AE$1,0)),0)-IFERROR(1*INDEX('Durée formacode'!$C$2:$AE$44,0,MATCH(E$1,'Durée formacode'!$C$1:$AE$1,0)),0)))</f>
        <v>845</v>
      </c>
      <c r="F15" cm="1">
        <f t="array" ref="F15">SUMPRODUCT((IFERROR(1*INDEX('Durée formacode'!$C$2:$AE$44,0,MATCH($A15,'Durée formacode'!$C$1:$AE$1,0)),0)&gt;
 IFERROR(1*INDEX('Durée formacode'!$C$2:$AE$44,0,MATCH(F$1,'Durée formacode'!$C$1:$AE$1,0)),0))*(IFERROR(1*INDEX('Durée formacode'!$C$2:$AE$44,0,MATCH($A15,'Durée formacode'!$C$1:$AE$1,0)),0)-IFERROR(1*INDEX('Durée formacode'!$C$2:$AE$44,0,MATCH(F$1,'Durée formacode'!$C$1:$AE$1,0)),0)))</f>
        <v>765</v>
      </c>
      <c r="G15" cm="1">
        <f t="array" ref="G15">SUMPRODUCT((IFERROR(1*INDEX('Durée formacode'!$C$2:$AE$44,0,MATCH($A15,'Durée formacode'!$C$1:$AE$1,0)),0)&gt;
 IFERROR(1*INDEX('Durée formacode'!$C$2:$AE$44,0,MATCH(G$1,'Durée formacode'!$C$1:$AE$1,0)),0))*(IFERROR(1*INDEX('Durée formacode'!$C$2:$AE$44,0,MATCH($A15,'Durée formacode'!$C$1:$AE$1,0)),0)-IFERROR(1*INDEX('Durée formacode'!$C$2:$AE$44,0,MATCH(G$1,'Durée formacode'!$C$1:$AE$1,0)),0)))</f>
        <v>765</v>
      </c>
      <c r="H15" cm="1">
        <f t="array" ref="H15">SUMPRODUCT((IFERROR(1*INDEX('Durée formacode'!$C$2:$AE$44,0,MATCH($A15,'Durée formacode'!$C$1:$AE$1,0)),0)&gt;
 IFERROR(1*INDEX('Durée formacode'!$C$2:$AE$44,0,MATCH(H$1,'Durée formacode'!$C$1:$AE$1,0)),0))*(IFERROR(1*INDEX('Durée formacode'!$C$2:$AE$44,0,MATCH($A15,'Durée formacode'!$C$1:$AE$1,0)),0)-IFERROR(1*INDEX('Durée formacode'!$C$2:$AE$44,0,MATCH(H$1,'Durée formacode'!$C$1:$AE$1,0)),0)))</f>
        <v>835</v>
      </c>
      <c r="I15" cm="1">
        <f t="array" ref="I15">SUMPRODUCT((IFERROR(1*INDEX('Durée formacode'!$C$2:$AE$44,0,MATCH($A15,'Durée formacode'!$C$1:$AE$1,0)),0)&gt;
 IFERROR(1*INDEX('Durée formacode'!$C$2:$AE$44,0,MATCH(I$1,'Durée formacode'!$C$1:$AE$1,0)),0))*(IFERROR(1*INDEX('Durée formacode'!$C$2:$AE$44,0,MATCH($A15,'Durée formacode'!$C$1:$AE$1,0)),0)-IFERROR(1*INDEX('Durée formacode'!$C$2:$AE$44,0,MATCH(I$1,'Durée formacode'!$C$1:$AE$1,0)),0)))</f>
        <v>769</v>
      </c>
      <c r="J15" cm="1">
        <f t="array" ref="J15">SUMPRODUCT((IFERROR(1*INDEX('Durée formacode'!$C$2:$AE$44,0,MATCH($A15,'Durée formacode'!$C$1:$AE$1,0)),0)&gt;
 IFERROR(1*INDEX('Durée formacode'!$C$2:$AE$44,0,MATCH(J$1,'Durée formacode'!$C$1:$AE$1,0)),0))*(IFERROR(1*INDEX('Durée formacode'!$C$2:$AE$44,0,MATCH($A15,'Durée formacode'!$C$1:$AE$1,0)),0)-IFERROR(1*INDEX('Durée formacode'!$C$2:$AE$44,0,MATCH(J$1,'Durée formacode'!$C$1:$AE$1,0)),0)))</f>
        <v>835</v>
      </c>
      <c r="K15" cm="1">
        <f t="array" ref="K15">SUMPRODUCT((IFERROR(1*INDEX('Durée formacode'!$C$2:$AE$44,0,MATCH($A15,'Durée formacode'!$C$1:$AE$1,0)),0)&gt;
 IFERROR(1*INDEX('Durée formacode'!$C$2:$AE$44,0,MATCH(K$1,'Durée formacode'!$C$1:$AE$1,0)),0))*(IFERROR(1*INDEX('Durée formacode'!$C$2:$AE$44,0,MATCH($A15,'Durée formacode'!$C$1:$AE$1,0)),0)-IFERROR(1*INDEX('Durée formacode'!$C$2:$AE$44,0,MATCH(K$1,'Durée formacode'!$C$1:$AE$1,0)),0)))</f>
        <v>845</v>
      </c>
      <c r="L15" cm="1">
        <f t="array" ref="L15">SUMPRODUCT((IFERROR(1*INDEX('Durée formacode'!$C$2:$AE$44,0,MATCH($A15,'Durée formacode'!$C$1:$AE$1,0)),0)&gt;
 IFERROR(1*INDEX('Durée formacode'!$C$2:$AE$44,0,MATCH(L$1,'Durée formacode'!$C$1:$AE$1,0)),0))*(IFERROR(1*INDEX('Durée formacode'!$C$2:$AE$44,0,MATCH($A15,'Durée formacode'!$C$1:$AE$1,0)),0)-IFERROR(1*INDEX('Durée formacode'!$C$2:$AE$44,0,MATCH(L$1,'Durée formacode'!$C$1:$AE$1,0)),0)))</f>
        <v>80</v>
      </c>
      <c r="M15" cm="1">
        <f t="array" ref="M15">SUMPRODUCT((IFERROR(1*INDEX('Durée formacode'!$C$2:$AE$44,0,MATCH($A15,'Durée formacode'!$C$1:$AE$1,0)),0)&gt;
 IFERROR(1*INDEX('Durée formacode'!$C$2:$AE$44,0,MATCH(M$1,'Durée formacode'!$C$1:$AE$1,0)),0))*(IFERROR(1*INDEX('Durée formacode'!$C$2:$AE$44,0,MATCH($A15,'Durée formacode'!$C$1:$AE$1,0)),0)-IFERROR(1*INDEX('Durée formacode'!$C$2:$AE$44,0,MATCH(M$1,'Durée formacode'!$C$1:$AE$1,0)),0)))</f>
        <v>765</v>
      </c>
      <c r="N15" cm="1">
        <f t="array" ref="N15">SUMPRODUCT((IFERROR(1*INDEX('Durée formacode'!$C$2:$AE$44,0,MATCH($A15,'Durée formacode'!$C$1:$AE$1,0)),0)&gt;
 IFERROR(1*INDEX('Durée formacode'!$C$2:$AE$44,0,MATCH(N$1,'Durée formacode'!$C$1:$AE$1,0)),0))*(IFERROR(1*INDEX('Durée formacode'!$C$2:$AE$44,0,MATCH($A15,'Durée formacode'!$C$1:$AE$1,0)),0)-IFERROR(1*INDEX('Durée formacode'!$C$2:$AE$44,0,MATCH(N$1,'Durée formacode'!$C$1:$AE$1,0)),0)))</f>
        <v>765</v>
      </c>
      <c r="O15" cm="1">
        <f t="array" ref="O15">SUMPRODUCT((IFERROR(1*INDEX('Durée formacode'!$C$2:$AE$44,0,MATCH($A15,'Durée formacode'!$C$1:$AE$1,0)),0)&gt;
 IFERROR(1*INDEX('Durée formacode'!$C$2:$AE$44,0,MATCH(O$1,'Durée formacode'!$C$1:$AE$1,0)),0))*(IFERROR(1*INDEX('Durée formacode'!$C$2:$AE$44,0,MATCH($A15,'Durée formacode'!$C$1:$AE$1,0)),0)-IFERROR(1*INDEX('Durée formacode'!$C$2:$AE$44,0,MATCH(O$1,'Durée formacode'!$C$1:$AE$1,0)),0)))</f>
        <v>0</v>
      </c>
      <c r="P15" cm="1">
        <f t="array" ref="P15">SUMPRODUCT((IFERROR(1*INDEX('Durée formacode'!$C$2:$AE$44,0,MATCH($A15,'Durée formacode'!$C$1:$AE$1,0)),0)&gt;
 IFERROR(1*INDEX('Durée formacode'!$C$2:$AE$44,0,MATCH(P$1,'Durée formacode'!$C$1:$AE$1,0)),0))*(IFERROR(1*INDEX('Durée formacode'!$C$2:$AE$44,0,MATCH($A15,'Durée formacode'!$C$1:$AE$1,0)),0)-IFERROR(1*INDEX('Durée formacode'!$C$2:$AE$44,0,MATCH(P$1,'Durée formacode'!$C$1:$AE$1,0)),0)))</f>
        <v>759</v>
      </c>
      <c r="Q15" cm="1">
        <f t="array" ref="Q15">SUMPRODUCT((IFERROR(1*INDEX('Durée formacode'!$C$2:$AE$44,0,MATCH($A15,'Durée formacode'!$C$1:$AE$1,0)),0)&gt;
 IFERROR(1*INDEX('Durée formacode'!$C$2:$AE$44,0,MATCH(Q$1,'Durée formacode'!$C$1:$AE$1,0)),0))*(IFERROR(1*INDEX('Durée formacode'!$C$2:$AE$44,0,MATCH($A15,'Durée formacode'!$C$1:$AE$1,0)),0)-IFERROR(1*INDEX('Durée formacode'!$C$2:$AE$44,0,MATCH(Q$1,'Durée formacode'!$C$1:$AE$1,0)),0)))</f>
        <v>689</v>
      </c>
      <c r="R15" cm="1">
        <f t="array" ref="R15">SUMPRODUCT((IFERROR(1*INDEX('Durée formacode'!$C$2:$AE$44,0,MATCH($A15,'Durée formacode'!$C$1:$AE$1,0)),0)&gt;
 IFERROR(1*INDEX('Durée formacode'!$C$2:$AE$44,0,MATCH(R$1,'Durée formacode'!$C$1:$AE$1,0)),0))*(IFERROR(1*INDEX('Durée formacode'!$C$2:$AE$44,0,MATCH($A15,'Durée formacode'!$C$1:$AE$1,0)),0)-IFERROR(1*INDEX('Durée formacode'!$C$2:$AE$44,0,MATCH(R$1,'Durée formacode'!$C$1:$AE$1,0)),0)))</f>
        <v>835</v>
      </c>
      <c r="S15" cm="1">
        <f t="array" ref="S15">SUMPRODUCT((IFERROR(1*INDEX('Durée formacode'!$C$2:$AE$44,0,MATCH($A15,'Durée formacode'!$C$1:$AE$1,0)),0)&gt;
 IFERROR(1*INDEX('Durée formacode'!$C$2:$AE$44,0,MATCH(S$1,'Durée formacode'!$C$1:$AE$1,0)),0))*(IFERROR(1*INDEX('Durée formacode'!$C$2:$AE$44,0,MATCH($A15,'Durée formacode'!$C$1:$AE$1,0)),0)-IFERROR(1*INDEX('Durée formacode'!$C$2:$AE$44,0,MATCH(S$1,'Durée formacode'!$C$1:$AE$1,0)),0)))</f>
        <v>689</v>
      </c>
      <c r="T15" cm="1">
        <f t="array" ref="T15">SUMPRODUCT((IFERROR(1*INDEX('Durée formacode'!$C$2:$AE$44,0,MATCH($A15,'Durée formacode'!$C$1:$AE$1,0)),0)&gt;
 IFERROR(1*INDEX('Durée formacode'!$C$2:$AE$44,0,MATCH(T$1,'Durée formacode'!$C$1:$AE$1,0)),0))*(IFERROR(1*INDEX('Durée formacode'!$C$2:$AE$44,0,MATCH($A15,'Durée formacode'!$C$1:$AE$1,0)),0)-IFERROR(1*INDEX('Durée formacode'!$C$2:$AE$44,0,MATCH(T$1,'Durée formacode'!$C$1:$AE$1,0)),0)))</f>
        <v>689</v>
      </c>
      <c r="U15" cm="1">
        <f t="array" ref="U15">SUMPRODUCT((IFERROR(1*INDEX('Durée formacode'!$C$2:$AE$44,0,MATCH($A15,'Durée formacode'!$C$1:$AE$1,0)),0)&gt;
 IFERROR(1*INDEX('Durée formacode'!$C$2:$AE$44,0,MATCH(U$1,'Durée formacode'!$C$1:$AE$1,0)),0))*(IFERROR(1*INDEX('Durée formacode'!$C$2:$AE$44,0,MATCH($A15,'Durée formacode'!$C$1:$AE$1,0)),0)-IFERROR(1*INDEX('Durée formacode'!$C$2:$AE$44,0,MATCH(U$1,'Durée formacode'!$C$1:$AE$1,0)),0)))</f>
        <v>689</v>
      </c>
      <c r="V15" cm="1">
        <f t="array" ref="V15">SUMPRODUCT((IFERROR(1*INDEX('Durée formacode'!$C$2:$AE$44,0,MATCH($A15,'Durée formacode'!$C$1:$AE$1,0)),0)&gt;
 IFERROR(1*INDEX('Durée formacode'!$C$2:$AE$44,0,MATCH(V$1,'Durée formacode'!$C$1:$AE$1,0)),0))*(IFERROR(1*INDEX('Durée formacode'!$C$2:$AE$44,0,MATCH($A15,'Durée formacode'!$C$1:$AE$1,0)),0)-IFERROR(1*INDEX('Durée formacode'!$C$2:$AE$44,0,MATCH(V$1,'Durée formacode'!$C$1:$AE$1,0)),0)))</f>
        <v>689</v>
      </c>
      <c r="W15" cm="1">
        <f t="array" ref="W15">SUMPRODUCT((IFERROR(1*INDEX('Durée formacode'!$C$2:$AE$44,0,MATCH($A15,'Durée formacode'!$C$1:$AE$1,0)),0)&gt;
 IFERROR(1*INDEX('Durée formacode'!$C$2:$AE$44,0,MATCH(W$1,'Durée formacode'!$C$1:$AE$1,0)),0))*(IFERROR(1*INDEX('Durée formacode'!$C$2:$AE$44,0,MATCH($A15,'Durée formacode'!$C$1:$AE$1,0)),0)-IFERROR(1*INDEX('Durée formacode'!$C$2:$AE$44,0,MATCH(W$1,'Durée formacode'!$C$1:$AE$1,0)),0)))</f>
        <v>765</v>
      </c>
      <c r="X15" cm="1">
        <f t="array" ref="X15">SUMPRODUCT((IFERROR(1*INDEX('Durée formacode'!$C$2:$AE$44,0,MATCH($A15,'Durée formacode'!$C$1:$AE$1,0)),0)&gt;
 IFERROR(1*INDEX('Durée formacode'!$C$2:$AE$44,0,MATCH(X$1,'Durée formacode'!$C$1:$AE$1,0)),0))*(IFERROR(1*INDEX('Durée formacode'!$C$2:$AE$44,0,MATCH($A15,'Durée formacode'!$C$1:$AE$1,0)),0)-IFERROR(1*INDEX('Durée formacode'!$C$2:$AE$44,0,MATCH(X$1,'Durée formacode'!$C$1:$AE$1,0)),0)))</f>
        <v>765</v>
      </c>
      <c r="Y15" cm="1">
        <f t="array" ref="Y15">SUMPRODUCT((IFERROR(1*INDEX('Durée formacode'!$C$2:$AE$44,0,MATCH($A15,'Durée formacode'!$C$1:$AE$1,0)),0)&gt;
 IFERROR(1*INDEX('Durée formacode'!$C$2:$AE$44,0,MATCH(Y$1,'Durée formacode'!$C$1:$AE$1,0)),0))*(IFERROR(1*INDEX('Durée formacode'!$C$2:$AE$44,0,MATCH($A15,'Durée formacode'!$C$1:$AE$1,0)),0)-IFERROR(1*INDEX('Durée formacode'!$C$2:$AE$44,0,MATCH(Y$1,'Durée formacode'!$C$1:$AE$1,0)),0)))</f>
        <v>689</v>
      </c>
      <c r="Z15" cm="1">
        <f t="array" ref="Z15">SUMPRODUCT((IFERROR(1*INDEX('Durée formacode'!$C$2:$AE$44,0,MATCH($A15,'Durée formacode'!$C$1:$AE$1,0)),0)&gt;
 IFERROR(1*INDEX('Durée formacode'!$C$2:$AE$44,0,MATCH(Z$1,'Durée formacode'!$C$1:$AE$1,0)),0))*(IFERROR(1*INDEX('Durée formacode'!$C$2:$AE$44,0,MATCH($A15,'Durée formacode'!$C$1:$AE$1,0)),0)-IFERROR(1*INDEX('Durée formacode'!$C$2:$AE$44,0,MATCH(Z$1,'Durée formacode'!$C$1:$AE$1,0)),0)))</f>
        <v>689</v>
      </c>
      <c r="AA15" cm="1">
        <f t="array" ref="AA15">SUMPRODUCT((IFERROR(1*INDEX('Durée formacode'!$C$2:$AE$44,0,MATCH($A15,'Durée formacode'!$C$1:$AE$1,0)),0)&gt;
 IFERROR(1*INDEX('Durée formacode'!$C$2:$AE$44,0,MATCH(AA$1,'Durée formacode'!$C$1:$AE$1,0)),0))*(IFERROR(1*INDEX('Durée formacode'!$C$2:$AE$44,0,MATCH($A15,'Durée formacode'!$C$1:$AE$1,0)),0)-IFERROR(1*INDEX('Durée formacode'!$C$2:$AE$44,0,MATCH(AA$1,'Durée formacode'!$C$1:$AE$1,0)),0)))</f>
        <v>689</v>
      </c>
      <c r="AB15" cm="1">
        <f t="array" ref="AB15">SUMPRODUCT((IFERROR(1*INDEX('Durée formacode'!$C$2:$AE$44,0,MATCH($A15,'Durée formacode'!$C$1:$AE$1,0)),0)&gt;
 IFERROR(1*INDEX('Durée formacode'!$C$2:$AE$44,0,MATCH(AB$1,'Durée formacode'!$C$1:$AE$1,0)),0))*(IFERROR(1*INDEX('Durée formacode'!$C$2:$AE$44,0,MATCH($A15,'Durée formacode'!$C$1:$AE$1,0)),0)-IFERROR(1*INDEX('Durée formacode'!$C$2:$AE$44,0,MATCH(AB$1,'Durée formacode'!$C$1:$AE$1,0)),0)))</f>
        <v>759</v>
      </c>
      <c r="AC15" cm="1">
        <f t="array" ref="AC15">SUMPRODUCT((IFERROR(1*INDEX('Durée formacode'!$C$2:$AE$44,0,MATCH($A15,'Durée formacode'!$C$1:$AE$1,0)),0)&gt;
 IFERROR(1*INDEX('Durée formacode'!$C$2:$AE$44,0,MATCH(AC$1,'Durée formacode'!$C$1:$AE$1,0)),0))*(IFERROR(1*INDEX('Durée formacode'!$C$2:$AE$44,0,MATCH($A15,'Durée formacode'!$C$1:$AE$1,0)),0)-IFERROR(1*INDEX('Durée formacode'!$C$2:$AE$44,0,MATCH(AC$1,'Durée formacode'!$C$1:$AE$1,0)),0)))</f>
        <v>759</v>
      </c>
      <c r="AD15" cm="1">
        <f t="array" ref="AD15">SUMPRODUCT((IFERROR(1*INDEX('Durée formacode'!$C$2:$AE$44,0,MATCH($A15,'Durée formacode'!$C$1:$AE$1,0)),0)&gt;
 IFERROR(1*INDEX('Durée formacode'!$C$2:$AE$44,0,MATCH(AD$1,'Durée formacode'!$C$1:$AE$1,0)),0))*(IFERROR(1*INDEX('Durée formacode'!$C$2:$AE$44,0,MATCH($A15,'Durée formacode'!$C$1:$AE$1,0)),0)-IFERROR(1*INDEX('Durée formacode'!$C$2:$AE$44,0,MATCH(AD$1,'Durée formacode'!$C$1:$AE$1,0)),0)))</f>
        <v>759</v>
      </c>
    </row>
    <row r="16" spans="1:30">
      <c r="A16" s="55" t="str">
        <v>Opérateur(trice) hygiène / sanitation</v>
      </c>
      <c r="B16" cm="1">
        <f t="array" ref="B16">SUMPRODUCT((IFERROR(1*INDEX('Durée formacode'!$C$2:$AE$44,0,MATCH($A16,'Durée formacode'!$C$1:$AE$1,0)),0)&gt;
 IFERROR(1*INDEX('Durée formacode'!$C$2:$AE$44,0,MATCH(B$1,'Durée formacode'!$C$1:$AE$1,0)),0))*(IFERROR(1*INDEX('Durée formacode'!$C$2:$AE$44,0,MATCH($A16,'Durée formacode'!$C$1:$AE$1,0)),0)-IFERROR(1*INDEX('Durée formacode'!$C$2:$AE$44,0,MATCH(B$1,'Durée formacode'!$C$1:$AE$1,0)),0)))</f>
        <v>638</v>
      </c>
      <c r="C16" cm="1">
        <f t="array" ref="C16">SUMPRODUCT((IFERROR(1*INDEX('Durée formacode'!$C$2:$AE$44,0,MATCH($A16,'Durée formacode'!$C$1:$AE$1,0)),0)&gt;
 IFERROR(1*INDEX('Durée formacode'!$C$2:$AE$44,0,MATCH(C$1,'Durée formacode'!$C$1:$AE$1,0)),0))*(IFERROR(1*INDEX('Durée formacode'!$C$2:$AE$44,0,MATCH($A16,'Durée formacode'!$C$1:$AE$1,0)),0)-IFERROR(1*INDEX('Durée formacode'!$C$2:$AE$44,0,MATCH(C$1,'Durée formacode'!$C$1:$AE$1,0)),0)))</f>
        <v>424</v>
      </c>
      <c r="D16" cm="1">
        <f t="array" ref="D16">SUMPRODUCT((IFERROR(1*INDEX('Durée formacode'!$C$2:$AE$44,0,MATCH($A16,'Durée formacode'!$C$1:$AE$1,0)),0)&gt;
 IFERROR(1*INDEX('Durée formacode'!$C$2:$AE$44,0,MATCH(D$1,'Durée formacode'!$C$1:$AE$1,0)),0))*(IFERROR(1*INDEX('Durée formacode'!$C$2:$AE$44,0,MATCH($A16,'Durée formacode'!$C$1:$AE$1,0)),0)-IFERROR(1*INDEX('Durée formacode'!$C$2:$AE$44,0,MATCH(D$1,'Durée formacode'!$C$1:$AE$1,0)),0)))</f>
        <v>963</v>
      </c>
      <c r="E16" cm="1">
        <f t="array" ref="E16">SUMPRODUCT((IFERROR(1*INDEX('Durée formacode'!$C$2:$AE$44,0,MATCH($A16,'Durée formacode'!$C$1:$AE$1,0)),0)&gt;
 IFERROR(1*INDEX('Durée formacode'!$C$2:$AE$44,0,MATCH(E$1,'Durée formacode'!$C$1:$AE$1,0)),0))*(IFERROR(1*INDEX('Durée formacode'!$C$2:$AE$44,0,MATCH($A16,'Durée formacode'!$C$1:$AE$1,0)),0)-IFERROR(1*INDEX('Durée formacode'!$C$2:$AE$44,0,MATCH(E$1,'Durée formacode'!$C$1:$AE$1,0)),0)))</f>
        <v>1039</v>
      </c>
      <c r="F16" cm="1">
        <f t="array" ref="F16">SUMPRODUCT((IFERROR(1*INDEX('Durée formacode'!$C$2:$AE$44,0,MATCH($A16,'Durée formacode'!$C$1:$AE$1,0)),0)&gt;
 IFERROR(1*INDEX('Durée formacode'!$C$2:$AE$44,0,MATCH(F$1,'Durée formacode'!$C$1:$AE$1,0)),0))*(IFERROR(1*INDEX('Durée formacode'!$C$2:$AE$44,0,MATCH($A16,'Durée formacode'!$C$1:$AE$1,0)),0)-IFERROR(1*INDEX('Durée formacode'!$C$2:$AE$44,0,MATCH(F$1,'Durée formacode'!$C$1:$AE$1,0)),0)))</f>
        <v>815</v>
      </c>
      <c r="G16" cm="1">
        <f t="array" ref="G16">SUMPRODUCT((IFERROR(1*INDEX('Durée formacode'!$C$2:$AE$44,0,MATCH($A16,'Durée formacode'!$C$1:$AE$1,0)),0)&gt;
 IFERROR(1*INDEX('Durée formacode'!$C$2:$AE$44,0,MATCH(G$1,'Durée formacode'!$C$1:$AE$1,0)),0))*(IFERROR(1*INDEX('Durée formacode'!$C$2:$AE$44,0,MATCH($A16,'Durée formacode'!$C$1:$AE$1,0)),0)-IFERROR(1*INDEX('Durée formacode'!$C$2:$AE$44,0,MATCH(G$1,'Durée formacode'!$C$1:$AE$1,0)),0)))</f>
        <v>889</v>
      </c>
      <c r="H16" cm="1">
        <f t="array" ref="H16">SUMPRODUCT((IFERROR(1*INDEX('Durée formacode'!$C$2:$AE$44,0,MATCH($A16,'Durée formacode'!$C$1:$AE$1,0)),0)&gt;
 IFERROR(1*INDEX('Durée formacode'!$C$2:$AE$44,0,MATCH(H$1,'Durée formacode'!$C$1:$AE$1,0)),0))*(IFERROR(1*INDEX('Durée formacode'!$C$2:$AE$44,0,MATCH($A16,'Durée formacode'!$C$1:$AE$1,0)),0)-IFERROR(1*INDEX('Durée formacode'!$C$2:$AE$44,0,MATCH(H$1,'Durée formacode'!$C$1:$AE$1,0)),0)))</f>
        <v>959</v>
      </c>
      <c r="I16" cm="1">
        <f t="array" ref="I16">SUMPRODUCT((IFERROR(1*INDEX('Durée formacode'!$C$2:$AE$44,0,MATCH($A16,'Durée formacode'!$C$1:$AE$1,0)),0)&gt;
 IFERROR(1*INDEX('Durée formacode'!$C$2:$AE$44,0,MATCH(I$1,'Durée formacode'!$C$1:$AE$1,0)),0))*(IFERROR(1*INDEX('Durée formacode'!$C$2:$AE$44,0,MATCH($A16,'Durée formacode'!$C$1:$AE$1,0)),0)-IFERROR(1*INDEX('Durée formacode'!$C$2:$AE$44,0,MATCH(I$1,'Durée formacode'!$C$1:$AE$1,0)),0)))</f>
        <v>963</v>
      </c>
      <c r="J16" cm="1">
        <f t="array" ref="J16">SUMPRODUCT((IFERROR(1*INDEX('Durée formacode'!$C$2:$AE$44,0,MATCH($A16,'Durée formacode'!$C$1:$AE$1,0)),0)&gt;
 IFERROR(1*INDEX('Durée formacode'!$C$2:$AE$44,0,MATCH(J$1,'Durée formacode'!$C$1:$AE$1,0)),0))*(IFERROR(1*INDEX('Durée formacode'!$C$2:$AE$44,0,MATCH($A16,'Durée formacode'!$C$1:$AE$1,0)),0)-IFERROR(1*INDEX('Durée formacode'!$C$2:$AE$44,0,MATCH(J$1,'Durée formacode'!$C$1:$AE$1,0)),0)))</f>
        <v>959</v>
      </c>
      <c r="K16" cm="1">
        <f t="array" ref="K16">SUMPRODUCT((IFERROR(1*INDEX('Durée formacode'!$C$2:$AE$44,0,MATCH($A16,'Durée formacode'!$C$1:$AE$1,0)),0)&gt;
 IFERROR(1*INDEX('Durée formacode'!$C$2:$AE$44,0,MATCH(K$1,'Durée formacode'!$C$1:$AE$1,0)),0))*(IFERROR(1*INDEX('Durée formacode'!$C$2:$AE$44,0,MATCH($A16,'Durée formacode'!$C$1:$AE$1,0)),0)-IFERROR(1*INDEX('Durée formacode'!$C$2:$AE$44,0,MATCH(K$1,'Durée formacode'!$C$1:$AE$1,0)),0)))</f>
        <v>1039</v>
      </c>
      <c r="L16" cm="1">
        <f t="array" ref="L16">SUMPRODUCT((IFERROR(1*INDEX('Durée formacode'!$C$2:$AE$44,0,MATCH($A16,'Durée formacode'!$C$1:$AE$1,0)),0)&gt;
 IFERROR(1*INDEX('Durée formacode'!$C$2:$AE$44,0,MATCH(L$1,'Durée formacode'!$C$1:$AE$1,0)),0))*(IFERROR(1*INDEX('Durée formacode'!$C$2:$AE$44,0,MATCH($A16,'Durée formacode'!$C$1:$AE$1,0)),0)-IFERROR(1*INDEX('Durée formacode'!$C$2:$AE$44,0,MATCH(L$1,'Durée formacode'!$C$1:$AE$1,0)),0)))</f>
        <v>963</v>
      </c>
      <c r="M16" cm="1">
        <f t="array" ref="M16">SUMPRODUCT((IFERROR(1*INDEX('Durée formacode'!$C$2:$AE$44,0,MATCH($A16,'Durée formacode'!$C$1:$AE$1,0)),0)&gt;
 IFERROR(1*INDEX('Durée formacode'!$C$2:$AE$44,0,MATCH(M$1,'Durée formacode'!$C$1:$AE$1,0)),0))*(IFERROR(1*INDEX('Durée formacode'!$C$2:$AE$44,0,MATCH($A16,'Durée formacode'!$C$1:$AE$1,0)),0)-IFERROR(1*INDEX('Durée formacode'!$C$2:$AE$44,0,MATCH(M$1,'Durée formacode'!$C$1:$AE$1,0)),0)))</f>
        <v>500</v>
      </c>
      <c r="N16" cm="1">
        <f t="array" ref="N16">SUMPRODUCT((IFERROR(1*INDEX('Durée formacode'!$C$2:$AE$44,0,MATCH($A16,'Durée formacode'!$C$1:$AE$1,0)),0)&gt;
 IFERROR(1*INDEX('Durée formacode'!$C$2:$AE$44,0,MATCH(N$1,'Durée formacode'!$C$1:$AE$1,0)),0))*(IFERROR(1*INDEX('Durée formacode'!$C$2:$AE$44,0,MATCH($A16,'Durée formacode'!$C$1:$AE$1,0)),0)-IFERROR(1*INDEX('Durée formacode'!$C$2:$AE$44,0,MATCH(N$1,'Durée formacode'!$C$1:$AE$1,0)),0)))</f>
        <v>714</v>
      </c>
      <c r="O16" cm="1">
        <f t="array" ref="O16">SUMPRODUCT((IFERROR(1*INDEX('Durée formacode'!$C$2:$AE$44,0,MATCH($A16,'Durée formacode'!$C$1:$AE$1,0)),0)&gt;
 IFERROR(1*INDEX('Durée formacode'!$C$2:$AE$44,0,MATCH(O$1,'Durée formacode'!$C$1:$AE$1,0)),0))*(IFERROR(1*INDEX('Durée formacode'!$C$2:$AE$44,0,MATCH($A16,'Durée formacode'!$C$1:$AE$1,0)),0)-IFERROR(1*INDEX('Durée formacode'!$C$2:$AE$44,0,MATCH(O$1,'Durée formacode'!$C$1:$AE$1,0)),0)))</f>
        <v>883</v>
      </c>
      <c r="P16" cm="1">
        <f t="array" ref="P16">SUMPRODUCT((IFERROR(1*INDEX('Durée formacode'!$C$2:$AE$44,0,MATCH($A16,'Durée formacode'!$C$1:$AE$1,0)),0)&gt;
 IFERROR(1*INDEX('Durée formacode'!$C$2:$AE$44,0,MATCH(P$1,'Durée formacode'!$C$1:$AE$1,0)),0))*(IFERROR(1*INDEX('Durée formacode'!$C$2:$AE$44,0,MATCH($A16,'Durée formacode'!$C$1:$AE$1,0)),0)-IFERROR(1*INDEX('Durée formacode'!$C$2:$AE$44,0,MATCH(P$1,'Durée formacode'!$C$1:$AE$1,0)),0)))</f>
        <v>0</v>
      </c>
      <c r="Q16" cm="1">
        <f t="array" ref="Q16">SUMPRODUCT((IFERROR(1*INDEX('Durée formacode'!$C$2:$AE$44,0,MATCH($A16,'Durée formacode'!$C$1:$AE$1,0)),0)&gt;
 IFERROR(1*INDEX('Durée formacode'!$C$2:$AE$44,0,MATCH(Q$1,'Durée formacode'!$C$1:$AE$1,0)),0))*(IFERROR(1*INDEX('Durée formacode'!$C$2:$AE$44,0,MATCH($A16,'Durée formacode'!$C$1:$AE$1,0)),0)-IFERROR(1*INDEX('Durée formacode'!$C$2:$AE$44,0,MATCH(Q$1,'Durée formacode'!$C$1:$AE$1,0)),0)))</f>
        <v>568</v>
      </c>
      <c r="R16" cm="1">
        <f t="array" ref="R16">SUMPRODUCT((IFERROR(1*INDEX('Durée formacode'!$C$2:$AE$44,0,MATCH($A16,'Durée formacode'!$C$1:$AE$1,0)),0)&gt;
 IFERROR(1*INDEX('Durée formacode'!$C$2:$AE$44,0,MATCH(R$1,'Durée formacode'!$C$1:$AE$1,0)),0))*(IFERROR(1*INDEX('Durée formacode'!$C$2:$AE$44,0,MATCH($A16,'Durée formacode'!$C$1:$AE$1,0)),0)-IFERROR(1*INDEX('Durée formacode'!$C$2:$AE$44,0,MATCH(R$1,'Durée formacode'!$C$1:$AE$1,0)),0)))</f>
        <v>959</v>
      </c>
      <c r="S16" cm="1">
        <f t="array" ref="S16">SUMPRODUCT((IFERROR(1*INDEX('Durée formacode'!$C$2:$AE$44,0,MATCH($A16,'Durée formacode'!$C$1:$AE$1,0)),0)&gt;
 IFERROR(1*INDEX('Durée formacode'!$C$2:$AE$44,0,MATCH(S$1,'Durée formacode'!$C$1:$AE$1,0)),0))*(IFERROR(1*INDEX('Durée formacode'!$C$2:$AE$44,0,MATCH($A16,'Durée formacode'!$C$1:$AE$1,0)),0)-IFERROR(1*INDEX('Durée formacode'!$C$2:$AE$44,0,MATCH(S$1,'Durée formacode'!$C$1:$AE$1,0)),0)))</f>
        <v>638</v>
      </c>
      <c r="T16" cm="1">
        <f t="array" ref="T16">SUMPRODUCT((IFERROR(1*INDEX('Durée formacode'!$C$2:$AE$44,0,MATCH($A16,'Durée formacode'!$C$1:$AE$1,0)),0)&gt;
 IFERROR(1*INDEX('Durée formacode'!$C$2:$AE$44,0,MATCH(T$1,'Durée formacode'!$C$1:$AE$1,0)),0))*(IFERROR(1*INDEX('Durée formacode'!$C$2:$AE$44,0,MATCH($A16,'Durée formacode'!$C$1:$AE$1,0)),0)-IFERROR(1*INDEX('Durée formacode'!$C$2:$AE$44,0,MATCH(T$1,'Durée formacode'!$C$1:$AE$1,0)),0)))</f>
        <v>424</v>
      </c>
      <c r="U16" cm="1">
        <f t="array" ref="U16">SUMPRODUCT((IFERROR(1*INDEX('Durée formacode'!$C$2:$AE$44,0,MATCH($A16,'Durée formacode'!$C$1:$AE$1,0)),0)&gt;
 IFERROR(1*INDEX('Durée formacode'!$C$2:$AE$44,0,MATCH(U$1,'Durée formacode'!$C$1:$AE$1,0)),0))*(IFERROR(1*INDEX('Durée formacode'!$C$2:$AE$44,0,MATCH($A16,'Durée formacode'!$C$1:$AE$1,0)),0)-IFERROR(1*INDEX('Durée formacode'!$C$2:$AE$44,0,MATCH(U$1,'Durée formacode'!$C$1:$AE$1,0)),0)))</f>
        <v>638</v>
      </c>
      <c r="V16" cm="1">
        <f t="array" ref="V16">SUMPRODUCT((IFERROR(1*INDEX('Durée formacode'!$C$2:$AE$44,0,MATCH($A16,'Durée formacode'!$C$1:$AE$1,0)),0)&gt;
 IFERROR(1*INDEX('Durée formacode'!$C$2:$AE$44,0,MATCH(V$1,'Durée formacode'!$C$1:$AE$1,0)),0))*(IFERROR(1*INDEX('Durée formacode'!$C$2:$AE$44,0,MATCH($A16,'Durée formacode'!$C$1:$AE$1,0)),0)-IFERROR(1*INDEX('Durée formacode'!$C$2:$AE$44,0,MATCH(V$1,'Durée formacode'!$C$1:$AE$1,0)),0)))</f>
        <v>424</v>
      </c>
      <c r="W16" cm="1">
        <f t="array" ref="W16">SUMPRODUCT((IFERROR(1*INDEX('Durée formacode'!$C$2:$AE$44,0,MATCH($A16,'Durée formacode'!$C$1:$AE$1,0)),0)&gt;
 IFERROR(1*INDEX('Durée formacode'!$C$2:$AE$44,0,MATCH(W$1,'Durée formacode'!$C$1:$AE$1,0)),0))*(IFERROR(1*INDEX('Durée formacode'!$C$2:$AE$44,0,MATCH($A16,'Durée formacode'!$C$1:$AE$1,0)),0)-IFERROR(1*INDEX('Durée formacode'!$C$2:$AE$44,0,MATCH(W$1,'Durée formacode'!$C$1:$AE$1,0)),0)))</f>
        <v>500</v>
      </c>
      <c r="X16" cm="1">
        <f t="array" ref="X16">SUMPRODUCT((IFERROR(1*INDEX('Durée formacode'!$C$2:$AE$44,0,MATCH($A16,'Durée formacode'!$C$1:$AE$1,0)),0)&gt;
 IFERROR(1*INDEX('Durée formacode'!$C$2:$AE$44,0,MATCH(X$1,'Durée formacode'!$C$1:$AE$1,0)),0))*(IFERROR(1*INDEX('Durée formacode'!$C$2:$AE$44,0,MATCH($A16,'Durée formacode'!$C$1:$AE$1,0)),0)-IFERROR(1*INDEX('Durée formacode'!$C$2:$AE$44,0,MATCH(X$1,'Durée formacode'!$C$1:$AE$1,0)),0)))</f>
        <v>959</v>
      </c>
      <c r="Y16" cm="1">
        <f t="array" ref="Y16">SUMPRODUCT((IFERROR(1*INDEX('Durée formacode'!$C$2:$AE$44,0,MATCH($A16,'Durée formacode'!$C$1:$AE$1,0)),0)&gt;
 IFERROR(1*INDEX('Durée formacode'!$C$2:$AE$44,0,MATCH(Y$1,'Durée formacode'!$C$1:$AE$1,0)),0))*(IFERROR(1*INDEX('Durée formacode'!$C$2:$AE$44,0,MATCH($A16,'Durée formacode'!$C$1:$AE$1,0)),0)-IFERROR(1*INDEX('Durée formacode'!$C$2:$AE$44,0,MATCH(Y$1,'Durée formacode'!$C$1:$AE$1,0)),0)))</f>
        <v>638</v>
      </c>
      <c r="Z16" cm="1">
        <f t="array" ref="Z16">SUMPRODUCT((IFERROR(1*INDEX('Durée formacode'!$C$2:$AE$44,0,MATCH($A16,'Durée formacode'!$C$1:$AE$1,0)),0)&gt;
 IFERROR(1*INDEX('Durée formacode'!$C$2:$AE$44,0,MATCH(Z$1,'Durée formacode'!$C$1:$AE$1,0)),0))*(IFERROR(1*INDEX('Durée formacode'!$C$2:$AE$44,0,MATCH($A16,'Durée formacode'!$C$1:$AE$1,0)),0)-IFERROR(1*INDEX('Durée formacode'!$C$2:$AE$44,0,MATCH(Z$1,'Durée formacode'!$C$1:$AE$1,0)),0)))</f>
        <v>638</v>
      </c>
      <c r="AA16" cm="1">
        <f t="array" ref="AA16">SUMPRODUCT((IFERROR(1*INDEX('Durée formacode'!$C$2:$AE$44,0,MATCH($A16,'Durée formacode'!$C$1:$AE$1,0)),0)&gt;
 IFERROR(1*INDEX('Durée formacode'!$C$2:$AE$44,0,MATCH(AA$1,'Durée formacode'!$C$1:$AE$1,0)),0))*(IFERROR(1*INDEX('Durée formacode'!$C$2:$AE$44,0,MATCH($A16,'Durée formacode'!$C$1:$AE$1,0)),0)-IFERROR(1*INDEX('Durée formacode'!$C$2:$AE$44,0,MATCH(AA$1,'Durée formacode'!$C$1:$AE$1,0)),0)))</f>
        <v>638</v>
      </c>
      <c r="AB16" cm="1">
        <f t="array" ref="AB16">SUMPRODUCT((IFERROR(1*INDEX('Durée formacode'!$C$2:$AE$44,0,MATCH($A16,'Durée formacode'!$C$1:$AE$1,0)),0)&gt;
 IFERROR(1*INDEX('Durée formacode'!$C$2:$AE$44,0,MATCH(AB$1,'Durée formacode'!$C$1:$AE$1,0)),0))*(IFERROR(1*INDEX('Durée formacode'!$C$2:$AE$44,0,MATCH($A16,'Durée formacode'!$C$1:$AE$1,0)),0)-IFERROR(1*INDEX('Durée formacode'!$C$2:$AE$44,0,MATCH(AB$1,'Durée formacode'!$C$1:$AE$1,0)),0)))</f>
        <v>424</v>
      </c>
      <c r="AC16" cm="1">
        <f t="array" ref="AC16">SUMPRODUCT((IFERROR(1*INDEX('Durée formacode'!$C$2:$AE$44,0,MATCH($A16,'Durée formacode'!$C$1:$AE$1,0)),0)&gt;
 IFERROR(1*INDEX('Durée formacode'!$C$2:$AE$44,0,MATCH(AC$1,'Durée formacode'!$C$1:$AE$1,0)),0))*(IFERROR(1*INDEX('Durée formacode'!$C$2:$AE$44,0,MATCH($A16,'Durée formacode'!$C$1:$AE$1,0)),0)-IFERROR(1*INDEX('Durée formacode'!$C$2:$AE$44,0,MATCH(AC$1,'Durée formacode'!$C$1:$AE$1,0)),0)))</f>
        <v>424</v>
      </c>
      <c r="AD16" cm="1">
        <f t="array" ref="AD16">SUMPRODUCT((IFERROR(1*INDEX('Durée formacode'!$C$2:$AE$44,0,MATCH($A16,'Durée formacode'!$C$1:$AE$1,0)),0)&gt;
 IFERROR(1*INDEX('Durée formacode'!$C$2:$AE$44,0,MATCH(AD$1,'Durée formacode'!$C$1:$AE$1,0)),0))*(IFERROR(1*INDEX('Durée formacode'!$C$2:$AE$44,0,MATCH($A16,'Durée formacode'!$C$1:$AE$1,0)),0)-IFERROR(1*INDEX('Durée formacode'!$C$2:$AE$44,0,MATCH(AD$1,'Durée formacode'!$C$1:$AE$1,0)),0)))</f>
        <v>424</v>
      </c>
    </row>
    <row r="17" spans="1:30">
      <c r="A17" s="55" t="str">
        <v>Chef(fe) de silo</v>
      </c>
      <c r="B17" cm="1">
        <f t="array" ref="B17">SUMPRODUCT((IFERROR(1*INDEX('Durée formacode'!$C$2:$AE$44,0,MATCH($A17,'Durée formacode'!$C$1:$AE$1,0)),0)&gt;
 IFERROR(1*INDEX('Durée formacode'!$C$2:$AE$44,0,MATCH(B$1,'Durée formacode'!$C$1:$AE$1,0)),0))*(IFERROR(1*INDEX('Durée formacode'!$C$2:$AE$44,0,MATCH($A17,'Durée formacode'!$C$1:$AE$1,0)),0)-IFERROR(1*INDEX('Durée formacode'!$C$2:$AE$44,0,MATCH(B$1,'Durée formacode'!$C$1:$AE$1,0)),0)))</f>
        <v>1414</v>
      </c>
      <c r="C17" cm="1">
        <f t="array" ref="C17">SUMPRODUCT((IFERROR(1*INDEX('Durée formacode'!$C$2:$AE$44,0,MATCH($A17,'Durée formacode'!$C$1:$AE$1,0)),0)&gt;
 IFERROR(1*INDEX('Durée formacode'!$C$2:$AE$44,0,MATCH(C$1,'Durée formacode'!$C$1:$AE$1,0)),0))*(IFERROR(1*INDEX('Durée formacode'!$C$2:$AE$44,0,MATCH($A17,'Durée formacode'!$C$1:$AE$1,0)),0)-IFERROR(1*INDEX('Durée formacode'!$C$2:$AE$44,0,MATCH(C$1,'Durée formacode'!$C$1:$AE$1,0)),0)))</f>
        <v>844</v>
      </c>
      <c r="D17" cm="1">
        <f t="array" ref="D17">SUMPRODUCT((IFERROR(1*INDEX('Durée formacode'!$C$2:$AE$44,0,MATCH($A17,'Durée formacode'!$C$1:$AE$1,0)),0)&gt;
 IFERROR(1*INDEX('Durée formacode'!$C$2:$AE$44,0,MATCH(D$1,'Durée formacode'!$C$1:$AE$1,0)),0))*(IFERROR(1*INDEX('Durée formacode'!$C$2:$AE$44,0,MATCH($A17,'Durée formacode'!$C$1:$AE$1,0)),0)-IFERROR(1*INDEX('Durée formacode'!$C$2:$AE$44,0,MATCH(D$1,'Durée formacode'!$C$1:$AE$1,0)),0)))</f>
        <v>1885</v>
      </c>
      <c r="E17" cm="1">
        <f t="array" ref="E17">SUMPRODUCT((IFERROR(1*INDEX('Durée formacode'!$C$2:$AE$44,0,MATCH($A17,'Durée formacode'!$C$1:$AE$1,0)),0)&gt;
 IFERROR(1*INDEX('Durée formacode'!$C$2:$AE$44,0,MATCH(E$1,'Durée formacode'!$C$1:$AE$1,0)),0))*(IFERROR(1*INDEX('Durée formacode'!$C$2:$AE$44,0,MATCH($A17,'Durée formacode'!$C$1:$AE$1,0)),0)-IFERROR(1*INDEX('Durée formacode'!$C$2:$AE$44,0,MATCH(E$1,'Durée formacode'!$C$1:$AE$1,0)),0)))</f>
        <v>1417</v>
      </c>
      <c r="F17" cm="1">
        <f t="array" ref="F17">SUMPRODUCT((IFERROR(1*INDEX('Durée formacode'!$C$2:$AE$44,0,MATCH($A17,'Durée formacode'!$C$1:$AE$1,0)),0)&gt;
 IFERROR(1*INDEX('Durée formacode'!$C$2:$AE$44,0,MATCH(F$1,'Durée formacode'!$C$1:$AE$1,0)),0))*(IFERROR(1*INDEX('Durée formacode'!$C$2:$AE$44,0,MATCH($A17,'Durée formacode'!$C$1:$AE$1,0)),0)-IFERROR(1*INDEX('Durée formacode'!$C$2:$AE$44,0,MATCH(F$1,'Durée formacode'!$C$1:$AE$1,0)),0)))</f>
        <v>1224</v>
      </c>
      <c r="G17" cm="1">
        <f t="array" ref="G17">SUMPRODUCT((IFERROR(1*INDEX('Durée formacode'!$C$2:$AE$44,0,MATCH($A17,'Durée formacode'!$C$1:$AE$1,0)),0)&gt;
 IFERROR(1*INDEX('Durée formacode'!$C$2:$AE$44,0,MATCH(G$1,'Durée formacode'!$C$1:$AE$1,0)),0))*(IFERROR(1*INDEX('Durée formacode'!$C$2:$AE$44,0,MATCH($A17,'Durée formacode'!$C$1:$AE$1,0)),0)-IFERROR(1*INDEX('Durée formacode'!$C$2:$AE$44,0,MATCH(G$1,'Durée formacode'!$C$1:$AE$1,0)),0)))</f>
        <v>1084</v>
      </c>
      <c r="H17" cm="1">
        <f t="array" ref="H17">SUMPRODUCT((IFERROR(1*INDEX('Durée formacode'!$C$2:$AE$44,0,MATCH($A17,'Durée formacode'!$C$1:$AE$1,0)),0)&gt;
 IFERROR(1*INDEX('Durée formacode'!$C$2:$AE$44,0,MATCH(H$1,'Durée formacode'!$C$1:$AE$1,0)),0))*(IFERROR(1*INDEX('Durée formacode'!$C$2:$AE$44,0,MATCH($A17,'Durée formacode'!$C$1:$AE$1,0)),0)-IFERROR(1*INDEX('Durée formacode'!$C$2:$AE$44,0,MATCH(H$1,'Durée formacode'!$C$1:$AE$1,0)),0)))</f>
        <v>1720</v>
      </c>
      <c r="I17" cm="1">
        <f t="array" ref="I17">SUMPRODUCT((IFERROR(1*INDEX('Durée formacode'!$C$2:$AE$44,0,MATCH($A17,'Durée formacode'!$C$1:$AE$1,0)),0)&gt;
 IFERROR(1*INDEX('Durée formacode'!$C$2:$AE$44,0,MATCH(I$1,'Durée formacode'!$C$1:$AE$1,0)),0))*(IFERROR(1*INDEX('Durée formacode'!$C$2:$AE$44,0,MATCH($A17,'Durée formacode'!$C$1:$AE$1,0)),0)-IFERROR(1*INDEX('Durée formacode'!$C$2:$AE$44,0,MATCH(I$1,'Durée formacode'!$C$1:$AE$1,0)),0)))</f>
        <v>1885</v>
      </c>
      <c r="J17" cm="1">
        <f t="array" ref="J17">SUMPRODUCT((IFERROR(1*INDEX('Durée formacode'!$C$2:$AE$44,0,MATCH($A17,'Durée formacode'!$C$1:$AE$1,0)),0)&gt;
 IFERROR(1*INDEX('Durée formacode'!$C$2:$AE$44,0,MATCH(J$1,'Durée formacode'!$C$1:$AE$1,0)),0))*(IFERROR(1*INDEX('Durée formacode'!$C$2:$AE$44,0,MATCH($A17,'Durée formacode'!$C$1:$AE$1,0)),0)-IFERROR(1*INDEX('Durée formacode'!$C$2:$AE$44,0,MATCH(J$1,'Durée formacode'!$C$1:$AE$1,0)),0)))</f>
        <v>1773</v>
      </c>
      <c r="K17" cm="1">
        <f t="array" ref="K17">SUMPRODUCT((IFERROR(1*INDEX('Durée formacode'!$C$2:$AE$44,0,MATCH($A17,'Durée formacode'!$C$1:$AE$1,0)),0)&gt;
 IFERROR(1*INDEX('Durée formacode'!$C$2:$AE$44,0,MATCH(K$1,'Durée formacode'!$C$1:$AE$1,0)),0))*(IFERROR(1*INDEX('Durée formacode'!$C$2:$AE$44,0,MATCH($A17,'Durée formacode'!$C$1:$AE$1,0)),0)-IFERROR(1*INDEX('Durée formacode'!$C$2:$AE$44,0,MATCH(K$1,'Durée formacode'!$C$1:$AE$1,0)),0)))</f>
        <v>1776</v>
      </c>
      <c r="L17" cm="1">
        <f t="array" ref="L17">SUMPRODUCT((IFERROR(1*INDEX('Durée formacode'!$C$2:$AE$44,0,MATCH($A17,'Durée formacode'!$C$1:$AE$1,0)),0)&gt;
 IFERROR(1*INDEX('Durée formacode'!$C$2:$AE$44,0,MATCH(L$1,'Durée formacode'!$C$1:$AE$1,0)),0))*(IFERROR(1*INDEX('Durée formacode'!$C$2:$AE$44,0,MATCH($A17,'Durée formacode'!$C$1:$AE$1,0)),0)-IFERROR(1*INDEX('Durée formacode'!$C$2:$AE$44,0,MATCH(L$1,'Durée formacode'!$C$1:$AE$1,0)),0)))</f>
        <v>2314</v>
      </c>
      <c r="M17" cm="1">
        <f t="array" ref="M17">SUMPRODUCT((IFERROR(1*INDEX('Durée formacode'!$C$2:$AE$44,0,MATCH($A17,'Durée formacode'!$C$1:$AE$1,0)),0)&gt;
 IFERROR(1*INDEX('Durée formacode'!$C$2:$AE$44,0,MATCH(M$1,'Durée formacode'!$C$1:$AE$1,0)),0))*(IFERROR(1*INDEX('Durée formacode'!$C$2:$AE$44,0,MATCH($A17,'Durée formacode'!$C$1:$AE$1,0)),0)-IFERROR(1*INDEX('Durée formacode'!$C$2:$AE$44,0,MATCH(M$1,'Durée formacode'!$C$1:$AE$1,0)),0)))</f>
        <v>1820</v>
      </c>
      <c r="N17" cm="1">
        <f t="array" ref="N17">SUMPRODUCT((IFERROR(1*INDEX('Durée formacode'!$C$2:$AE$44,0,MATCH($A17,'Durée formacode'!$C$1:$AE$1,0)),0)&gt;
 IFERROR(1*INDEX('Durée formacode'!$C$2:$AE$44,0,MATCH(N$1,'Durée formacode'!$C$1:$AE$1,0)),0))*(IFERROR(1*INDEX('Durée formacode'!$C$2:$AE$44,0,MATCH($A17,'Durée formacode'!$C$1:$AE$1,0)),0)-IFERROR(1*INDEX('Durée formacode'!$C$2:$AE$44,0,MATCH(N$1,'Durée formacode'!$C$1:$AE$1,0)),0)))</f>
        <v>1015</v>
      </c>
      <c r="O17" cm="1">
        <f t="array" ref="O17">SUMPRODUCT((IFERROR(1*INDEX('Durée formacode'!$C$2:$AE$44,0,MATCH($A17,'Durée formacode'!$C$1:$AE$1,0)),0)&gt;
 IFERROR(1*INDEX('Durée formacode'!$C$2:$AE$44,0,MATCH(O$1,'Durée formacode'!$C$1:$AE$1,0)),0))*(IFERROR(1*INDEX('Durée formacode'!$C$2:$AE$44,0,MATCH($A17,'Durée formacode'!$C$1:$AE$1,0)),0)-IFERROR(1*INDEX('Durée formacode'!$C$2:$AE$44,0,MATCH(O$1,'Durée formacode'!$C$1:$AE$1,0)),0)))</f>
        <v>2234</v>
      </c>
      <c r="P17" cm="1">
        <f t="array" ref="P17">SUMPRODUCT((IFERROR(1*INDEX('Durée formacode'!$C$2:$AE$44,0,MATCH($A17,'Durée formacode'!$C$1:$AE$1,0)),0)&gt;
 IFERROR(1*INDEX('Durée formacode'!$C$2:$AE$44,0,MATCH(P$1,'Durée formacode'!$C$1:$AE$1,0)),0))*(IFERROR(1*INDEX('Durée formacode'!$C$2:$AE$44,0,MATCH($A17,'Durée formacode'!$C$1:$AE$1,0)),0)-IFERROR(1*INDEX('Durée formacode'!$C$2:$AE$44,0,MATCH(P$1,'Durée formacode'!$C$1:$AE$1,0)),0)))</f>
        <v>1989</v>
      </c>
      <c r="Q17" cm="1">
        <f t="array" ref="Q17">SUMPRODUCT((IFERROR(1*INDEX('Durée formacode'!$C$2:$AE$44,0,MATCH($A17,'Durée formacode'!$C$1:$AE$1,0)),0)&gt;
 IFERROR(1*INDEX('Durée formacode'!$C$2:$AE$44,0,MATCH(Q$1,'Durée formacode'!$C$1:$AE$1,0)),0))*(IFERROR(1*INDEX('Durée formacode'!$C$2:$AE$44,0,MATCH($A17,'Durée formacode'!$C$1:$AE$1,0)),0)-IFERROR(1*INDEX('Durée formacode'!$C$2:$AE$44,0,MATCH(Q$1,'Durée formacode'!$C$1:$AE$1,0)),0)))</f>
        <v>0</v>
      </c>
      <c r="R17" cm="1">
        <f t="array" ref="R17">SUMPRODUCT((IFERROR(1*INDEX('Durée formacode'!$C$2:$AE$44,0,MATCH($A17,'Durée formacode'!$C$1:$AE$1,0)),0)&gt;
 IFERROR(1*INDEX('Durée formacode'!$C$2:$AE$44,0,MATCH(R$1,'Durée formacode'!$C$1:$AE$1,0)),0))*(IFERROR(1*INDEX('Durée formacode'!$C$2:$AE$44,0,MATCH($A17,'Durée formacode'!$C$1:$AE$1,0)),0)-IFERROR(1*INDEX('Durée formacode'!$C$2:$AE$44,0,MATCH(R$1,'Durée formacode'!$C$1:$AE$1,0)),0)))</f>
        <v>1869</v>
      </c>
      <c r="S17" cm="1">
        <f t="array" ref="S17">SUMPRODUCT((IFERROR(1*INDEX('Durée formacode'!$C$2:$AE$44,0,MATCH($A17,'Durée formacode'!$C$1:$AE$1,0)),0)&gt;
 IFERROR(1*INDEX('Durée formacode'!$C$2:$AE$44,0,MATCH(S$1,'Durée formacode'!$C$1:$AE$1,0)),0))*(IFERROR(1*INDEX('Durée formacode'!$C$2:$AE$44,0,MATCH($A17,'Durée formacode'!$C$1:$AE$1,0)),0)-IFERROR(1*INDEX('Durée formacode'!$C$2:$AE$44,0,MATCH(S$1,'Durée formacode'!$C$1:$AE$1,0)),0)))</f>
        <v>1744</v>
      </c>
      <c r="T17" cm="1">
        <f t="array" ref="T17">SUMPRODUCT((IFERROR(1*INDEX('Durée formacode'!$C$2:$AE$44,0,MATCH($A17,'Durée formacode'!$C$1:$AE$1,0)),0)&gt;
 IFERROR(1*INDEX('Durée formacode'!$C$2:$AE$44,0,MATCH(T$1,'Durée formacode'!$C$1:$AE$1,0)),0))*(IFERROR(1*INDEX('Durée formacode'!$C$2:$AE$44,0,MATCH($A17,'Durée formacode'!$C$1:$AE$1,0)),0)-IFERROR(1*INDEX('Durée formacode'!$C$2:$AE$44,0,MATCH(T$1,'Durée formacode'!$C$1:$AE$1,0)),0)))</f>
        <v>1450</v>
      </c>
      <c r="U17" cm="1">
        <f t="array" ref="U17">SUMPRODUCT((IFERROR(1*INDEX('Durée formacode'!$C$2:$AE$44,0,MATCH($A17,'Durée formacode'!$C$1:$AE$1,0)),0)&gt;
 IFERROR(1*INDEX('Durée formacode'!$C$2:$AE$44,0,MATCH(U$1,'Durée formacode'!$C$1:$AE$1,0)),0))*(IFERROR(1*INDEX('Durée formacode'!$C$2:$AE$44,0,MATCH($A17,'Durée formacode'!$C$1:$AE$1,0)),0)-IFERROR(1*INDEX('Durée formacode'!$C$2:$AE$44,0,MATCH(U$1,'Durée formacode'!$C$1:$AE$1,0)),0)))</f>
        <v>1744</v>
      </c>
      <c r="V17" cm="1">
        <f t="array" ref="V17">SUMPRODUCT((IFERROR(1*INDEX('Durée formacode'!$C$2:$AE$44,0,MATCH($A17,'Durée formacode'!$C$1:$AE$1,0)),0)&gt;
 IFERROR(1*INDEX('Durée formacode'!$C$2:$AE$44,0,MATCH(V$1,'Durée formacode'!$C$1:$AE$1,0)),0))*(IFERROR(1*INDEX('Durée formacode'!$C$2:$AE$44,0,MATCH($A17,'Durée formacode'!$C$1:$AE$1,0)),0)-IFERROR(1*INDEX('Durée formacode'!$C$2:$AE$44,0,MATCH(V$1,'Durée formacode'!$C$1:$AE$1,0)),0)))</f>
        <v>1344</v>
      </c>
      <c r="W17" cm="1">
        <f t="array" ref="W17">SUMPRODUCT((IFERROR(1*INDEX('Durée formacode'!$C$2:$AE$44,0,MATCH($A17,'Durée formacode'!$C$1:$AE$1,0)),0)&gt;
 IFERROR(1*INDEX('Durée formacode'!$C$2:$AE$44,0,MATCH(W$1,'Durée formacode'!$C$1:$AE$1,0)),0))*(IFERROR(1*INDEX('Durée formacode'!$C$2:$AE$44,0,MATCH($A17,'Durée formacode'!$C$1:$AE$1,0)),0)-IFERROR(1*INDEX('Durée formacode'!$C$2:$AE$44,0,MATCH(W$1,'Durée formacode'!$C$1:$AE$1,0)),0)))</f>
        <v>1420</v>
      </c>
      <c r="X17" cm="1">
        <f t="array" ref="X17">SUMPRODUCT((IFERROR(1*INDEX('Durée formacode'!$C$2:$AE$44,0,MATCH($A17,'Durée formacode'!$C$1:$AE$1,0)),0)&gt;
 IFERROR(1*INDEX('Durée formacode'!$C$2:$AE$44,0,MATCH(X$1,'Durée formacode'!$C$1:$AE$1,0)),0))*(IFERROR(1*INDEX('Durée formacode'!$C$2:$AE$44,0,MATCH($A17,'Durée formacode'!$C$1:$AE$1,0)),0)-IFERROR(1*INDEX('Durée formacode'!$C$2:$AE$44,0,MATCH(X$1,'Durée formacode'!$C$1:$AE$1,0)),0)))</f>
        <v>1220</v>
      </c>
      <c r="Y17" cm="1">
        <f t="array" ref="Y17">SUMPRODUCT((IFERROR(1*INDEX('Durée formacode'!$C$2:$AE$44,0,MATCH($A17,'Durée formacode'!$C$1:$AE$1,0)),0)&gt;
 IFERROR(1*INDEX('Durée formacode'!$C$2:$AE$44,0,MATCH(Y$1,'Durée formacode'!$C$1:$AE$1,0)),0))*(IFERROR(1*INDEX('Durée formacode'!$C$2:$AE$44,0,MATCH($A17,'Durée formacode'!$C$1:$AE$1,0)),0)-IFERROR(1*INDEX('Durée formacode'!$C$2:$AE$44,0,MATCH(Y$1,'Durée formacode'!$C$1:$AE$1,0)),0)))</f>
        <v>1814</v>
      </c>
      <c r="Z17" cm="1">
        <f t="array" ref="Z17">SUMPRODUCT((IFERROR(1*INDEX('Durée formacode'!$C$2:$AE$44,0,MATCH($A17,'Durée formacode'!$C$1:$AE$1,0)),0)&gt;
 IFERROR(1*INDEX('Durée formacode'!$C$2:$AE$44,0,MATCH(Z$1,'Durée formacode'!$C$1:$AE$1,0)),0))*(IFERROR(1*INDEX('Durée formacode'!$C$2:$AE$44,0,MATCH($A17,'Durée formacode'!$C$1:$AE$1,0)),0)-IFERROR(1*INDEX('Durée formacode'!$C$2:$AE$44,0,MATCH(Z$1,'Durée formacode'!$C$1:$AE$1,0)),0)))</f>
        <v>1814</v>
      </c>
      <c r="AA17" cm="1">
        <f t="array" ref="AA17">SUMPRODUCT((IFERROR(1*INDEX('Durée formacode'!$C$2:$AE$44,0,MATCH($A17,'Durée formacode'!$C$1:$AE$1,0)),0)&gt;
 IFERROR(1*INDEX('Durée formacode'!$C$2:$AE$44,0,MATCH(AA$1,'Durée formacode'!$C$1:$AE$1,0)),0))*(IFERROR(1*INDEX('Durée formacode'!$C$2:$AE$44,0,MATCH($A17,'Durée formacode'!$C$1:$AE$1,0)),0)-IFERROR(1*INDEX('Durée formacode'!$C$2:$AE$44,0,MATCH(AA$1,'Durée formacode'!$C$1:$AE$1,0)),0)))</f>
        <v>1814</v>
      </c>
      <c r="AB17" cm="1">
        <f t="array" ref="AB17">SUMPRODUCT((IFERROR(1*INDEX('Durée formacode'!$C$2:$AE$44,0,MATCH($A17,'Durée formacode'!$C$1:$AE$1,0)),0)&gt;
 IFERROR(1*INDEX('Durée formacode'!$C$2:$AE$44,0,MATCH(AB$1,'Durée formacode'!$C$1:$AE$1,0)),0))*(IFERROR(1*INDEX('Durée formacode'!$C$2:$AE$44,0,MATCH($A17,'Durée formacode'!$C$1:$AE$1,0)),0)-IFERROR(1*INDEX('Durée formacode'!$C$2:$AE$44,0,MATCH(AB$1,'Durée formacode'!$C$1:$AE$1,0)),0)))</f>
        <v>1989</v>
      </c>
      <c r="AC17" cm="1">
        <f t="array" ref="AC17">SUMPRODUCT((IFERROR(1*INDEX('Durée formacode'!$C$2:$AE$44,0,MATCH($A17,'Durée formacode'!$C$1:$AE$1,0)),0)&gt;
 IFERROR(1*INDEX('Durée formacode'!$C$2:$AE$44,0,MATCH(AC$1,'Durée formacode'!$C$1:$AE$1,0)),0))*(IFERROR(1*INDEX('Durée formacode'!$C$2:$AE$44,0,MATCH($A17,'Durée formacode'!$C$1:$AE$1,0)),0)-IFERROR(1*INDEX('Durée formacode'!$C$2:$AE$44,0,MATCH(AC$1,'Durée formacode'!$C$1:$AE$1,0)),0)))</f>
        <v>1989</v>
      </c>
      <c r="AD17" cm="1">
        <f t="array" ref="AD17">SUMPRODUCT((IFERROR(1*INDEX('Durée formacode'!$C$2:$AE$44,0,MATCH($A17,'Durée formacode'!$C$1:$AE$1,0)),0)&gt;
 IFERROR(1*INDEX('Durée formacode'!$C$2:$AE$44,0,MATCH(AD$1,'Durée formacode'!$C$1:$AE$1,0)),0))*(IFERROR(1*INDEX('Durée formacode'!$C$2:$AE$44,0,MATCH($A17,'Durée formacode'!$C$1:$AE$1,0)),0)-IFERROR(1*INDEX('Durée formacode'!$C$2:$AE$44,0,MATCH(AD$1,'Durée formacode'!$C$1:$AE$1,0)),0)))</f>
        <v>1989</v>
      </c>
    </row>
    <row r="18" spans="1:30">
      <c r="A18" s="55" t="str">
        <v>Acheteur(se) / négociateur(trice) de matières premières</v>
      </c>
      <c r="B18" cm="1">
        <f t="array" ref="B18">SUMPRODUCT((IFERROR(1*INDEX('Durée formacode'!$C$2:$AE$44,0,MATCH($A18,'Durée formacode'!$C$1:$AE$1,0)),0)&gt;
 IFERROR(1*INDEX('Durée formacode'!$C$2:$AE$44,0,MATCH(B$1,'Durée formacode'!$C$1:$AE$1,0)),0))*(IFERROR(1*INDEX('Durée formacode'!$C$2:$AE$44,0,MATCH($A18,'Durée formacode'!$C$1:$AE$1,0)),0)-IFERROR(1*INDEX('Durée formacode'!$C$2:$AE$44,0,MATCH(B$1,'Durée formacode'!$C$1:$AE$1,0)),0)))</f>
        <v>2780</v>
      </c>
      <c r="C18" cm="1">
        <f t="array" ref="C18">SUMPRODUCT((IFERROR(1*INDEX('Durée formacode'!$C$2:$AE$44,0,MATCH($A18,'Durée formacode'!$C$1:$AE$1,0)),0)&gt;
 IFERROR(1*INDEX('Durée formacode'!$C$2:$AE$44,0,MATCH(C$1,'Durée formacode'!$C$1:$AE$1,0)),0))*(IFERROR(1*INDEX('Durée formacode'!$C$2:$AE$44,0,MATCH($A18,'Durée formacode'!$C$1:$AE$1,0)),0)-IFERROR(1*INDEX('Durée formacode'!$C$2:$AE$44,0,MATCH(C$1,'Durée formacode'!$C$1:$AE$1,0)),0)))</f>
        <v>2780</v>
      </c>
      <c r="D18" cm="1">
        <f t="array" ref="D18">SUMPRODUCT((IFERROR(1*INDEX('Durée formacode'!$C$2:$AE$44,0,MATCH($A18,'Durée formacode'!$C$1:$AE$1,0)),0)&gt;
 IFERROR(1*INDEX('Durée formacode'!$C$2:$AE$44,0,MATCH(D$1,'Durée formacode'!$C$1:$AE$1,0)),0))*(IFERROR(1*INDEX('Durée formacode'!$C$2:$AE$44,0,MATCH($A18,'Durée formacode'!$C$1:$AE$1,0)),0)-IFERROR(1*INDEX('Durée formacode'!$C$2:$AE$44,0,MATCH(D$1,'Durée formacode'!$C$1:$AE$1,0)),0)))</f>
        <v>2860</v>
      </c>
      <c r="E18" cm="1">
        <f t="array" ref="E18">SUMPRODUCT((IFERROR(1*INDEX('Durée formacode'!$C$2:$AE$44,0,MATCH($A18,'Durée formacode'!$C$1:$AE$1,0)),0)&gt;
 IFERROR(1*INDEX('Durée formacode'!$C$2:$AE$44,0,MATCH(E$1,'Durée formacode'!$C$1:$AE$1,0)),0))*(IFERROR(1*INDEX('Durée formacode'!$C$2:$AE$44,0,MATCH($A18,'Durée formacode'!$C$1:$AE$1,0)),0)-IFERROR(1*INDEX('Durée formacode'!$C$2:$AE$44,0,MATCH(E$1,'Durée formacode'!$C$1:$AE$1,0)),0)))</f>
        <v>2513</v>
      </c>
      <c r="F18" cm="1">
        <f t="array" ref="F18">SUMPRODUCT((IFERROR(1*INDEX('Durée formacode'!$C$2:$AE$44,0,MATCH($A18,'Durée formacode'!$C$1:$AE$1,0)),0)&gt;
 IFERROR(1*INDEX('Durée formacode'!$C$2:$AE$44,0,MATCH(F$1,'Durée formacode'!$C$1:$AE$1,0)),0))*(IFERROR(1*INDEX('Durée formacode'!$C$2:$AE$44,0,MATCH($A18,'Durée formacode'!$C$1:$AE$1,0)),0)-IFERROR(1*INDEX('Durée formacode'!$C$2:$AE$44,0,MATCH(F$1,'Durée formacode'!$C$1:$AE$1,0)),0)))</f>
        <v>2269</v>
      </c>
      <c r="G18" cm="1">
        <f t="array" ref="G18">SUMPRODUCT((IFERROR(1*INDEX('Durée formacode'!$C$2:$AE$44,0,MATCH($A18,'Durée formacode'!$C$1:$AE$1,0)),0)&gt;
 IFERROR(1*INDEX('Durée formacode'!$C$2:$AE$44,0,MATCH(G$1,'Durée formacode'!$C$1:$AE$1,0)),0))*(IFERROR(1*INDEX('Durée formacode'!$C$2:$AE$44,0,MATCH($A18,'Durée formacode'!$C$1:$AE$1,0)),0)-IFERROR(1*INDEX('Durée formacode'!$C$2:$AE$44,0,MATCH(G$1,'Durée formacode'!$C$1:$AE$1,0)),0)))</f>
        <v>2185</v>
      </c>
      <c r="H18" cm="1">
        <f t="array" ref="H18">SUMPRODUCT((IFERROR(1*INDEX('Durée formacode'!$C$2:$AE$44,0,MATCH($A18,'Durée formacode'!$C$1:$AE$1,0)),0)&gt;
 IFERROR(1*INDEX('Durée formacode'!$C$2:$AE$44,0,MATCH(H$1,'Durée formacode'!$C$1:$AE$1,0)),0))*(IFERROR(1*INDEX('Durée formacode'!$C$2:$AE$44,0,MATCH($A18,'Durée formacode'!$C$1:$AE$1,0)),0)-IFERROR(1*INDEX('Durée formacode'!$C$2:$AE$44,0,MATCH(H$1,'Durée formacode'!$C$1:$AE$1,0)),0)))</f>
        <v>1885</v>
      </c>
      <c r="I18" cm="1">
        <f t="array" ref="I18">SUMPRODUCT((IFERROR(1*INDEX('Durée formacode'!$C$2:$AE$44,0,MATCH($A18,'Durée formacode'!$C$1:$AE$1,0)),0)&gt;
 IFERROR(1*INDEX('Durée formacode'!$C$2:$AE$44,0,MATCH(I$1,'Durée formacode'!$C$1:$AE$1,0)),0))*(IFERROR(1*INDEX('Durée formacode'!$C$2:$AE$44,0,MATCH($A18,'Durée formacode'!$C$1:$AE$1,0)),0)-IFERROR(1*INDEX('Durée formacode'!$C$2:$AE$44,0,MATCH(I$1,'Durée formacode'!$C$1:$AE$1,0)),0)))</f>
        <v>2860</v>
      </c>
      <c r="J18" cm="1">
        <f t="array" ref="J18">SUMPRODUCT((IFERROR(1*INDEX('Durée formacode'!$C$2:$AE$44,0,MATCH($A18,'Durée formacode'!$C$1:$AE$1,0)),0)&gt;
 IFERROR(1*INDEX('Durée formacode'!$C$2:$AE$44,0,MATCH(J$1,'Durée formacode'!$C$1:$AE$1,0)),0))*(IFERROR(1*INDEX('Durée formacode'!$C$2:$AE$44,0,MATCH($A18,'Durée formacode'!$C$1:$AE$1,0)),0)-IFERROR(1*INDEX('Durée formacode'!$C$2:$AE$44,0,MATCH(J$1,'Durée formacode'!$C$1:$AE$1,0)),0)))</f>
        <v>1793</v>
      </c>
      <c r="K18" cm="1">
        <f t="array" ref="K18">SUMPRODUCT((IFERROR(1*INDEX('Durée formacode'!$C$2:$AE$44,0,MATCH($A18,'Durée formacode'!$C$1:$AE$1,0)),0)&gt;
 IFERROR(1*INDEX('Durée formacode'!$C$2:$AE$44,0,MATCH(K$1,'Durée formacode'!$C$1:$AE$1,0)),0))*(IFERROR(1*INDEX('Durée formacode'!$C$2:$AE$44,0,MATCH($A18,'Durée formacode'!$C$1:$AE$1,0)),0)-IFERROR(1*INDEX('Durée formacode'!$C$2:$AE$44,0,MATCH(K$1,'Durée formacode'!$C$1:$AE$1,0)),0)))</f>
        <v>2213</v>
      </c>
      <c r="L18" cm="1">
        <f t="array" ref="L18">SUMPRODUCT((IFERROR(1*INDEX('Durée formacode'!$C$2:$AE$44,0,MATCH($A18,'Durée formacode'!$C$1:$AE$1,0)),0)&gt;
 IFERROR(1*INDEX('Durée formacode'!$C$2:$AE$44,0,MATCH(L$1,'Durée formacode'!$C$1:$AE$1,0)),0))*(IFERROR(1*INDEX('Durée formacode'!$C$2:$AE$44,0,MATCH($A18,'Durée formacode'!$C$1:$AE$1,0)),0)-IFERROR(1*INDEX('Durée formacode'!$C$2:$AE$44,0,MATCH(L$1,'Durée formacode'!$C$1:$AE$1,0)),0)))</f>
        <v>2860</v>
      </c>
      <c r="M18" cm="1">
        <f t="array" ref="M18">SUMPRODUCT((IFERROR(1*INDEX('Durée formacode'!$C$2:$AE$44,0,MATCH($A18,'Durée formacode'!$C$1:$AE$1,0)),0)&gt;
 IFERROR(1*INDEX('Durée formacode'!$C$2:$AE$44,0,MATCH(M$1,'Durée formacode'!$C$1:$AE$1,0)),0))*(IFERROR(1*INDEX('Durée formacode'!$C$2:$AE$44,0,MATCH($A18,'Durée formacode'!$C$1:$AE$1,0)),0)-IFERROR(1*INDEX('Durée formacode'!$C$2:$AE$44,0,MATCH(M$1,'Durée formacode'!$C$1:$AE$1,0)),0)))</f>
        <v>2780</v>
      </c>
      <c r="N18" cm="1">
        <f t="array" ref="N18">SUMPRODUCT((IFERROR(1*INDEX('Durée formacode'!$C$2:$AE$44,0,MATCH($A18,'Durée formacode'!$C$1:$AE$1,0)),0)&gt;
 IFERROR(1*INDEX('Durée formacode'!$C$2:$AE$44,0,MATCH(N$1,'Durée formacode'!$C$1:$AE$1,0)),0))*(IFERROR(1*INDEX('Durée formacode'!$C$2:$AE$44,0,MATCH($A18,'Durée formacode'!$C$1:$AE$1,0)),0)-IFERROR(1*INDEX('Durée formacode'!$C$2:$AE$44,0,MATCH(N$1,'Durée formacode'!$C$1:$AE$1,0)),0)))</f>
        <v>2269</v>
      </c>
      <c r="O18" cm="1">
        <f t="array" ref="O18">SUMPRODUCT((IFERROR(1*INDEX('Durée formacode'!$C$2:$AE$44,0,MATCH($A18,'Durée formacode'!$C$1:$AE$1,0)),0)&gt;
 IFERROR(1*INDEX('Durée formacode'!$C$2:$AE$44,0,MATCH(O$1,'Durée formacode'!$C$1:$AE$1,0)),0))*(IFERROR(1*INDEX('Durée formacode'!$C$2:$AE$44,0,MATCH($A18,'Durée formacode'!$C$1:$AE$1,0)),0)-IFERROR(1*INDEX('Durée formacode'!$C$2:$AE$44,0,MATCH(O$1,'Durée formacode'!$C$1:$AE$1,0)),0)))</f>
        <v>2780</v>
      </c>
      <c r="P18" cm="1">
        <f t="array" ref="P18">SUMPRODUCT((IFERROR(1*INDEX('Durée formacode'!$C$2:$AE$44,0,MATCH($A18,'Durée formacode'!$C$1:$AE$1,0)),0)&gt;
 IFERROR(1*INDEX('Durée formacode'!$C$2:$AE$44,0,MATCH(P$1,'Durée formacode'!$C$1:$AE$1,0)),0))*(IFERROR(1*INDEX('Durée formacode'!$C$2:$AE$44,0,MATCH($A18,'Durée formacode'!$C$1:$AE$1,0)),0)-IFERROR(1*INDEX('Durée formacode'!$C$2:$AE$44,0,MATCH(P$1,'Durée formacode'!$C$1:$AE$1,0)),0)))</f>
        <v>2780</v>
      </c>
      <c r="Q18" cm="1">
        <f t="array" ref="Q18">SUMPRODUCT((IFERROR(1*INDEX('Durée formacode'!$C$2:$AE$44,0,MATCH($A18,'Durée formacode'!$C$1:$AE$1,0)),0)&gt;
 IFERROR(1*INDEX('Durée formacode'!$C$2:$AE$44,0,MATCH(Q$1,'Durée formacode'!$C$1:$AE$1,0)),0))*(IFERROR(1*INDEX('Durée formacode'!$C$2:$AE$44,0,MATCH($A18,'Durée formacode'!$C$1:$AE$1,0)),0)-IFERROR(1*INDEX('Durée formacode'!$C$2:$AE$44,0,MATCH(Q$1,'Durée formacode'!$C$1:$AE$1,0)),0)))</f>
        <v>2269</v>
      </c>
      <c r="R18" cm="1">
        <f t="array" ref="R18">SUMPRODUCT((IFERROR(1*INDEX('Durée formacode'!$C$2:$AE$44,0,MATCH($A18,'Durée formacode'!$C$1:$AE$1,0)),0)&gt;
 IFERROR(1*INDEX('Durée formacode'!$C$2:$AE$44,0,MATCH(R$1,'Durée formacode'!$C$1:$AE$1,0)),0))*(IFERROR(1*INDEX('Durée formacode'!$C$2:$AE$44,0,MATCH($A18,'Durée formacode'!$C$1:$AE$1,0)),0)-IFERROR(1*INDEX('Durée formacode'!$C$2:$AE$44,0,MATCH(R$1,'Durée formacode'!$C$1:$AE$1,0)),0)))</f>
        <v>0</v>
      </c>
      <c r="S18" cm="1">
        <f t="array" ref="S18">SUMPRODUCT((IFERROR(1*INDEX('Durée formacode'!$C$2:$AE$44,0,MATCH($A18,'Durée formacode'!$C$1:$AE$1,0)),0)&gt;
 IFERROR(1*INDEX('Durée formacode'!$C$2:$AE$44,0,MATCH(S$1,'Durée formacode'!$C$1:$AE$1,0)),0))*(IFERROR(1*INDEX('Durée formacode'!$C$2:$AE$44,0,MATCH($A18,'Durée formacode'!$C$1:$AE$1,0)),0)-IFERROR(1*INDEX('Durée formacode'!$C$2:$AE$44,0,MATCH(S$1,'Durée formacode'!$C$1:$AE$1,0)),0)))</f>
        <v>2780</v>
      </c>
      <c r="T18" cm="1">
        <f t="array" ref="T18">SUMPRODUCT((IFERROR(1*INDEX('Durée formacode'!$C$2:$AE$44,0,MATCH($A18,'Durée formacode'!$C$1:$AE$1,0)),0)&gt;
 IFERROR(1*INDEX('Durée formacode'!$C$2:$AE$44,0,MATCH(T$1,'Durée formacode'!$C$1:$AE$1,0)),0))*(IFERROR(1*INDEX('Durée formacode'!$C$2:$AE$44,0,MATCH($A18,'Durée formacode'!$C$1:$AE$1,0)),0)-IFERROR(1*INDEX('Durée formacode'!$C$2:$AE$44,0,MATCH(T$1,'Durée formacode'!$C$1:$AE$1,0)),0)))</f>
        <v>2780</v>
      </c>
      <c r="U18" cm="1">
        <f t="array" ref="U18">SUMPRODUCT((IFERROR(1*INDEX('Durée formacode'!$C$2:$AE$44,0,MATCH($A18,'Durée formacode'!$C$1:$AE$1,0)),0)&gt;
 IFERROR(1*INDEX('Durée formacode'!$C$2:$AE$44,0,MATCH(U$1,'Durée formacode'!$C$1:$AE$1,0)),0))*(IFERROR(1*INDEX('Durée formacode'!$C$2:$AE$44,0,MATCH($A18,'Durée formacode'!$C$1:$AE$1,0)),0)-IFERROR(1*INDEX('Durée formacode'!$C$2:$AE$44,0,MATCH(U$1,'Durée formacode'!$C$1:$AE$1,0)),0)))</f>
        <v>2780</v>
      </c>
      <c r="V18" cm="1">
        <f t="array" ref="V18">SUMPRODUCT((IFERROR(1*INDEX('Durée formacode'!$C$2:$AE$44,0,MATCH($A18,'Durée formacode'!$C$1:$AE$1,0)),0)&gt;
 IFERROR(1*INDEX('Durée formacode'!$C$2:$AE$44,0,MATCH(V$1,'Durée formacode'!$C$1:$AE$1,0)),0))*(IFERROR(1*INDEX('Durée formacode'!$C$2:$AE$44,0,MATCH($A18,'Durée formacode'!$C$1:$AE$1,0)),0)-IFERROR(1*INDEX('Durée formacode'!$C$2:$AE$44,0,MATCH(V$1,'Durée formacode'!$C$1:$AE$1,0)),0)))</f>
        <v>2780</v>
      </c>
      <c r="W18" cm="1">
        <f t="array" ref="W18">SUMPRODUCT((IFERROR(1*INDEX('Durée formacode'!$C$2:$AE$44,0,MATCH($A18,'Durée formacode'!$C$1:$AE$1,0)),0)&gt;
 IFERROR(1*INDEX('Durée formacode'!$C$2:$AE$44,0,MATCH(W$1,'Durée formacode'!$C$1:$AE$1,0)),0))*(IFERROR(1*INDEX('Durée formacode'!$C$2:$AE$44,0,MATCH($A18,'Durée formacode'!$C$1:$AE$1,0)),0)-IFERROR(1*INDEX('Durée formacode'!$C$2:$AE$44,0,MATCH(W$1,'Durée formacode'!$C$1:$AE$1,0)),0)))</f>
        <v>2780</v>
      </c>
      <c r="X18" cm="1">
        <f t="array" ref="X18">SUMPRODUCT((IFERROR(1*INDEX('Durée formacode'!$C$2:$AE$44,0,MATCH($A18,'Durée formacode'!$C$1:$AE$1,0)),0)&gt;
 IFERROR(1*INDEX('Durée formacode'!$C$2:$AE$44,0,MATCH(X$1,'Durée formacode'!$C$1:$AE$1,0)),0))*(IFERROR(1*INDEX('Durée formacode'!$C$2:$AE$44,0,MATCH($A18,'Durée formacode'!$C$1:$AE$1,0)),0)-IFERROR(1*INDEX('Durée formacode'!$C$2:$AE$44,0,MATCH(X$1,'Durée formacode'!$C$1:$AE$1,0)),0)))</f>
        <v>1851</v>
      </c>
      <c r="Y18" cm="1">
        <f t="array" ref="Y18">SUMPRODUCT((IFERROR(1*INDEX('Durée formacode'!$C$2:$AE$44,0,MATCH($A18,'Durée formacode'!$C$1:$AE$1,0)),0)&gt;
 IFERROR(1*INDEX('Durée formacode'!$C$2:$AE$44,0,MATCH(Y$1,'Durée formacode'!$C$1:$AE$1,0)),0))*(IFERROR(1*INDEX('Durée formacode'!$C$2:$AE$44,0,MATCH($A18,'Durée formacode'!$C$1:$AE$1,0)),0)-IFERROR(1*INDEX('Durée formacode'!$C$2:$AE$44,0,MATCH(Y$1,'Durée formacode'!$C$1:$AE$1,0)),0)))</f>
        <v>2780</v>
      </c>
      <c r="Z18" cm="1">
        <f t="array" ref="Z18">SUMPRODUCT((IFERROR(1*INDEX('Durée formacode'!$C$2:$AE$44,0,MATCH($A18,'Durée formacode'!$C$1:$AE$1,0)),0)&gt;
 IFERROR(1*INDEX('Durée formacode'!$C$2:$AE$44,0,MATCH(Z$1,'Durée formacode'!$C$1:$AE$1,0)),0))*(IFERROR(1*INDEX('Durée formacode'!$C$2:$AE$44,0,MATCH($A18,'Durée formacode'!$C$1:$AE$1,0)),0)-IFERROR(1*INDEX('Durée formacode'!$C$2:$AE$44,0,MATCH(Z$1,'Durée formacode'!$C$1:$AE$1,0)),0)))</f>
        <v>2780</v>
      </c>
      <c r="AA18" cm="1">
        <f t="array" ref="AA18">SUMPRODUCT((IFERROR(1*INDEX('Durée formacode'!$C$2:$AE$44,0,MATCH($A18,'Durée formacode'!$C$1:$AE$1,0)),0)&gt;
 IFERROR(1*INDEX('Durée formacode'!$C$2:$AE$44,0,MATCH(AA$1,'Durée formacode'!$C$1:$AE$1,0)),0))*(IFERROR(1*INDEX('Durée formacode'!$C$2:$AE$44,0,MATCH($A18,'Durée formacode'!$C$1:$AE$1,0)),0)-IFERROR(1*INDEX('Durée formacode'!$C$2:$AE$44,0,MATCH(AA$1,'Durée formacode'!$C$1:$AE$1,0)),0)))</f>
        <v>2780</v>
      </c>
      <c r="AB18" cm="1">
        <f t="array" ref="AB18">SUMPRODUCT((IFERROR(1*INDEX('Durée formacode'!$C$2:$AE$44,0,MATCH($A18,'Durée formacode'!$C$1:$AE$1,0)),0)&gt;
 IFERROR(1*INDEX('Durée formacode'!$C$2:$AE$44,0,MATCH(AB$1,'Durée formacode'!$C$1:$AE$1,0)),0))*(IFERROR(1*INDEX('Durée formacode'!$C$2:$AE$44,0,MATCH($A18,'Durée formacode'!$C$1:$AE$1,0)),0)-IFERROR(1*INDEX('Durée formacode'!$C$2:$AE$44,0,MATCH(AB$1,'Durée formacode'!$C$1:$AE$1,0)),0)))</f>
        <v>2780</v>
      </c>
      <c r="AC18" cm="1">
        <f t="array" ref="AC18">SUMPRODUCT((IFERROR(1*INDEX('Durée formacode'!$C$2:$AE$44,0,MATCH($A18,'Durée formacode'!$C$1:$AE$1,0)),0)&gt;
 IFERROR(1*INDEX('Durée formacode'!$C$2:$AE$44,0,MATCH(AC$1,'Durée formacode'!$C$1:$AE$1,0)),0))*(IFERROR(1*INDEX('Durée formacode'!$C$2:$AE$44,0,MATCH($A18,'Durée formacode'!$C$1:$AE$1,0)),0)-IFERROR(1*INDEX('Durée formacode'!$C$2:$AE$44,0,MATCH(AC$1,'Durée formacode'!$C$1:$AE$1,0)),0)))</f>
        <v>2780</v>
      </c>
      <c r="AD18" cm="1">
        <f t="array" ref="AD18">SUMPRODUCT((IFERROR(1*INDEX('Durée formacode'!$C$2:$AE$44,0,MATCH($A18,'Durée formacode'!$C$1:$AE$1,0)),0)&gt;
 IFERROR(1*INDEX('Durée formacode'!$C$2:$AE$44,0,MATCH(AD$1,'Durée formacode'!$C$1:$AE$1,0)),0))*(IFERROR(1*INDEX('Durée formacode'!$C$2:$AE$44,0,MATCH($A18,'Durée formacode'!$C$1:$AE$1,0)),0)-IFERROR(1*INDEX('Durée formacode'!$C$2:$AE$44,0,MATCH(AD$1,'Durée formacode'!$C$1:$AE$1,0)),0)))</f>
        <v>2780</v>
      </c>
    </row>
    <row r="19" spans="1:30">
      <c r="A19" s="55" t="str">
        <v>Opérateur(trice) de production alimentaire</v>
      </c>
      <c r="B19" cm="1">
        <f t="array" ref="B19">SUMPRODUCT((IFERROR(1*INDEX('Durée formacode'!$C$2:$AE$44,0,MATCH($A19,'Durée formacode'!$C$1:$AE$1,0)),0)&gt;
 IFERROR(1*INDEX('Durée formacode'!$C$2:$AE$44,0,MATCH(B$1,'Durée formacode'!$C$1:$AE$1,0)),0))*(IFERROR(1*INDEX('Durée formacode'!$C$2:$AE$44,0,MATCH($A19,'Durée formacode'!$C$1:$AE$1,0)),0)-IFERROR(1*INDEX('Durée formacode'!$C$2:$AE$44,0,MATCH(B$1,'Durée formacode'!$C$1:$AE$1,0)),0)))</f>
        <v>0</v>
      </c>
      <c r="C19" cm="1">
        <f t="array" ref="C19">SUMPRODUCT((IFERROR(1*INDEX('Durée formacode'!$C$2:$AE$44,0,MATCH($A19,'Durée formacode'!$C$1:$AE$1,0)),0)&gt;
 IFERROR(1*INDEX('Durée formacode'!$C$2:$AE$44,0,MATCH(C$1,'Durée formacode'!$C$1:$AE$1,0)),0))*(IFERROR(1*INDEX('Durée formacode'!$C$2:$AE$44,0,MATCH($A19,'Durée formacode'!$C$1:$AE$1,0)),0)-IFERROR(1*INDEX('Durée formacode'!$C$2:$AE$44,0,MATCH(C$1,'Durée formacode'!$C$1:$AE$1,0)),0)))</f>
        <v>0</v>
      </c>
      <c r="D19" cm="1">
        <f t="array" ref="D19">SUMPRODUCT((IFERROR(1*INDEX('Durée formacode'!$C$2:$AE$44,0,MATCH($A19,'Durée formacode'!$C$1:$AE$1,0)),0)&gt;
 IFERROR(1*INDEX('Durée formacode'!$C$2:$AE$44,0,MATCH(D$1,'Durée formacode'!$C$1:$AE$1,0)),0))*(IFERROR(1*INDEX('Durée formacode'!$C$2:$AE$44,0,MATCH($A19,'Durée formacode'!$C$1:$AE$1,0)),0)-IFERROR(1*INDEX('Durée formacode'!$C$2:$AE$44,0,MATCH(D$1,'Durée formacode'!$C$1:$AE$1,0)),0)))</f>
        <v>570</v>
      </c>
      <c r="E19" cm="1">
        <f t="array" ref="E19">SUMPRODUCT((IFERROR(1*INDEX('Durée formacode'!$C$2:$AE$44,0,MATCH($A19,'Durée formacode'!$C$1:$AE$1,0)),0)&gt;
 IFERROR(1*INDEX('Durée formacode'!$C$2:$AE$44,0,MATCH(E$1,'Durée formacode'!$C$1:$AE$1,0)),0))*(IFERROR(1*INDEX('Durée formacode'!$C$2:$AE$44,0,MATCH($A19,'Durée formacode'!$C$1:$AE$1,0)),0)-IFERROR(1*INDEX('Durée formacode'!$C$2:$AE$44,0,MATCH(E$1,'Durée formacode'!$C$1:$AE$1,0)),0)))</f>
        <v>471</v>
      </c>
      <c r="F19" cm="1">
        <f t="array" ref="F19">SUMPRODUCT((IFERROR(1*INDEX('Durée formacode'!$C$2:$AE$44,0,MATCH($A19,'Durée formacode'!$C$1:$AE$1,0)),0)&gt;
 IFERROR(1*INDEX('Durée formacode'!$C$2:$AE$44,0,MATCH(F$1,'Durée formacode'!$C$1:$AE$1,0)),0))*(IFERROR(1*INDEX('Durée formacode'!$C$2:$AE$44,0,MATCH($A19,'Durée formacode'!$C$1:$AE$1,0)),0)-IFERROR(1*INDEX('Durée formacode'!$C$2:$AE$44,0,MATCH(F$1,'Durée formacode'!$C$1:$AE$1,0)),0)))</f>
        <v>321</v>
      </c>
      <c r="G19" cm="1">
        <f t="array" ref="G19">SUMPRODUCT((IFERROR(1*INDEX('Durée formacode'!$C$2:$AE$44,0,MATCH($A19,'Durée formacode'!$C$1:$AE$1,0)),0)&gt;
 IFERROR(1*INDEX('Durée formacode'!$C$2:$AE$44,0,MATCH(G$1,'Durée formacode'!$C$1:$AE$1,0)),0))*(IFERROR(1*INDEX('Durée formacode'!$C$2:$AE$44,0,MATCH($A19,'Durée formacode'!$C$1:$AE$1,0)),0)-IFERROR(1*INDEX('Durée formacode'!$C$2:$AE$44,0,MATCH(G$1,'Durée formacode'!$C$1:$AE$1,0)),0)))</f>
        <v>321</v>
      </c>
      <c r="H19" cm="1">
        <f t="array" ref="H19">SUMPRODUCT((IFERROR(1*INDEX('Durée formacode'!$C$2:$AE$44,0,MATCH($A19,'Durée formacode'!$C$1:$AE$1,0)),0)&gt;
 IFERROR(1*INDEX('Durée formacode'!$C$2:$AE$44,0,MATCH(H$1,'Durée formacode'!$C$1:$AE$1,0)),0))*(IFERROR(1*INDEX('Durée formacode'!$C$2:$AE$44,0,MATCH($A19,'Durée formacode'!$C$1:$AE$1,0)),0)-IFERROR(1*INDEX('Durée formacode'!$C$2:$AE$44,0,MATCH(H$1,'Durée formacode'!$C$1:$AE$1,0)),0)))</f>
        <v>636</v>
      </c>
      <c r="I19" cm="1">
        <f t="array" ref="I19">SUMPRODUCT((IFERROR(1*INDEX('Durée formacode'!$C$2:$AE$44,0,MATCH($A19,'Durée formacode'!$C$1:$AE$1,0)),0)&gt;
 IFERROR(1*INDEX('Durée formacode'!$C$2:$AE$44,0,MATCH(I$1,'Durée formacode'!$C$1:$AE$1,0)),0))*(IFERROR(1*INDEX('Durée formacode'!$C$2:$AE$44,0,MATCH($A19,'Durée formacode'!$C$1:$AE$1,0)),0)-IFERROR(1*INDEX('Durée formacode'!$C$2:$AE$44,0,MATCH(I$1,'Durée formacode'!$C$1:$AE$1,0)),0)))</f>
        <v>570</v>
      </c>
      <c r="J19" cm="1">
        <f t="array" ref="J19">SUMPRODUCT((IFERROR(1*INDEX('Durée formacode'!$C$2:$AE$44,0,MATCH($A19,'Durée formacode'!$C$1:$AE$1,0)),0)&gt;
 IFERROR(1*INDEX('Durée formacode'!$C$2:$AE$44,0,MATCH(J$1,'Durée formacode'!$C$1:$AE$1,0)),0))*(IFERROR(1*INDEX('Durée formacode'!$C$2:$AE$44,0,MATCH($A19,'Durée formacode'!$C$1:$AE$1,0)),0)-IFERROR(1*INDEX('Durée formacode'!$C$2:$AE$44,0,MATCH(J$1,'Durée formacode'!$C$1:$AE$1,0)),0)))</f>
        <v>636</v>
      </c>
      <c r="K19" cm="1">
        <f t="array" ref="K19">SUMPRODUCT((IFERROR(1*INDEX('Durée formacode'!$C$2:$AE$44,0,MATCH($A19,'Durée formacode'!$C$1:$AE$1,0)),0)&gt;
 IFERROR(1*INDEX('Durée formacode'!$C$2:$AE$44,0,MATCH(K$1,'Durée formacode'!$C$1:$AE$1,0)),0))*(IFERROR(1*INDEX('Durée formacode'!$C$2:$AE$44,0,MATCH($A19,'Durée formacode'!$C$1:$AE$1,0)),0)-IFERROR(1*INDEX('Durée formacode'!$C$2:$AE$44,0,MATCH(K$1,'Durée formacode'!$C$1:$AE$1,0)),0)))</f>
        <v>471</v>
      </c>
      <c r="L19" cm="1">
        <f t="array" ref="L19">SUMPRODUCT((IFERROR(1*INDEX('Durée formacode'!$C$2:$AE$44,0,MATCH($A19,'Durée formacode'!$C$1:$AE$1,0)),0)&gt;
 IFERROR(1*INDEX('Durée formacode'!$C$2:$AE$44,0,MATCH(L$1,'Durée formacode'!$C$1:$AE$1,0)),0))*(IFERROR(1*INDEX('Durée formacode'!$C$2:$AE$44,0,MATCH($A19,'Durée formacode'!$C$1:$AE$1,0)),0)-IFERROR(1*INDEX('Durée formacode'!$C$2:$AE$44,0,MATCH(L$1,'Durée formacode'!$C$1:$AE$1,0)),0)))</f>
        <v>570</v>
      </c>
      <c r="M19" cm="1">
        <f t="array" ref="M19">SUMPRODUCT((IFERROR(1*INDEX('Durée formacode'!$C$2:$AE$44,0,MATCH($A19,'Durée formacode'!$C$1:$AE$1,0)),0)&gt;
 IFERROR(1*INDEX('Durée formacode'!$C$2:$AE$44,0,MATCH(M$1,'Durée formacode'!$C$1:$AE$1,0)),0))*(IFERROR(1*INDEX('Durée formacode'!$C$2:$AE$44,0,MATCH($A19,'Durée formacode'!$C$1:$AE$1,0)),0)-IFERROR(1*INDEX('Durée formacode'!$C$2:$AE$44,0,MATCH(M$1,'Durée formacode'!$C$1:$AE$1,0)),0)))</f>
        <v>146</v>
      </c>
      <c r="N19" cm="1">
        <f t="array" ref="N19">SUMPRODUCT((IFERROR(1*INDEX('Durée formacode'!$C$2:$AE$44,0,MATCH($A19,'Durée formacode'!$C$1:$AE$1,0)),0)&gt;
 IFERROR(1*INDEX('Durée formacode'!$C$2:$AE$44,0,MATCH(N$1,'Durée formacode'!$C$1:$AE$1,0)),0))*(IFERROR(1*INDEX('Durée formacode'!$C$2:$AE$44,0,MATCH($A19,'Durée formacode'!$C$1:$AE$1,0)),0)-IFERROR(1*INDEX('Durée formacode'!$C$2:$AE$44,0,MATCH(N$1,'Durée formacode'!$C$1:$AE$1,0)),0)))</f>
        <v>76</v>
      </c>
      <c r="O19" cm="1">
        <f t="array" ref="O19">SUMPRODUCT((IFERROR(1*INDEX('Durée formacode'!$C$2:$AE$44,0,MATCH($A19,'Durée formacode'!$C$1:$AE$1,0)),0)&gt;
 IFERROR(1*INDEX('Durée formacode'!$C$2:$AE$44,0,MATCH(O$1,'Durée formacode'!$C$1:$AE$1,0)),0))*(IFERROR(1*INDEX('Durée formacode'!$C$2:$AE$44,0,MATCH($A19,'Durée formacode'!$C$1:$AE$1,0)),0)-IFERROR(1*INDEX('Durée formacode'!$C$2:$AE$44,0,MATCH(O$1,'Durée formacode'!$C$1:$AE$1,0)),0)))</f>
        <v>490</v>
      </c>
      <c r="P19" cm="1">
        <f t="array" ref="P19">SUMPRODUCT((IFERROR(1*INDEX('Durée formacode'!$C$2:$AE$44,0,MATCH($A19,'Durée formacode'!$C$1:$AE$1,0)),0)&gt;
 IFERROR(1*INDEX('Durée formacode'!$C$2:$AE$44,0,MATCH(P$1,'Durée formacode'!$C$1:$AE$1,0)),0))*(IFERROR(1*INDEX('Durée formacode'!$C$2:$AE$44,0,MATCH($A19,'Durée formacode'!$C$1:$AE$1,0)),0)-IFERROR(1*INDEX('Durée formacode'!$C$2:$AE$44,0,MATCH(P$1,'Durée formacode'!$C$1:$AE$1,0)),0)))</f>
        <v>315</v>
      </c>
      <c r="Q19" cm="1">
        <f t="array" ref="Q19">SUMPRODUCT((IFERROR(1*INDEX('Durée formacode'!$C$2:$AE$44,0,MATCH($A19,'Durée formacode'!$C$1:$AE$1,0)),0)&gt;
 IFERROR(1*INDEX('Durée formacode'!$C$2:$AE$44,0,MATCH(Q$1,'Durée formacode'!$C$1:$AE$1,0)),0))*(IFERROR(1*INDEX('Durée formacode'!$C$2:$AE$44,0,MATCH($A19,'Durée formacode'!$C$1:$AE$1,0)),0)-IFERROR(1*INDEX('Durée formacode'!$C$2:$AE$44,0,MATCH(Q$1,'Durée formacode'!$C$1:$AE$1,0)),0)))</f>
        <v>0</v>
      </c>
      <c r="R19" cm="1">
        <f t="array" ref="R19">SUMPRODUCT((IFERROR(1*INDEX('Durée formacode'!$C$2:$AE$44,0,MATCH($A19,'Durée formacode'!$C$1:$AE$1,0)),0)&gt;
 IFERROR(1*INDEX('Durée formacode'!$C$2:$AE$44,0,MATCH(R$1,'Durée formacode'!$C$1:$AE$1,0)),0))*(IFERROR(1*INDEX('Durée formacode'!$C$2:$AE$44,0,MATCH($A19,'Durée formacode'!$C$1:$AE$1,0)),0)-IFERROR(1*INDEX('Durée formacode'!$C$2:$AE$44,0,MATCH(R$1,'Durée formacode'!$C$1:$AE$1,0)),0)))</f>
        <v>636</v>
      </c>
      <c r="S19" cm="1">
        <f t="array" ref="S19">SUMPRODUCT((IFERROR(1*INDEX('Durée formacode'!$C$2:$AE$44,0,MATCH($A19,'Durée formacode'!$C$1:$AE$1,0)),0)&gt;
 IFERROR(1*INDEX('Durée formacode'!$C$2:$AE$44,0,MATCH(S$1,'Durée formacode'!$C$1:$AE$1,0)),0))*(IFERROR(1*INDEX('Durée formacode'!$C$2:$AE$44,0,MATCH($A19,'Durée formacode'!$C$1:$AE$1,0)),0)-IFERROR(1*INDEX('Durée formacode'!$C$2:$AE$44,0,MATCH(S$1,'Durée formacode'!$C$1:$AE$1,0)),0)))</f>
        <v>0</v>
      </c>
      <c r="T19" cm="1">
        <f t="array" ref="T19">SUMPRODUCT((IFERROR(1*INDEX('Durée formacode'!$C$2:$AE$44,0,MATCH($A19,'Durée formacode'!$C$1:$AE$1,0)),0)&gt;
 IFERROR(1*INDEX('Durée formacode'!$C$2:$AE$44,0,MATCH(T$1,'Durée formacode'!$C$1:$AE$1,0)),0))*(IFERROR(1*INDEX('Durée formacode'!$C$2:$AE$44,0,MATCH($A19,'Durée formacode'!$C$1:$AE$1,0)),0)-IFERROR(1*INDEX('Durée formacode'!$C$2:$AE$44,0,MATCH(T$1,'Durée formacode'!$C$1:$AE$1,0)),0)))</f>
        <v>0</v>
      </c>
      <c r="U19" cm="1">
        <f t="array" ref="U19">SUMPRODUCT((IFERROR(1*INDEX('Durée formacode'!$C$2:$AE$44,0,MATCH($A19,'Durée formacode'!$C$1:$AE$1,0)),0)&gt;
 IFERROR(1*INDEX('Durée formacode'!$C$2:$AE$44,0,MATCH(U$1,'Durée formacode'!$C$1:$AE$1,0)),0))*(IFERROR(1*INDEX('Durée formacode'!$C$2:$AE$44,0,MATCH($A19,'Durée formacode'!$C$1:$AE$1,0)),0)-IFERROR(1*INDEX('Durée formacode'!$C$2:$AE$44,0,MATCH(U$1,'Durée formacode'!$C$1:$AE$1,0)),0)))</f>
        <v>0</v>
      </c>
      <c r="V19" cm="1">
        <f t="array" ref="V19">SUMPRODUCT((IFERROR(1*INDEX('Durée formacode'!$C$2:$AE$44,0,MATCH($A19,'Durée formacode'!$C$1:$AE$1,0)),0)&gt;
 IFERROR(1*INDEX('Durée formacode'!$C$2:$AE$44,0,MATCH(V$1,'Durée formacode'!$C$1:$AE$1,0)),0))*(IFERROR(1*INDEX('Durée formacode'!$C$2:$AE$44,0,MATCH($A19,'Durée formacode'!$C$1:$AE$1,0)),0)-IFERROR(1*INDEX('Durée formacode'!$C$2:$AE$44,0,MATCH(V$1,'Durée formacode'!$C$1:$AE$1,0)),0)))</f>
        <v>0</v>
      </c>
      <c r="W19" cm="1">
        <f t="array" ref="W19">SUMPRODUCT((IFERROR(1*INDEX('Durée formacode'!$C$2:$AE$44,0,MATCH($A19,'Durée formacode'!$C$1:$AE$1,0)),0)&gt;
 IFERROR(1*INDEX('Durée formacode'!$C$2:$AE$44,0,MATCH(W$1,'Durée formacode'!$C$1:$AE$1,0)),0))*(IFERROR(1*INDEX('Durée formacode'!$C$2:$AE$44,0,MATCH($A19,'Durée formacode'!$C$1:$AE$1,0)),0)-IFERROR(1*INDEX('Durée formacode'!$C$2:$AE$44,0,MATCH(W$1,'Durée formacode'!$C$1:$AE$1,0)),0)))</f>
        <v>76</v>
      </c>
      <c r="X19" cm="1">
        <f t="array" ref="X19">SUMPRODUCT((IFERROR(1*INDEX('Durée formacode'!$C$2:$AE$44,0,MATCH($A19,'Durée formacode'!$C$1:$AE$1,0)),0)&gt;
 IFERROR(1*INDEX('Durée formacode'!$C$2:$AE$44,0,MATCH(X$1,'Durée formacode'!$C$1:$AE$1,0)),0))*(IFERROR(1*INDEX('Durée formacode'!$C$2:$AE$44,0,MATCH($A19,'Durée formacode'!$C$1:$AE$1,0)),0)-IFERROR(1*INDEX('Durée formacode'!$C$2:$AE$44,0,MATCH(X$1,'Durée formacode'!$C$1:$AE$1,0)),0)))</f>
        <v>391</v>
      </c>
      <c r="Y19" cm="1">
        <f t="array" ref="Y19">SUMPRODUCT((IFERROR(1*INDEX('Durée formacode'!$C$2:$AE$44,0,MATCH($A19,'Durée formacode'!$C$1:$AE$1,0)),0)&gt;
 IFERROR(1*INDEX('Durée formacode'!$C$2:$AE$44,0,MATCH(Y$1,'Durée formacode'!$C$1:$AE$1,0)),0))*(IFERROR(1*INDEX('Durée formacode'!$C$2:$AE$44,0,MATCH($A19,'Durée formacode'!$C$1:$AE$1,0)),0)-IFERROR(1*INDEX('Durée formacode'!$C$2:$AE$44,0,MATCH(Y$1,'Durée formacode'!$C$1:$AE$1,0)),0)))</f>
        <v>70</v>
      </c>
      <c r="Z19" cm="1">
        <f t="array" ref="Z19">SUMPRODUCT((IFERROR(1*INDEX('Durée formacode'!$C$2:$AE$44,0,MATCH($A19,'Durée formacode'!$C$1:$AE$1,0)),0)&gt;
 IFERROR(1*INDEX('Durée formacode'!$C$2:$AE$44,0,MATCH(Z$1,'Durée formacode'!$C$1:$AE$1,0)),0))*(IFERROR(1*INDEX('Durée formacode'!$C$2:$AE$44,0,MATCH($A19,'Durée formacode'!$C$1:$AE$1,0)),0)-IFERROR(1*INDEX('Durée formacode'!$C$2:$AE$44,0,MATCH(Z$1,'Durée formacode'!$C$1:$AE$1,0)),0)))</f>
        <v>70</v>
      </c>
      <c r="AA19" cm="1">
        <f t="array" ref="AA19">SUMPRODUCT((IFERROR(1*INDEX('Durée formacode'!$C$2:$AE$44,0,MATCH($A19,'Durée formacode'!$C$1:$AE$1,0)),0)&gt;
 IFERROR(1*INDEX('Durée formacode'!$C$2:$AE$44,0,MATCH(AA$1,'Durée formacode'!$C$1:$AE$1,0)),0))*(IFERROR(1*INDEX('Durée formacode'!$C$2:$AE$44,0,MATCH($A19,'Durée formacode'!$C$1:$AE$1,0)),0)-IFERROR(1*INDEX('Durée formacode'!$C$2:$AE$44,0,MATCH(AA$1,'Durée formacode'!$C$1:$AE$1,0)),0)))</f>
        <v>70</v>
      </c>
      <c r="AB19" cm="1">
        <f t="array" ref="AB19">SUMPRODUCT((IFERROR(1*INDEX('Durée formacode'!$C$2:$AE$44,0,MATCH($A19,'Durée formacode'!$C$1:$AE$1,0)),0)&gt;
 IFERROR(1*INDEX('Durée formacode'!$C$2:$AE$44,0,MATCH(AB$1,'Durée formacode'!$C$1:$AE$1,0)),0))*(IFERROR(1*INDEX('Durée formacode'!$C$2:$AE$44,0,MATCH($A19,'Durée formacode'!$C$1:$AE$1,0)),0)-IFERROR(1*INDEX('Durée formacode'!$C$2:$AE$44,0,MATCH(AB$1,'Durée formacode'!$C$1:$AE$1,0)),0)))</f>
        <v>315</v>
      </c>
      <c r="AC19" cm="1">
        <f t="array" ref="AC19">SUMPRODUCT((IFERROR(1*INDEX('Durée formacode'!$C$2:$AE$44,0,MATCH($A19,'Durée formacode'!$C$1:$AE$1,0)),0)&gt;
 IFERROR(1*INDEX('Durée formacode'!$C$2:$AE$44,0,MATCH(AC$1,'Durée formacode'!$C$1:$AE$1,0)),0))*(IFERROR(1*INDEX('Durée formacode'!$C$2:$AE$44,0,MATCH($A19,'Durée formacode'!$C$1:$AE$1,0)),0)-IFERROR(1*INDEX('Durée formacode'!$C$2:$AE$44,0,MATCH(AC$1,'Durée formacode'!$C$1:$AE$1,0)),0)))</f>
        <v>315</v>
      </c>
      <c r="AD19" cm="1">
        <f t="array" ref="AD19">SUMPRODUCT((IFERROR(1*INDEX('Durée formacode'!$C$2:$AE$44,0,MATCH($A19,'Durée formacode'!$C$1:$AE$1,0)),0)&gt;
 IFERROR(1*INDEX('Durée formacode'!$C$2:$AE$44,0,MATCH(AD$1,'Durée formacode'!$C$1:$AE$1,0)),0))*(IFERROR(1*INDEX('Durée formacode'!$C$2:$AE$44,0,MATCH($A19,'Durée formacode'!$C$1:$AE$1,0)),0)-IFERROR(1*INDEX('Durée formacode'!$C$2:$AE$44,0,MATCH(AD$1,'Durée formacode'!$C$1:$AE$1,0)),0)))</f>
        <v>315</v>
      </c>
    </row>
    <row r="20" spans="1:30">
      <c r="A20" s="55" t="str">
        <v>Conducteur(trice) de machine(s) de production alimentaire (fabrication / conditionnement)</v>
      </c>
      <c r="B20" cm="1">
        <f t="array" ref="B20">SUMPRODUCT((IFERROR(1*INDEX('Durée formacode'!$C$2:$AE$44,0,MATCH($A20,'Durée formacode'!$C$1:$AE$1,0)),0)&gt;
 IFERROR(1*INDEX('Durée formacode'!$C$2:$AE$44,0,MATCH(B$1,'Durée formacode'!$C$1:$AE$1,0)),0))*(IFERROR(1*INDEX('Durée formacode'!$C$2:$AE$44,0,MATCH($A20,'Durée formacode'!$C$1:$AE$1,0)),0)-IFERROR(1*INDEX('Durée formacode'!$C$2:$AE$44,0,MATCH(B$1,'Durée formacode'!$C$1:$AE$1,0)),0)))</f>
        <v>214</v>
      </c>
      <c r="C20" cm="1">
        <f t="array" ref="C20">SUMPRODUCT((IFERROR(1*INDEX('Durée formacode'!$C$2:$AE$44,0,MATCH($A20,'Durée formacode'!$C$1:$AE$1,0)),0)&gt;
 IFERROR(1*INDEX('Durée formacode'!$C$2:$AE$44,0,MATCH(C$1,'Durée formacode'!$C$1:$AE$1,0)),0))*(IFERROR(1*INDEX('Durée formacode'!$C$2:$AE$44,0,MATCH($A20,'Durée formacode'!$C$1:$AE$1,0)),0)-IFERROR(1*INDEX('Durée formacode'!$C$2:$AE$44,0,MATCH(C$1,'Durée formacode'!$C$1:$AE$1,0)),0)))</f>
        <v>0</v>
      </c>
      <c r="D20" cm="1">
        <f t="array" ref="D20">SUMPRODUCT((IFERROR(1*INDEX('Durée formacode'!$C$2:$AE$44,0,MATCH($A20,'Durée formacode'!$C$1:$AE$1,0)),0)&gt;
 IFERROR(1*INDEX('Durée formacode'!$C$2:$AE$44,0,MATCH(D$1,'Durée formacode'!$C$1:$AE$1,0)),0))*(IFERROR(1*INDEX('Durée formacode'!$C$2:$AE$44,0,MATCH($A20,'Durée formacode'!$C$1:$AE$1,0)),0)-IFERROR(1*INDEX('Durée formacode'!$C$2:$AE$44,0,MATCH(D$1,'Durée formacode'!$C$1:$AE$1,0)),0)))</f>
        <v>1008</v>
      </c>
      <c r="E20" cm="1">
        <f t="array" ref="E20">SUMPRODUCT((IFERROR(1*INDEX('Durée formacode'!$C$2:$AE$44,0,MATCH($A20,'Durée formacode'!$C$1:$AE$1,0)),0)&gt;
 IFERROR(1*INDEX('Durée formacode'!$C$2:$AE$44,0,MATCH(E$1,'Durée formacode'!$C$1:$AE$1,0)),0))*(IFERROR(1*INDEX('Durée formacode'!$C$2:$AE$44,0,MATCH($A20,'Durée formacode'!$C$1:$AE$1,0)),0)-IFERROR(1*INDEX('Durée formacode'!$C$2:$AE$44,0,MATCH(E$1,'Durée formacode'!$C$1:$AE$1,0)),0)))</f>
        <v>909</v>
      </c>
      <c r="F20" cm="1">
        <f t="array" ref="F20">SUMPRODUCT((IFERROR(1*INDEX('Durée formacode'!$C$2:$AE$44,0,MATCH($A20,'Durée formacode'!$C$1:$AE$1,0)),0)&gt;
 IFERROR(1*INDEX('Durée formacode'!$C$2:$AE$44,0,MATCH(F$1,'Durée formacode'!$C$1:$AE$1,0)),0))*(IFERROR(1*INDEX('Durée formacode'!$C$2:$AE$44,0,MATCH($A20,'Durée formacode'!$C$1:$AE$1,0)),0)-IFERROR(1*INDEX('Durée formacode'!$C$2:$AE$44,0,MATCH(F$1,'Durée formacode'!$C$1:$AE$1,0)),0)))</f>
        <v>391</v>
      </c>
      <c r="G20" cm="1">
        <f t="array" ref="G20">SUMPRODUCT((IFERROR(1*INDEX('Durée formacode'!$C$2:$AE$44,0,MATCH($A20,'Durée formacode'!$C$1:$AE$1,0)),0)&gt;
 IFERROR(1*INDEX('Durée formacode'!$C$2:$AE$44,0,MATCH(G$1,'Durée formacode'!$C$1:$AE$1,0)),0))*(IFERROR(1*INDEX('Durée formacode'!$C$2:$AE$44,0,MATCH($A20,'Durée formacode'!$C$1:$AE$1,0)),0)-IFERROR(1*INDEX('Durée formacode'!$C$2:$AE$44,0,MATCH(G$1,'Durée formacode'!$C$1:$AE$1,0)),0)))</f>
        <v>465</v>
      </c>
      <c r="H20" cm="1">
        <f t="array" ref="H20">SUMPRODUCT((IFERROR(1*INDEX('Durée formacode'!$C$2:$AE$44,0,MATCH($A20,'Durée formacode'!$C$1:$AE$1,0)),0)&gt;
 IFERROR(1*INDEX('Durée formacode'!$C$2:$AE$44,0,MATCH(H$1,'Durée formacode'!$C$1:$AE$1,0)),0))*(IFERROR(1*INDEX('Durée formacode'!$C$2:$AE$44,0,MATCH($A20,'Durée formacode'!$C$1:$AE$1,0)),0)-IFERROR(1*INDEX('Durée formacode'!$C$2:$AE$44,0,MATCH(H$1,'Durée formacode'!$C$1:$AE$1,0)),0)))</f>
        <v>1074</v>
      </c>
      <c r="I20" cm="1">
        <f t="array" ref="I20">SUMPRODUCT((IFERROR(1*INDEX('Durée formacode'!$C$2:$AE$44,0,MATCH($A20,'Durée formacode'!$C$1:$AE$1,0)),0)&gt;
 IFERROR(1*INDEX('Durée formacode'!$C$2:$AE$44,0,MATCH(I$1,'Durée formacode'!$C$1:$AE$1,0)),0))*(IFERROR(1*INDEX('Durée formacode'!$C$2:$AE$44,0,MATCH($A20,'Durée formacode'!$C$1:$AE$1,0)),0)-IFERROR(1*INDEX('Durée formacode'!$C$2:$AE$44,0,MATCH(I$1,'Durée formacode'!$C$1:$AE$1,0)),0)))</f>
        <v>1008</v>
      </c>
      <c r="J20" cm="1">
        <f t="array" ref="J20">SUMPRODUCT((IFERROR(1*INDEX('Durée formacode'!$C$2:$AE$44,0,MATCH($A20,'Durée formacode'!$C$1:$AE$1,0)),0)&gt;
 IFERROR(1*INDEX('Durée formacode'!$C$2:$AE$44,0,MATCH(J$1,'Durée formacode'!$C$1:$AE$1,0)),0))*(IFERROR(1*INDEX('Durée formacode'!$C$2:$AE$44,0,MATCH($A20,'Durée formacode'!$C$1:$AE$1,0)),0)-IFERROR(1*INDEX('Durée formacode'!$C$2:$AE$44,0,MATCH(J$1,'Durée formacode'!$C$1:$AE$1,0)),0)))</f>
        <v>1074</v>
      </c>
      <c r="K20" cm="1">
        <f t="array" ref="K20">SUMPRODUCT((IFERROR(1*INDEX('Durée formacode'!$C$2:$AE$44,0,MATCH($A20,'Durée formacode'!$C$1:$AE$1,0)),0)&gt;
 IFERROR(1*INDEX('Durée formacode'!$C$2:$AE$44,0,MATCH(K$1,'Durée formacode'!$C$1:$AE$1,0)),0))*(IFERROR(1*INDEX('Durée formacode'!$C$2:$AE$44,0,MATCH($A20,'Durée formacode'!$C$1:$AE$1,0)),0)-IFERROR(1*INDEX('Durée formacode'!$C$2:$AE$44,0,MATCH(K$1,'Durée formacode'!$C$1:$AE$1,0)),0)))</f>
        <v>909</v>
      </c>
      <c r="L20" cm="1">
        <f t="array" ref="L20">SUMPRODUCT((IFERROR(1*INDEX('Durée formacode'!$C$2:$AE$44,0,MATCH($A20,'Durée formacode'!$C$1:$AE$1,0)),0)&gt;
 IFERROR(1*INDEX('Durée formacode'!$C$2:$AE$44,0,MATCH(L$1,'Durée formacode'!$C$1:$AE$1,0)),0))*(IFERROR(1*INDEX('Durée formacode'!$C$2:$AE$44,0,MATCH($A20,'Durée formacode'!$C$1:$AE$1,0)),0)-IFERROR(1*INDEX('Durée formacode'!$C$2:$AE$44,0,MATCH(L$1,'Durée formacode'!$C$1:$AE$1,0)),0)))</f>
        <v>1008</v>
      </c>
      <c r="M20" cm="1">
        <f t="array" ref="M20">SUMPRODUCT((IFERROR(1*INDEX('Durée formacode'!$C$2:$AE$44,0,MATCH($A20,'Durée formacode'!$C$1:$AE$1,0)),0)&gt;
 IFERROR(1*INDEX('Durée formacode'!$C$2:$AE$44,0,MATCH(M$1,'Durée formacode'!$C$1:$AE$1,0)),0))*(IFERROR(1*INDEX('Durée formacode'!$C$2:$AE$44,0,MATCH($A20,'Durée formacode'!$C$1:$AE$1,0)),0)-IFERROR(1*INDEX('Durée formacode'!$C$2:$AE$44,0,MATCH(M$1,'Durée formacode'!$C$1:$AE$1,0)),0)))</f>
        <v>370</v>
      </c>
      <c r="N20" cm="1">
        <f t="array" ref="N20">SUMPRODUCT((IFERROR(1*INDEX('Durée formacode'!$C$2:$AE$44,0,MATCH($A20,'Durée formacode'!$C$1:$AE$1,0)),0)&gt;
 IFERROR(1*INDEX('Durée formacode'!$C$2:$AE$44,0,MATCH(N$1,'Durée formacode'!$C$1:$AE$1,0)),0))*(IFERROR(1*INDEX('Durée formacode'!$C$2:$AE$44,0,MATCH($A20,'Durée formacode'!$C$1:$AE$1,0)),0)-IFERROR(1*INDEX('Durée formacode'!$C$2:$AE$44,0,MATCH(N$1,'Durée formacode'!$C$1:$AE$1,0)),0)))</f>
        <v>290</v>
      </c>
      <c r="O20" cm="1">
        <f t="array" ref="O20">SUMPRODUCT((IFERROR(1*INDEX('Durée formacode'!$C$2:$AE$44,0,MATCH($A20,'Durée formacode'!$C$1:$AE$1,0)),0)&gt;
 IFERROR(1*INDEX('Durée formacode'!$C$2:$AE$44,0,MATCH(O$1,'Durée formacode'!$C$1:$AE$1,0)),0))*(IFERROR(1*INDEX('Durée formacode'!$C$2:$AE$44,0,MATCH($A20,'Durée formacode'!$C$1:$AE$1,0)),0)-IFERROR(1*INDEX('Durée formacode'!$C$2:$AE$44,0,MATCH(O$1,'Durée formacode'!$C$1:$AE$1,0)),0)))</f>
        <v>928</v>
      </c>
      <c r="P20" cm="1">
        <f t="array" ref="P20">SUMPRODUCT((IFERROR(1*INDEX('Durée formacode'!$C$2:$AE$44,0,MATCH($A20,'Durée formacode'!$C$1:$AE$1,0)),0)&gt;
 IFERROR(1*INDEX('Durée formacode'!$C$2:$AE$44,0,MATCH(P$1,'Durée formacode'!$C$1:$AE$1,0)),0))*(IFERROR(1*INDEX('Durée formacode'!$C$2:$AE$44,0,MATCH($A20,'Durée formacode'!$C$1:$AE$1,0)),0)-IFERROR(1*INDEX('Durée formacode'!$C$2:$AE$44,0,MATCH(P$1,'Durée formacode'!$C$1:$AE$1,0)),0)))</f>
        <v>539</v>
      </c>
      <c r="Q20" cm="1">
        <f t="array" ref="Q20">SUMPRODUCT((IFERROR(1*INDEX('Durée formacode'!$C$2:$AE$44,0,MATCH($A20,'Durée formacode'!$C$1:$AE$1,0)),0)&gt;
 IFERROR(1*INDEX('Durée formacode'!$C$2:$AE$44,0,MATCH(Q$1,'Durée formacode'!$C$1:$AE$1,0)),0))*(IFERROR(1*INDEX('Durée formacode'!$C$2:$AE$44,0,MATCH($A20,'Durée formacode'!$C$1:$AE$1,0)),0)-IFERROR(1*INDEX('Durée formacode'!$C$2:$AE$44,0,MATCH(Q$1,'Durée formacode'!$C$1:$AE$1,0)),0)))</f>
        <v>144</v>
      </c>
      <c r="R20" cm="1">
        <f t="array" ref="R20">SUMPRODUCT((IFERROR(1*INDEX('Durée formacode'!$C$2:$AE$44,0,MATCH($A20,'Durée formacode'!$C$1:$AE$1,0)),0)&gt;
 IFERROR(1*INDEX('Durée formacode'!$C$2:$AE$44,0,MATCH(R$1,'Durée formacode'!$C$1:$AE$1,0)),0))*(IFERROR(1*INDEX('Durée formacode'!$C$2:$AE$44,0,MATCH($A20,'Durée formacode'!$C$1:$AE$1,0)),0)-IFERROR(1*INDEX('Durée formacode'!$C$2:$AE$44,0,MATCH(R$1,'Durée formacode'!$C$1:$AE$1,0)),0)))</f>
        <v>1074</v>
      </c>
      <c r="S20" cm="1">
        <f t="array" ref="S20">SUMPRODUCT((IFERROR(1*INDEX('Durée formacode'!$C$2:$AE$44,0,MATCH($A20,'Durée formacode'!$C$1:$AE$1,0)),0)&gt;
 IFERROR(1*INDEX('Durée formacode'!$C$2:$AE$44,0,MATCH(S$1,'Durée formacode'!$C$1:$AE$1,0)),0))*(IFERROR(1*INDEX('Durée formacode'!$C$2:$AE$44,0,MATCH($A20,'Durée formacode'!$C$1:$AE$1,0)),0)-IFERROR(1*INDEX('Durée formacode'!$C$2:$AE$44,0,MATCH(S$1,'Durée formacode'!$C$1:$AE$1,0)),0)))</f>
        <v>438</v>
      </c>
      <c r="T20" cm="1">
        <f t="array" ref="T20">SUMPRODUCT((IFERROR(1*INDEX('Durée formacode'!$C$2:$AE$44,0,MATCH($A20,'Durée formacode'!$C$1:$AE$1,0)),0)&gt;
 IFERROR(1*INDEX('Durée formacode'!$C$2:$AE$44,0,MATCH(T$1,'Durée formacode'!$C$1:$AE$1,0)),0))*(IFERROR(1*INDEX('Durée formacode'!$C$2:$AE$44,0,MATCH($A20,'Durée formacode'!$C$1:$AE$1,0)),0)-IFERROR(1*INDEX('Durée formacode'!$C$2:$AE$44,0,MATCH(T$1,'Durée formacode'!$C$1:$AE$1,0)),0)))</f>
        <v>0</v>
      </c>
      <c r="U20" cm="1">
        <f t="array" ref="U20">SUMPRODUCT((IFERROR(1*INDEX('Durée formacode'!$C$2:$AE$44,0,MATCH($A20,'Durée formacode'!$C$1:$AE$1,0)),0)&gt;
 IFERROR(1*INDEX('Durée formacode'!$C$2:$AE$44,0,MATCH(U$1,'Durée formacode'!$C$1:$AE$1,0)),0))*(IFERROR(1*INDEX('Durée formacode'!$C$2:$AE$44,0,MATCH($A20,'Durée formacode'!$C$1:$AE$1,0)),0)-IFERROR(1*INDEX('Durée formacode'!$C$2:$AE$44,0,MATCH(U$1,'Durée formacode'!$C$1:$AE$1,0)),0)))</f>
        <v>438</v>
      </c>
      <c r="V20" cm="1">
        <f t="array" ref="V20">SUMPRODUCT((IFERROR(1*INDEX('Durée formacode'!$C$2:$AE$44,0,MATCH($A20,'Durée formacode'!$C$1:$AE$1,0)),0)&gt;
 IFERROR(1*INDEX('Durée formacode'!$C$2:$AE$44,0,MATCH(V$1,'Durée formacode'!$C$1:$AE$1,0)),0))*(IFERROR(1*INDEX('Durée formacode'!$C$2:$AE$44,0,MATCH($A20,'Durée formacode'!$C$1:$AE$1,0)),0)-IFERROR(1*INDEX('Durée formacode'!$C$2:$AE$44,0,MATCH(V$1,'Durée formacode'!$C$1:$AE$1,0)),0)))</f>
        <v>0</v>
      </c>
      <c r="W20" cm="1">
        <f t="array" ref="W20">SUMPRODUCT((IFERROR(1*INDEX('Durée formacode'!$C$2:$AE$44,0,MATCH($A20,'Durée formacode'!$C$1:$AE$1,0)),0)&gt;
 IFERROR(1*INDEX('Durée formacode'!$C$2:$AE$44,0,MATCH(W$1,'Durée formacode'!$C$1:$AE$1,0)),0))*(IFERROR(1*INDEX('Durée formacode'!$C$2:$AE$44,0,MATCH($A20,'Durée formacode'!$C$1:$AE$1,0)),0)-IFERROR(1*INDEX('Durée formacode'!$C$2:$AE$44,0,MATCH(W$1,'Durée formacode'!$C$1:$AE$1,0)),0)))</f>
        <v>76</v>
      </c>
      <c r="X20" cm="1">
        <f t="array" ref="X20">SUMPRODUCT((IFERROR(1*INDEX('Durée formacode'!$C$2:$AE$44,0,MATCH($A20,'Durée formacode'!$C$1:$AE$1,0)),0)&gt;
 IFERROR(1*INDEX('Durée formacode'!$C$2:$AE$44,0,MATCH(X$1,'Durée formacode'!$C$1:$AE$1,0)),0))*(IFERROR(1*INDEX('Durée formacode'!$C$2:$AE$44,0,MATCH($A20,'Durée formacode'!$C$1:$AE$1,0)),0)-IFERROR(1*INDEX('Durée formacode'!$C$2:$AE$44,0,MATCH(X$1,'Durée formacode'!$C$1:$AE$1,0)),0)))</f>
        <v>829</v>
      </c>
      <c r="Y20" cm="1">
        <f t="array" ref="Y20">SUMPRODUCT((IFERROR(1*INDEX('Durée formacode'!$C$2:$AE$44,0,MATCH($A20,'Durée formacode'!$C$1:$AE$1,0)),0)&gt;
 IFERROR(1*INDEX('Durée formacode'!$C$2:$AE$44,0,MATCH(Y$1,'Durée formacode'!$C$1:$AE$1,0)),0))*(IFERROR(1*INDEX('Durée formacode'!$C$2:$AE$44,0,MATCH($A20,'Durée formacode'!$C$1:$AE$1,0)),0)-IFERROR(1*INDEX('Durée formacode'!$C$2:$AE$44,0,MATCH(Y$1,'Durée formacode'!$C$1:$AE$1,0)),0)))</f>
        <v>508</v>
      </c>
      <c r="Z20" cm="1">
        <f t="array" ref="Z20">SUMPRODUCT((IFERROR(1*INDEX('Durée formacode'!$C$2:$AE$44,0,MATCH($A20,'Durée formacode'!$C$1:$AE$1,0)),0)&gt;
 IFERROR(1*INDEX('Durée formacode'!$C$2:$AE$44,0,MATCH(Z$1,'Durée formacode'!$C$1:$AE$1,0)),0))*(IFERROR(1*INDEX('Durée formacode'!$C$2:$AE$44,0,MATCH($A20,'Durée formacode'!$C$1:$AE$1,0)),0)-IFERROR(1*INDEX('Durée formacode'!$C$2:$AE$44,0,MATCH(Z$1,'Durée formacode'!$C$1:$AE$1,0)),0)))</f>
        <v>508</v>
      </c>
      <c r="AA20" cm="1">
        <f t="array" ref="AA20">SUMPRODUCT((IFERROR(1*INDEX('Durée formacode'!$C$2:$AE$44,0,MATCH($A20,'Durée formacode'!$C$1:$AE$1,0)),0)&gt;
 IFERROR(1*INDEX('Durée formacode'!$C$2:$AE$44,0,MATCH(AA$1,'Durée formacode'!$C$1:$AE$1,0)),0))*(IFERROR(1*INDEX('Durée formacode'!$C$2:$AE$44,0,MATCH($A20,'Durée formacode'!$C$1:$AE$1,0)),0)-IFERROR(1*INDEX('Durée formacode'!$C$2:$AE$44,0,MATCH(AA$1,'Durée formacode'!$C$1:$AE$1,0)),0)))</f>
        <v>508</v>
      </c>
      <c r="AB20" cm="1">
        <f t="array" ref="AB20">SUMPRODUCT((IFERROR(1*INDEX('Durée formacode'!$C$2:$AE$44,0,MATCH($A20,'Durée formacode'!$C$1:$AE$1,0)),0)&gt;
 IFERROR(1*INDEX('Durée formacode'!$C$2:$AE$44,0,MATCH(AB$1,'Durée formacode'!$C$1:$AE$1,0)),0))*(IFERROR(1*INDEX('Durée formacode'!$C$2:$AE$44,0,MATCH($A20,'Durée formacode'!$C$1:$AE$1,0)),0)-IFERROR(1*INDEX('Durée formacode'!$C$2:$AE$44,0,MATCH(AB$1,'Durée formacode'!$C$1:$AE$1,0)),0)))</f>
        <v>539</v>
      </c>
      <c r="AC20" cm="1">
        <f t="array" ref="AC20">SUMPRODUCT((IFERROR(1*INDEX('Durée formacode'!$C$2:$AE$44,0,MATCH($A20,'Durée formacode'!$C$1:$AE$1,0)),0)&gt;
 IFERROR(1*INDEX('Durée formacode'!$C$2:$AE$44,0,MATCH(AC$1,'Durée formacode'!$C$1:$AE$1,0)),0))*(IFERROR(1*INDEX('Durée formacode'!$C$2:$AE$44,0,MATCH($A20,'Durée formacode'!$C$1:$AE$1,0)),0)-IFERROR(1*INDEX('Durée formacode'!$C$2:$AE$44,0,MATCH(AC$1,'Durée formacode'!$C$1:$AE$1,0)),0)))</f>
        <v>539</v>
      </c>
      <c r="AD20" cm="1">
        <f t="array" ref="AD20">SUMPRODUCT((IFERROR(1*INDEX('Durée formacode'!$C$2:$AE$44,0,MATCH($A20,'Durée formacode'!$C$1:$AE$1,0)),0)&gt;
 IFERROR(1*INDEX('Durée formacode'!$C$2:$AE$44,0,MATCH(AD$1,'Durée formacode'!$C$1:$AE$1,0)),0))*(IFERROR(1*INDEX('Durée formacode'!$C$2:$AE$44,0,MATCH($A20,'Durée formacode'!$C$1:$AE$1,0)),0)-IFERROR(1*INDEX('Durée formacode'!$C$2:$AE$44,0,MATCH(AD$1,'Durée formacode'!$C$1:$AE$1,0)),0)))</f>
        <v>539</v>
      </c>
    </row>
    <row r="21" spans="1:30">
      <c r="A21" s="55" t="str">
        <v>Boulanger(ère)/pâtissier(ère) industriel(le)</v>
      </c>
      <c r="B21" cm="1">
        <f t="array" ref="B21">SUMPRODUCT((IFERROR(1*INDEX('Durée formacode'!$C$2:$AE$44,0,MATCH($A21,'Durée formacode'!$C$1:$AE$1,0)),0)&gt;
 IFERROR(1*INDEX('Durée formacode'!$C$2:$AE$44,0,MATCH(B$1,'Durée formacode'!$C$1:$AE$1,0)),0))*(IFERROR(1*INDEX('Durée formacode'!$C$2:$AE$44,0,MATCH($A21,'Durée formacode'!$C$1:$AE$1,0)),0)-IFERROR(1*INDEX('Durée formacode'!$C$2:$AE$44,0,MATCH(B$1,'Durée formacode'!$C$1:$AE$1,0)),0)))</f>
        <v>272</v>
      </c>
      <c r="C21" cm="1">
        <f t="array" ref="C21">SUMPRODUCT((IFERROR(1*INDEX('Durée formacode'!$C$2:$AE$44,0,MATCH($A21,'Durée formacode'!$C$1:$AE$1,0)),0)&gt;
 IFERROR(1*INDEX('Durée formacode'!$C$2:$AE$44,0,MATCH(C$1,'Durée formacode'!$C$1:$AE$1,0)),0))*(IFERROR(1*INDEX('Durée formacode'!$C$2:$AE$44,0,MATCH($A21,'Durée formacode'!$C$1:$AE$1,0)),0)-IFERROR(1*INDEX('Durée formacode'!$C$2:$AE$44,0,MATCH(C$1,'Durée formacode'!$C$1:$AE$1,0)),0)))</f>
        <v>272</v>
      </c>
      <c r="D21" cm="1">
        <f t="array" ref="D21">SUMPRODUCT((IFERROR(1*INDEX('Durée formacode'!$C$2:$AE$44,0,MATCH($A21,'Durée formacode'!$C$1:$AE$1,0)),0)&gt;
 IFERROR(1*INDEX('Durée formacode'!$C$2:$AE$44,0,MATCH(D$1,'Durée formacode'!$C$1:$AE$1,0)),0))*(IFERROR(1*INDEX('Durée formacode'!$C$2:$AE$44,0,MATCH($A21,'Durée formacode'!$C$1:$AE$1,0)),0)-IFERROR(1*INDEX('Durée formacode'!$C$2:$AE$44,0,MATCH(D$1,'Durée formacode'!$C$1:$AE$1,0)),0)))</f>
        <v>842</v>
      </c>
      <c r="E21" cm="1">
        <f t="array" ref="E21">SUMPRODUCT((IFERROR(1*INDEX('Durée formacode'!$C$2:$AE$44,0,MATCH($A21,'Durée formacode'!$C$1:$AE$1,0)),0)&gt;
 IFERROR(1*INDEX('Durée formacode'!$C$2:$AE$44,0,MATCH(E$1,'Durée formacode'!$C$1:$AE$1,0)),0))*(IFERROR(1*INDEX('Durée formacode'!$C$2:$AE$44,0,MATCH($A21,'Durée formacode'!$C$1:$AE$1,0)),0)-IFERROR(1*INDEX('Durée formacode'!$C$2:$AE$44,0,MATCH(E$1,'Durée formacode'!$C$1:$AE$1,0)),0)))</f>
        <v>743</v>
      </c>
      <c r="F21" cm="1">
        <f t="array" ref="F21">SUMPRODUCT((IFERROR(1*INDEX('Durée formacode'!$C$2:$AE$44,0,MATCH($A21,'Durée formacode'!$C$1:$AE$1,0)),0)&gt;
 IFERROR(1*INDEX('Durée formacode'!$C$2:$AE$44,0,MATCH(F$1,'Durée formacode'!$C$1:$AE$1,0)),0))*(IFERROR(1*INDEX('Durée formacode'!$C$2:$AE$44,0,MATCH($A21,'Durée formacode'!$C$1:$AE$1,0)),0)-IFERROR(1*INDEX('Durée formacode'!$C$2:$AE$44,0,MATCH(F$1,'Durée formacode'!$C$1:$AE$1,0)),0)))</f>
        <v>593</v>
      </c>
      <c r="G21" cm="1">
        <f t="array" ref="G21">SUMPRODUCT((IFERROR(1*INDEX('Durée formacode'!$C$2:$AE$44,0,MATCH($A21,'Durée formacode'!$C$1:$AE$1,0)),0)&gt;
 IFERROR(1*INDEX('Durée formacode'!$C$2:$AE$44,0,MATCH(G$1,'Durée formacode'!$C$1:$AE$1,0)),0))*(IFERROR(1*INDEX('Durée formacode'!$C$2:$AE$44,0,MATCH($A21,'Durée formacode'!$C$1:$AE$1,0)),0)-IFERROR(1*INDEX('Durée formacode'!$C$2:$AE$44,0,MATCH(G$1,'Durée formacode'!$C$1:$AE$1,0)),0)))</f>
        <v>593</v>
      </c>
      <c r="H21" cm="1">
        <f t="array" ref="H21">SUMPRODUCT((IFERROR(1*INDEX('Durée formacode'!$C$2:$AE$44,0,MATCH($A21,'Durée formacode'!$C$1:$AE$1,0)),0)&gt;
 IFERROR(1*INDEX('Durée formacode'!$C$2:$AE$44,0,MATCH(H$1,'Durée formacode'!$C$1:$AE$1,0)),0))*(IFERROR(1*INDEX('Durée formacode'!$C$2:$AE$44,0,MATCH($A21,'Durée formacode'!$C$1:$AE$1,0)),0)-IFERROR(1*INDEX('Durée formacode'!$C$2:$AE$44,0,MATCH(H$1,'Durée formacode'!$C$1:$AE$1,0)),0)))</f>
        <v>908</v>
      </c>
      <c r="I21" cm="1">
        <f t="array" ref="I21">SUMPRODUCT((IFERROR(1*INDEX('Durée formacode'!$C$2:$AE$44,0,MATCH($A21,'Durée formacode'!$C$1:$AE$1,0)),0)&gt;
 IFERROR(1*INDEX('Durée formacode'!$C$2:$AE$44,0,MATCH(I$1,'Durée formacode'!$C$1:$AE$1,0)),0))*(IFERROR(1*INDEX('Durée formacode'!$C$2:$AE$44,0,MATCH($A21,'Durée formacode'!$C$1:$AE$1,0)),0)-IFERROR(1*INDEX('Durée formacode'!$C$2:$AE$44,0,MATCH(I$1,'Durée formacode'!$C$1:$AE$1,0)),0)))</f>
        <v>842</v>
      </c>
      <c r="J21" cm="1">
        <f t="array" ref="J21">SUMPRODUCT((IFERROR(1*INDEX('Durée formacode'!$C$2:$AE$44,0,MATCH($A21,'Durée formacode'!$C$1:$AE$1,0)),0)&gt;
 IFERROR(1*INDEX('Durée formacode'!$C$2:$AE$44,0,MATCH(J$1,'Durée formacode'!$C$1:$AE$1,0)),0))*(IFERROR(1*INDEX('Durée formacode'!$C$2:$AE$44,0,MATCH($A21,'Durée formacode'!$C$1:$AE$1,0)),0)-IFERROR(1*INDEX('Durée formacode'!$C$2:$AE$44,0,MATCH(J$1,'Durée formacode'!$C$1:$AE$1,0)),0)))</f>
        <v>908</v>
      </c>
      <c r="K21" cm="1">
        <f t="array" ref="K21">SUMPRODUCT((IFERROR(1*INDEX('Durée formacode'!$C$2:$AE$44,0,MATCH($A21,'Durée formacode'!$C$1:$AE$1,0)),0)&gt;
 IFERROR(1*INDEX('Durée formacode'!$C$2:$AE$44,0,MATCH(K$1,'Durée formacode'!$C$1:$AE$1,0)),0))*(IFERROR(1*INDEX('Durée formacode'!$C$2:$AE$44,0,MATCH($A21,'Durée formacode'!$C$1:$AE$1,0)),0)-IFERROR(1*INDEX('Durée formacode'!$C$2:$AE$44,0,MATCH(K$1,'Durée formacode'!$C$1:$AE$1,0)),0)))</f>
        <v>743</v>
      </c>
      <c r="L21" cm="1">
        <f t="array" ref="L21">SUMPRODUCT((IFERROR(1*INDEX('Durée formacode'!$C$2:$AE$44,0,MATCH($A21,'Durée formacode'!$C$1:$AE$1,0)),0)&gt;
 IFERROR(1*INDEX('Durée formacode'!$C$2:$AE$44,0,MATCH(L$1,'Durée formacode'!$C$1:$AE$1,0)),0))*(IFERROR(1*INDEX('Durée formacode'!$C$2:$AE$44,0,MATCH($A21,'Durée formacode'!$C$1:$AE$1,0)),0)-IFERROR(1*INDEX('Durée formacode'!$C$2:$AE$44,0,MATCH(L$1,'Durée formacode'!$C$1:$AE$1,0)),0)))</f>
        <v>842</v>
      </c>
      <c r="M21" cm="1">
        <f t="array" ref="M21">SUMPRODUCT((IFERROR(1*INDEX('Durée formacode'!$C$2:$AE$44,0,MATCH($A21,'Durée formacode'!$C$1:$AE$1,0)),0)&gt;
 IFERROR(1*INDEX('Durée formacode'!$C$2:$AE$44,0,MATCH(M$1,'Durée formacode'!$C$1:$AE$1,0)),0))*(IFERROR(1*INDEX('Durée formacode'!$C$2:$AE$44,0,MATCH($A21,'Durée formacode'!$C$1:$AE$1,0)),0)-IFERROR(1*INDEX('Durée formacode'!$C$2:$AE$44,0,MATCH(M$1,'Durée formacode'!$C$1:$AE$1,0)),0)))</f>
        <v>418</v>
      </c>
      <c r="N21" cm="1">
        <f t="array" ref="N21">SUMPRODUCT((IFERROR(1*INDEX('Durée formacode'!$C$2:$AE$44,0,MATCH($A21,'Durée formacode'!$C$1:$AE$1,0)),0)&gt;
 IFERROR(1*INDEX('Durée formacode'!$C$2:$AE$44,0,MATCH(N$1,'Durée formacode'!$C$1:$AE$1,0)),0))*(IFERROR(1*INDEX('Durée formacode'!$C$2:$AE$44,0,MATCH($A21,'Durée formacode'!$C$1:$AE$1,0)),0)-IFERROR(1*INDEX('Durée formacode'!$C$2:$AE$44,0,MATCH(N$1,'Durée formacode'!$C$1:$AE$1,0)),0)))</f>
        <v>348</v>
      </c>
      <c r="O21" cm="1">
        <f t="array" ref="O21">SUMPRODUCT((IFERROR(1*INDEX('Durée formacode'!$C$2:$AE$44,0,MATCH($A21,'Durée formacode'!$C$1:$AE$1,0)),0)&gt;
 IFERROR(1*INDEX('Durée formacode'!$C$2:$AE$44,0,MATCH(O$1,'Durée formacode'!$C$1:$AE$1,0)),0))*(IFERROR(1*INDEX('Durée formacode'!$C$2:$AE$44,0,MATCH($A21,'Durée formacode'!$C$1:$AE$1,0)),0)-IFERROR(1*INDEX('Durée formacode'!$C$2:$AE$44,0,MATCH(O$1,'Durée formacode'!$C$1:$AE$1,0)),0)))</f>
        <v>762</v>
      </c>
      <c r="P21" cm="1">
        <f t="array" ref="P21">SUMPRODUCT((IFERROR(1*INDEX('Durée formacode'!$C$2:$AE$44,0,MATCH($A21,'Durée formacode'!$C$1:$AE$1,0)),0)&gt;
 IFERROR(1*INDEX('Durée formacode'!$C$2:$AE$44,0,MATCH(P$1,'Durée formacode'!$C$1:$AE$1,0)),0))*(IFERROR(1*INDEX('Durée formacode'!$C$2:$AE$44,0,MATCH($A21,'Durée formacode'!$C$1:$AE$1,0)),0)-IFERROR(1*INDEX('Durée formacode'!$C$2:$AE$44,0,MATCH(P$1,'Durée formacode'!$C$1:$AE$1,0)),0)))</f>
        <v>587</v>
      </c>
      <c r="Q21" cm="1">
        <f t="array" ref="Q21">SUMPRODUCT((IFERROR(1*INDEX('Durée formacode'!$C$2:$AE$44,0,MATCH($A21,'Durée formacode'!$C$1:$AE$1,0)),0)&gt;
 IFERROR(1*INDEX('Durée formacode'!$C$2:$AE$44,0,MATCH(Q$1,'Durée formacode'!$C$1:$AE$1,0)),0))*(IFERROR(1*INDEX('Durée formacode'!$C$2:$AE$44,0,MATCH($A21,'Durée formacode'!$C$1:$AE$1,0)),0)-IFERROR(1*INDEX('Durée formacode'!$C$2:$AE$44,0,MATCH(Q$1,'Durée formacode'!$C$1:$AE$1,0)),0)))</f>
        <v>272</v>
      </c>
      <c r="R21" cm="1">
        <f t="array" ref="R21">SUMPRODUCT((IFERROR(1*INDEX('Durée formacode'!$C$2:$AE$44,0,MATCH($A21,'Durée formacode'!$C$1:$AE$1,0)),0)&gt;
 IFERROR(1*INDEX('Durée formacode'!$C$2:$AE$44,0,MATCH(R$1,'Durée formacode'!$C$1:$AE$1,0)),0))*(IFERROR(1*INDEX('Durée formacode'!$C$2:$AE$44,0,MATCH($A21,'Durée formacode'!$C$1:$AE$1,0)),0)-IFERROR(1*INDEX('Durée formacode'!$C$2:$AE$44,0,MATCH(R$1,'Durée formacode'!$C$1:$AE$1,0)),0)))</f>
        <v>908</v>
      </c>
      <c r="S21" cm="1">
        <f t="array" ref="S21">SUMPRODUCT((IFERROR(1*INDEX('Durée formacode'!$C$2:$AE$44,0,MATCH($A21,'Durée formacode'!$C$1:$AE$1,0)),0)&gt;
 IFERROR(1*INDEX('Durée formacode'!$C$2:$AE$44,0,MATCH(S$1,'Durée formacode'!$C$1:$AE$1,0)),0))*(IFERROR(1*INDEX('Durée formacode'!$C$2:$AE$44,0,MATCH($A21,'Durée formacode'!$C$1:$AE$1,0)),0)-IFERROR(1*INDEX('Durée formacode'!$C$2:$AE$44,0,MATCH(S$1,'Durée formacode'!$C$1:$AE$1,0)),0)))</f>
        <v>272</v>
      </c>
      <c r="T21" cm="1">
        <f t="array" ref="T21">SUMPRODUCT((IFERROR(1*INDEX('Durée formacode'!$C$2:$AE$44,0,MATCH($A21,'Durée formacode'!$C$1:$AE$1,0)),0)&gt;
 IFERROR(1*INDEX('Durée formacode'!$C$2:$AE$44,0,MATCH(T$1,'Durée formacode'!$C$1:$AE$1,0)),0))*(IFERROR(1*INDEX('Durée formacode'!$C$2:$AE$44,0,MATCH($A21,'Durée formacode'!$C$1:$AE$1,0)),0)-IFERROR(1*INDEX('Durée formacode'!$C$2:$AE$44,0,MATCH(T$1,'Durée formacode'!$C$1:$AE$1,0)),0)))</f>
        <v>272</v>
      </c>
      <c r="U21" cm="1">
        <f t="array" ref="U21">SUMPRODUCT((IFERROR(1*INDEX('Durée formacode'!$C$2:$AE$44,0,MATCH($A21,'Durée formacode'!$C$1:$AE$1,0)),0)&gt;
 IFERROR(1*INDEX('Durée formacode'!$C$2:$AE$44,0,MATCH(U$1,'Durée formacode'!$C$1:$AE$1,0)),0))*(IFERROR(1*INDEX('Durée formacode'!$C$2:$AE$44,0,MATCH($A21,'Durée formacode'!$C$1:$AE$1,0)),0)-IFERROR(1*INDEX('Durée formacode'!$C$2:$AE$44,0,MATCH(U$1,'Durée formacode'!$C$1:$AE$1,0)),0)))</f>
        <v>0</v>
      </c>
      <c r="V21" cm="1">
        <f t="array" ref="V21">SUMPRODUCT((IFERROR(1*INDEX('Durée formacode'!$C$2:$AE$44,0,MATCH($A21,'Durée formacode'!$C$1:$AE$1,0)),0)&gt;
 IFERROR(1*INDEX('Durée formacode'!$C$2:$AE$44,0,MATCH(V$1,'Durée formacode'!$C$1:$AE$1,0)),0))*(IFERROR(1*INDEX('Durée formacode'!$C$2:$AE$44,0,MATCH($A21,'Durée formacode'!$C$1:$AE$1,0)),0)-IFERROR(1*INDEX('Durée formacode'!$C$2:$AE$44,0,MATCH(V$1,'Durée formacode'!$C$1:$AE$1,0)),0)))</f>
        <v>272</v>
      </c>
      <c r="W21" cm="1">
        <f t="array" ref="W21">SUMPRODUCT((IFERROR(1*INDEX('Durée formacode'!$C$2:$AE$44,0,MATCH($A21,'Durée formacode'!$C$1:$AE$1,0)),0)&gt;
 IFERROR(1*INDEX('Durée formacode'!$C$2:$AE$44,0,MATCH(W$1,'Durée formacode'!$C$1:$AE$1,0)),0))*(IFERROR(1*INDEX('Durée formacode'!$C$2:$AE$44,0,MATCH($A21,'Durée formacode'!$C$1:$AE$1,0)),0)-IFERROR(1*INDEX('Durée formacode'!$C$2:$AE$44,0,MATCH(W$1,'Durée formacode'!$C$1:$AE$1,0)),0)))</f>
        <v>348</v>
      </c>
      <c r="X21" cm="1">
        <f t="array" ref="X21">SUMPRODUCT((IFERROR(1*INDEX('Durée formacode'!$C$2:$AE$44,0,MATCH($A21,'Durée formacode'!$C$1:$AE$1,0)),0)&gt;
 IFERROR(1*INDEX('Durée formacode'!$C$2:$AE$44,0,MATCH(X$1,'Durée formacode'!$C$1:$AE$1,0)),0))*(IFERROR(1*INDEX('Durée formacode'!$C$2:$AE$44,0,MATCH($A21,'Durée formacode'!$C$1:$AE$1,0)),0)-IFERROR(1*INDEX('Durée formacode'!$C$2:$AE$44,0,MATCH(X$1,'Durée formacode'!$C$1:$AE$1,0)),0)))</f>
        <v>663</v>
      </c>
      <c r="Y21" cm="1">
        <f t="array" ref="Y21">SUMPRODUCT((IFERROR(1*INDEX('Durée formacode'!$C$2:$AE$44,0,MATCH($A21,'Durée formacode'!$C$1:$AE$1,0)),0)&gt;
 IFERROR(1*INDEX('Durée formacode'!$C$2:$AE$44,0,MATCH(Y$1,'Durée formacode'!$C$1:$AE$1,0)),0))*(IFERROR(1*INDEX('Durée formacode'!$C$2:$AE$44,0,MATCH($A21,'Durée formacode'!$C$1:$AE$1,0)),0)-IFERROR(1*INDEX('Durée formacode'!$C$2:$AE$44,0,MATCH(Y$1,'Durée formacode'!$C$1:$AE$1,0)),0)))</f>
        <v>342</v>
      </c>
      <c r="Z21" cm="1">
        <f t="array" ref="Z21">SUMPRODUCT((IFERROR(1*INDEX('Durée formacode'!$C$2:$AE$44,0,MATCH($A21,'Durée formacode'!$C$1:$AE$1,0)),0)&gt;
 IFERROR(1*INDEX('Durée formacode'!$C$2:$AE$44,0,MATCH(Z$1,'Durée formacode'!$C$1:$AE$1,0)),0))*(IFERROR(1*INDEX('Durée formacode'!$C$2:$AE$44,0,MATCH($A21,'Durée formacode'!$C$1:$AE$1,0)),0)-IFERROR(1*INDEX('Durée formacode'!$C$2:$AE$44,0,MATCH(Z$1,'Durée formacode'!$C$1:$AE$1,0)),0)))</f>
        <v>342</v>
      </c>
      <c r="AA21" cm="1">
        <f t="array" ref="AA21">SUMPRODUCT((IFERROR(1*INDEX('Durée formacode'!$C$2:$AE$44,0,MATCH($A21,'Durée formacode'!$C$1:$AE$1,0)),0)&gt;
 IFERROR(1*INDEX('Durée formacode'!$C$2:$AE$44,0,MATCH(AA$1,'Durée formacode'!$C$1:$AE$1,0)),0))*(IFERROR(1*INDEX('Durée formacode'!$C$2:$AE$44,0,MATCH($A21,'Durée formacode'!$C$1:$AE$1,0)),0)-IFERROR(1*INDEX('Durée formacode'!$C$2:$AE$44,0,MATCH(AA$1,'Durée formacode'!$C$1:$AE$1,0)),0)))</f>
        <v>342</v>
      </c>
      <c r="AB21" cm="1">
        <f t="array" ref="AB21">SUMPRODUCT((IFERROR(1*INDEX('Durée formacode'!$C$2:$AE$44,0,MATCH($A21,'Durée formacode'!$C$1:$AE$1,0)),0)&gt;
 IFERROR(1*INDEX('Durée formacode'!$C$2:$AE$44,0,MATCH(AB$1,'Durée formacode'!$C$1:$AE$1,0)),0))*(IFERROR(1*INDEX('Durée formacode'!$C$2:$AE$44,0,MATCH($A21,'Durée formacode'!$C$1:$AE$1,0)),0)-IFERROR(1*INDEX('Durée formacode'!$C$2:$AE$44,0,MATCH(AB$1,'Durée formacode'!$C$1:$AE$1,0)),0)))</f>
        <v>587</v>
      </c>
      <c r="AC21" cm="1">
        <f t="array" ref="AC21">SUMPRODUCT((IFERROR(1*INDEX('Durée formacode'!$C$2:$AE$44,0,MATCH($A21,'Durée formacode'!$C$1:$AE$1,0)),0)&gt;
 IFERROR(1*INDEX('Durée formacode'!$C$2:$AE$44,0,MATCH(AC$1,'Durée formacode'!$C$1:$AE$1,0)),0))*(IFERROR(1*INDEX('Durée formacode'!$C$2:$AE$44,0,MATCH($A21,'Durée formacode'!$C$1:$AE$1,0)),0)-IFERROR(1*INDEX('Durée formacode'!$C$2:$AE$44,0,MATCH(AC$1,'Durée formacode'!$C$1:$AE$1,0)),0)))</f>
        <v>587</v>
      </c>
      <c r="AD21" cm="1">
        <f t="array" ref="AD21">SUMPRODUCT((IFERROR(1*INDEX('Durée formacode'!$C$2:$AE$44,0,MATCH($A21,'Durée formacode'!$C$1:$AE$1,0)),0)&gt;
 IFERROR(1*INDEX('Durée formacode'!$C$2:$AE$44,0,MATCH(AD$1,'Durée formacode'!$C$1:$AE$1,0)),0))*(IFERROR(1*INDEX('Durée formacode'!$C$2:$AE$44,0,MATCH($A21,'Durée formacode'!$C$1:$AE$1,0)),0)-IFERROR(1*INDEX('Durée formacode'!$C$2:$AE$44,0,MATCH(AD$1,'Durée formacode'!$C$1:$AE$1,0)),0)))</f>
        <v>587</v>
      </c>
    </row>
    <row r="22" spans="1:30">
      <c r="A22" s="55" t="str">
        <v>Conducteur(trice) de ligne(s)de production alimentaire (fabrication/conditionnement)</v>
      </c>
      <c r="B22" cm="1">
        <f t="array" ref="B22">SUMPRODUCT((IFERROR(1*INDEX('Durée formacode'!$C$2:$AE$44,0,MATCH($A22,'Durée formacode'!$C$1:$AE$1,0)),0)&gt;
 IFERROR(1*INDEX('Durée formacode'!$C$2:$AE$44,0,MATCH(B$1,'Durée formacode'!$C$1:$AE$1,0)),0))*(IFERROR(1*INDEX('Durée formacode'!$C$2:$AE$44,0,MATCH($A22,'Durée formacode'!$C$1:$AE$1,0)),0)-IFERROR(1*INDEX('Durée formacode'!$C$2:$AE$44,0,MATCH(B$1,'Durée formacode'!$C$1:$AE$1,0)),0)))</f>
        <v>214</v>
      </c>
      <c r="C22" cm="1">
        <f t="array" ref="C22">SUMPRODUCT((IFERROR(1*INDEX('Durée formacode'!$C$2:$AE$44,0,MATCH($A22,'Durée formacode'!$C$1:$AE$1,0)),0)&gt;
 IFERROR(1*INDEX('Durée formacode'!$C$2:$AE$44,0,MATCH(C$1,'Durée formacode'!$C$1:$AE$1,0)),0))*(IFERROR(1*INDEX('Durée formacode'!$C$2:$AE$44,0,MATCH($A22,'Durée formacode'!$C$1:$AE$1,0)),0)-IFERROR(1*INDEX('Durée formacode'!$C$2:$AE$44,0,MATCH(C$1,'Durée formacode'!$C$1:$AE$1,0)),0)))</f>
        <v>106</v>
      </c>
      <c r="D22" cm="1">
        <f t="array" ref="D22">SUMPRODUCT((IFERROR(1*INDEX('Durée formacode'!$C$2:$AE$44,0,MATCH($A22,'Durée formacode'!$C$1:$AE$1,0)),0)&gt;
 IFERROR(1*INDEX('Durée formacode'!$C$2:$AE$44,0,MATCH(D$1,'Durée formacode'!$C$1:$AE$1,0)),0))*(IFERROR(1*INDEX('Durée formacode'!$C$2:$AE$44,0,MATCH($A22,'Durée formacode'!$C$1:$AE$1,0)),0)-IFERROR(1*INDEX('Durée formacode'!$C$2:$AE$44,0,MATCH(D$1,'Durée formacode'!$C$1:$AE$1,0)),0)))</f>
        <v>1114</v>
      </c>
      <c r="E22" cm="1">
        <f t="array" ref="E22">SUMPRODUCT((IFERROR(1*INDEX('Durée formacode'!$C$2:$AE$44,0,MATCH($A22,'Durée formacode'!$C$1:$AE$1,0)),0)&gt;
 IFERROR(1*INDEX('Durée formacode'!$C$2:$AE$44,0,MATCH(E$1,'Durée formacode'!$C$1:$AE$1,0)),0))*(IFERROR(1*INDEX('Durée formacode'!$C$2:$AE$44,0,MATCH($A22,'Durée formacode'!$C$1:$AE$1,0)),0)-IFERROR(1*INDEX('Durée formacode'!$C$2:$AE$44,0,MATCH(E$1,'Durée formacode'!$C$1:$AE$1,0)),0)))</f>
        <v>909</v>
      </c>
      <c r="F22" cm="1">
        <f t="array" ref="F22">SUMPRODUCT((IFERROR(1*INDEX('Durée formacode'!$C$2:$AE$44,0,MATCH($A22,'Durée formacode'!$C$1:$AE$1,0)),0)&gt;
 IFERROR(1*INDEX('Durée formacode'!$C$2:$AE$44,0,MATCH(F$1,'Durée formacode'!$C$1:$AE$1,0)),0))*(IFERROR(1*INDEX('Durée formacode'!$C$2:$AE$44,0,MATCH($A22,'Durée formacode'!$C$1:$AE$1,0)),0)-IFERROR(1*INDEX('Durée formacode'!$C$2:$AE$44,0,MATCH(F$1,'Durée formacode'!$C$1:$AE$1,0)),0)))</f>
        <v>391</v>
      </c>
      <c r="G22" cm="1">
        <f t="array" ref="G22">SUMPRODUCT((IFERROR(1*INDEX('Durée formacode'!$C$2:$AE$44,0,MATCH($A22,'Durée formacode'!$C$1:$AE$1,0)),0)&gt;
 IFERROR(1*INDEX('Durée formacode'!$C$2:$AE$44,0,MATCH(G$1,'Durée formacode'!$C$1:$AE$1,0)),0))*(IFERROR(1*INDEX('Durée formacode'!$C$2:$AE$44,0,MATCH($A22,'Durée formacode'!$C$1:$AE$1,0)),0)-IFERROR(1*INDEX('Durée formacode'!$C$2:$AE$44,0,MATCH(G$1,'Durée formacode'!$C$1:$AE$1,0)),0)))</f>
        <v>465</v>
      </c>
      <c r="H22" cm="1">
        <f t="array" ref="H22">SUMPRODUCT((IFERROR(1*INDEX('Durée formacode'!$C$2:$AE$44,0,MATCH($A22,'Durée formacode'!$C$1:$AE$1,0)),0)&gt;
 IFERROR(1*INDEX('Durée formacode'!$C$2:$AE$44,0,MATCH(H$1,'Durée formacode'!$C$1:$AE$1,0)),0))*(IFERROR(1*INDEX('Durée formacode'!$C$2:$AE$44,0,MATCH($A22,'Durée formacode'!$C$1:$AE$1,0)),0)-IFERROR(1*INDEX('Durée formacode'!$C$2:$AE$44,0,MATCH(H$1,'Durée formacode'!$C$1:$AE$1,0)),0)))</f>
        <v>1180</v>
      </c>
      <c r="I22" cm="1">
        <f t="array" ref="I22">SUMPRODUCT((IFERROR(1*INDEX('Durée formacode'!$C$2:$AE$44,0,MATCH($A22,'Durée formacode'!$C$1:$AE$1,0)),0)&gt;
 IFERROR(1*INDEX('Durée formacode'!$C$2:$AE$44,0,MATCH(I$1,'Durée formacode'!$C$1:$AE$1,0)),0))*(IFERROR(1*INDEX('Durée formacode'!$C$2:$AE$44,0,MATCH($A22,'Durée formacode'!$C$1:$AE$1,0)),0)-IFERROR(1*INDEX('Durée formacode'!$C$2:$AE$44,0,MATCH(I$1,'Durée formacode'!$C$1:$AE$1,0)),0)))</f>
        <v>1114</v>
      </c>
      <c r="J22" cm="1">
        <f t="array" ref="J22">SUMPRODUCT((IFERROR(1*INDEX('Durée formacode'!$C$2:$AE$44,0,MATCH($A22,'Durée formacode'!$C$1:$AE$1,0)),0)&gt;
 IFERROR(1*INDEX('Durée formacode'!$C$2:$AE$44,0,MATCH(J$1,'Durée formacode'!$C$1:$AE$1,0)),0))*(IFERROR(1*INDEX('Durée formacode'!$C$2:$AE$44,0,MATCH($A22,'Durée formacode'!$C$1:$AE$1,0)),0)-IFERROR(1*INDEX('Durée formacode'!$C$2:$AE$44,0,MATCH(J$1,'Durée formacode'!$C$1:$AE$1,0)),0)))</f>
        <v>1180</v>
      </c>
      <c r="K22" cm="1">
        <f t="array" ref="K22">SUMPRODUCT((IFERROR(1*INDEX('Durée formacode'!$C$2:$AE$44,0,MATCH($A22,'Durée formacode'!$C$1:$AE$1,0)),0)&gt;
 IFERROR(1*INDEX('Durée formacode'!$C$2:$AE$44,0,MATCH(K$1,'Durée formacode'!$C$1:$AE$1,0)),0))*(IFERROR(1*INDEX('Durée formacode'!$C$2:$AE$44,0,MATCH($A22,'Durée formacode'!$C$1:$AE$1,0)),0)-IFERROR(1*INDEX('Durée formacode'!$C$2:$AE$44,0,MATCH(K$1,'Durée formacode'!$C$1:$AE$1,0)),0)))</f>
        <v>909</v>
      </c>
      <c r="L22" cm="1">
        <f t="array" ref="L22">SUMPRODUCT((IFERROR(1*INDEX('Durée formacode'!$C$2:$AE$44,0,MATCH($A22,'Durée formacode'!$C$1:$AE$1,0)),0)&gt;
 IFERROR(1*INDEX('Durée formacode'!$C$2:$AE$44,0,MATCH(L$1,'Durée formacode'!$C$1:$AE$1,0)),0))*(IFERROR(1*INDEX('Durée formacode'!$C$2:$AE$44,0,MATCH($A22,'Durée formacode'!$C$1:$AE$1,0)),0)-IFERROR(1*INDEX('Durée formacode'!$C$2:$AE$44,0,MATCH(L$1,'Durée formacode'!$C$1:$AE$1,0)),0)))</f>
        <v>1114</v>
      </c>
      <c r="M22" cm="1">
        <f t="array" ref="M22">SUMPRODUCT((IFERROR(1*INDEX('Durée formacode'!$C$2:$AE$44,0,MATCH($A22,'Durée formacode'!$C$1:$AE$1,0)),0)&gt;
 IFERROR(1*INDEX('Durée formacode'!$C$2:$AE$44,0,MATCH(M$1,'Durée formacode'!$C$1:$AE$1,0)),0))*(IFERROR(1*INDEX('Durée formacode'!$C$2:$AE$44,0,MATCH($A22,'Durée formacode'!$C$1:$AE$1,0)),0)-IFERROR(1*INDEX('Durée formacode'!$C$2:$AE$44,0,MATCH(M$1,'Durée formacode'!$C$1:$AE$1,0)),0)))</f>
        <v>476</v>
      </c>
      <c r="N22" cm="1">
        <f t="array" ref="N22">SUMPRODUCT((IFERROR(1*INDEX('Durée formacode'!$C$2:$AE$44,0,MATCH($A22,'Durée formacode'!$C$1:$AE$1,0)),0)&gt;
 IFERROR(1*INDEX('Durée formacode'!$C$2:$AE$44,0,MATCH(N$1,'Durée formacode'!$C$1:$AE$1,0)),0))*(IFERROR(1*INDEX('Durée formacode'!$C$2:$AE$44,0,MATCH($A22,'Durée formacode'!$C$1:$AE$1,0)),0)-IFERROR(1*INDEX('Durée formacode'!$C$2:$AE$44,0,MATCH(N$1,'Durée formacode'!$C$1:$AE$1,0)),0)))</f>
        <v>396</v>
      </c>
      <c r="O22" cm="1">
        <f t="array" ref="O22">SUMPRODUCT((IFERROR(1*INDEX('Durée formacode'!$C$2:$AE$44,0,MATCH($A22,'Durée formacode'!$C$1:$AE$1,0)),0)&gt;
 IFERROR(1*INDEX('Durée formacode'!$C$2:$AE$44,0,MATCH(O$1,'Durée formacode'!$C$1:$AE$1,0)),0))*(IFERROR(1*INDEX('Durée formacode'!$C$2:$AE$44,0,MATCH($A22,'Durée formacode'!$C$1:$AE$1,0)),0)-IFERROR(1*INDEX('Durée formacode'!$C$2:$AE$44,0,MATCH(O$1,'Durée formacode'!$C$1:$AE$1,0)),0)))</f>
        <v>1034</v>
      </c>
      <c r="P22" cm="1">
        <f t="array" ref="P22">SUMPRODUCT((IFERROR(1*INDEX('Durée formacode'!$C$2:$AE$44,0,MATCH($A22,'Durée formacode'!$C$1:$AE$1,0)),0)&gt;
 IFERROR(1*INDEX('Durée formacode'!$C$2:$AE$44,0,MATCH(P$1,'Durée formacode'!$C$1:$AE$1,0)),0))*(IFERROR(1*INDEX('Durée formacode'!$C$2:$AE$44,0,MATCH($A22,'Durée formacode'!$C$1:$AE$1,0)),0)-IFERROR(1*INDEX('Durée formacode'!$C$2:$AE$44,0,MATCH(P$1,'Durée formacode'!$C$1:$AE$1,0)),0)))</f>
        <v>645</v>
      </c>
      <c r="Q22" cm="1">
        <f t="array" ref="Q22">SUMPRODUCT((IFERROR(1*INDEX('Durée formacode'!$C$2:$AE$44,0,MATCH($A22,'Durée formacode'!$C$1:$AE$1,0)),0)&gt;
 IFERROR(1*INDEX('Durée formacode'!$C$2:$AE$44,0,MATCH(Q$1,'Durée formacode'!$C$1:$AE$1,0)),0))*(IFERROR(1*INDEX('Durée formacode'!$C$2:$AE$44,0,MATCH($A22,'Durée formacode'!$C$1:$AE$1,0)),0)-IFERROR(1*INDEX('Durée formacode'!$C$2:$AE$44,0,MATCH(Q$1,'Durée formacode'!$C$1:$AE$1,0)),0)))</f>
        <v>144</v>
      </c>
      <c r="R22" cm="1">
        <f t="array" ref="R22">SUMPRODUCT((IFERROR(1*INDEX('Durée formacode'!$C$2:$AE$44,0,MATCH($A22,'Durée formacode'!$C$1:$AE$1,0)),0)&gt;
 IFERROR(1*INDEX('Durée formacode'!$C$2:$AE$44,0,MATCH(R$1,'Durée formacode'!$C$1:$AE$1,0)),0))*(IFERROR(1*INDEX('Durée formacode'!$C$2:$AE$44,0,MATCH($A22,'Durée formacode'!$C$1:$AE$1,0)),0)-IFERROR(1*INDEX('Durée formacode'!$C$2:$AE$44,0,MATCH(R$1,'Durée formacode'!$C$1:$AE$1,0)),0)))</f>
        <v>1180</v>
      </c>
      <c r="S22" cm="1">
        <f t="array" ref="S22">SUMPRODUCT((IFERROR(1*INDEX('Durée formacode'!$C$2:$AE$44,0,MATCH($A22,'Durée formacode'!$C$1:$AE$1,0)),0)&gt;
 IFERROR(1*INDEX('Durée formacode'!$C$2:$AE$44,0,MATCH(S$1,'Durée formacode'!$C$1:$AE$1,0)),0))*(IFERROR(1*INDEX('Durée formacode'!$C$2:$AE$44,0,MATCH($A22,'Durée formacode'!$C$1:$AE$1,0)),0)-IFERROR(1*INDEX('Durée formacode'!$C$2:$AE$44,0,MATCH(S$1,'Durée formacode'!$C$1:$AE$1,0)),0)))</f>
        <v>544</v>
      </c>
      <c r="T22" cm="1">
        <f t="array" ref="T22">SUMPRODUCT((IFERROR(1*INDEX('Durée formacode'!$C$2:$AE$44,0,MATCH($A22,'Durée formacode'!$C$1:$AE$1,0)),0)&gt;
 IFERROR(1*INDEX('Durée formacode'!$C$2:$AE$44,0,MATCH(T$1,'Durée formacode'!$C$1:$AE$1,0)),0))*(IFERROR(1*INDEX('Durée formacode'!$C$2:$AE$44,0,MATCH($A22,'Durée formacode'!$C$1:$AE$1,0)),0)-IFERROR(1*INDEX('Durée formacode'!$C$2:$AE$44,0,MATCH(T$1,'Durée formacode'!$C$1:$AE$1,0)),0)))</f>
        <v>106</v>
      </c>
      <c r="U22" cm="1">
        <f t="array" ref="U22">SUMPRODUCT((IFERROR(1*INDEX('Durée formacode'!$C$2:$AE$44,0,MATCH($A22,'Durée formacode'!$C$1:$AE$1,0)),0)&gt;
 IFERROR(1*INDEX('Durée formacode'!$C$2:$AE$44,0,MATCH(U$1,'Durée formacode'!$C$1:$AE$1,0)),0))*(IFERROR(1*INDEX('Durée formacode'!$C$2:$AE$44,0,MATCH($A22,'Durée formacode'!$C$1:$AE$1,0)),0)-IFERROR(1*INDEX('Durée formacode'!$C$2:$AE$44,0,MATCH(U$1,'Durée formacode'!$C$1:$AE$1,0)),0)))</f>
        <v>544</v>
      </c>
      <c r="V22" cm="1">
        <f t="array" ref="V22">SUMPRODUCT((IFERROR(1*INDEX('Durée formacode'!$C$2:$AE$44,0,MATCH($A22,'Durée formacode'!$C$1:$AE$1,0)),0)&gt;
 IFERROR(1*INDEX('Durée formacode'!$C$2:$AE$44,0,MATCH(V$1,'Durée formacode'!$C$1:$AE$1,0)),0))*(IFERROR(1*INDEX('Durée formacode'!$C$2:$AE$44,0,MATCH($A22,'Durée formacode'!$C$1:$AE$1,0)),0)-IFERROR(1*INDEX('Durée formacode'!$C$2:$AE$44,0,MATCH(V$1,'Durée formacode'!$C$1:$AE$1,0)),0)))</f>
        <v>0</v>
      </c>
      <c r="W22" cm="1">
        <f t="array" ref="W22">SUMPRODUCT((IFERROR(1*INDEX('Durée formacode'!$C$2:$AE$44,0,MATCH($A22,'Durée formacode'!$C$1:$AE$1,0)),0)&gt;
 IFERROR(1*INDEX('Durée formacode'!$C$2:$AE$44,0,MATCH(W$1,'Durée formacode'!$C$1:$AE$1,0)),0))*(IFERROR(1*INDEX('Durée formacode'!$C$2:$AE$44,0,MATCH($A22,'Durée formacode'!$C$1:$AE$1,0)),0)-IFERROR(1*INDEX('Durée formacode'!$C$2:$AE$44,0,MATCH(W$1,'Durée formacode'!$C$1:$AE$1,0)),0)))</f>
        <v>76</v>
      </c>
      <c r="X22" cm="1">
        <f t="array" ref="X22">SUMPRODUCT((IFERROR(1*INDEX('Durée formacode'!$C$2:$AE$44,0,MATCH($A22,'Durée formacode'!$C$1:$AE$1,0)),0)&gt;
 IFERROR(1*INDEX('Durée formacode'!$C$2:$AE$44,0,MATCH(X$1,'Durée formacode'!$C$1:$AE$1,0)),0))*(IFERROR(1*INDEX('Durée formacode'!$C$2:$AE$44,0,MATCH($A22,'Durée formacode'!$C$1:$AE$1,0)),0)-IFERROR(1*INDEX('Durée formacode'!$C$2:$AE$44,0,MATCH(X$1,'Durée formacode'!$C$1:$AE$1,0)),0)))</f>
        <v>829</v>
      </c>
      <c r="Y22" cm="1">
        <f t="array" ref="Y22">SUMPRODUCT((IFERROR(1*INDEX('Durée formacode'!$C$2:$AE$44,0,MATCH($A22,'Durée formacode'!$C$1:$AE$1,0)),0)&gt;
 IFERROR(1*INDEX('Durée formacode'!$C$2:$AE$44,0,MATCH(Y$1,'Durée formacode'!$C$1:$AE$1,0)),0))*(IFERROR(1*INDEX('Durée formacode'!$C$2:$AE$44,0,MATCH($A22,'Durée formacode'!$C$1:$AE$1,0)),0)-IFERROR(1*INDEX('Durée formacode'!$C$2:$AE$44,0,MATCH(Y$1,'Durée formacode'!$C$1:$AE$1,0)),0)))</f>
        <v>614</v>
      </c>
      <c r="Z22" cm="1">
        <f t="array" ref="Z22">SUMPRODUCT((IFERROR(1*INDEX('Durée formacode'!$C$2:$AE$44,0,MATCH($A22,'Durée formacode'!$C$1:$AE$1,0)),0)&gt;
 IFERROR(1*INDEX('Durée formacode'!$C$2:$AE$44,0,MATCH(Z$1,'Durée formacode'!$C$1:$AE$1,0)),0))*(IFERROR(1*INDEX('Durée formacode'!$C$2:$AE$44,0,MATCH($A22,'Durée formacode'!$C$1:$AE$1,0)),0)-IFERROR(1*INDEX('Durée formacode'!$C$2:$AE$44,0,MATCH(Z$1,'Durée formacode'!$C$1:$AE$1,0)),0)))</f>
        <v>614</v>
      </c>
      <c r="AA22" cm="1">
        <f t="array" ref="AA22">SUMPRODUCT((IFERROR(1*INDEX('Durée formacode'!$C$2:$AE$44,0,MATCH($A22,'Durée formacode'!$C$1:$AE$1,0)),0)&gt;
 IFERROR(1*INDEX('Durée formacode'!$C$2:$AE$44,0,MATCH(AA$1,'Durée formacode'!$C$1:$AE$1,0)),0))*(IFERROR(1*INDEX('Durée formacode'!$C$2:$AE$44,0,MATCH($A22,'Durée formacode'!$C$1:$AE$1,0)),0)-IFERROR(1*INDEX('Durée formacode'!$C$2:$AE$44,0,MATCH(AA$1,'Durée formacode'!$C$1:$AE$1,0)),0)))</f>
        <v>614</v>
      </c>
      <c r="AB22" cm="1">
        <f t="array" ref="AB22">SUMPRODUCT((IFERROR(1*INDEX('Durée formacode'!$C$2:$AE$44,0,MATCH($A22,'Durée formacode'!$C$1:$AE$1,0)),0)&gt;
 IFERROR(1*INDEX('Durée formacode'!$C$2:$AE$44,0,MATCH(AB$1,'Durée formacode'!$C$1:$AE$1,0)),0))*(IFERROR(1*INDEX('Durée formacode'!$C$2:$AE$44,0,MATCH($A22,'Durée formacode'!$C$1:$AE$1,0)),0)-IFERROR(1*INDEX('Durée formacode'!$C$2:$AE$44,0,MATCH(AB$1,'Durée formacode'!$C$1:$AE$1,0)),0)))</f>
        <v>645</v>
      </c>
      <c r="AC22" cm="1">
        <f t="array" ref="AC22">SUMPRODUCT((IFERROR(1*INDEX('Durée formacode'!$C$2:$AE$44,0,MATCH($A22,'Durée formacode'!$C$1:$AE$1,0)),0)&gt;
 IFERROR(1*INDEX('Durée formacode'!$C$2:$AE$44,0,MATCH(AC$1,'Durée formacode'!$C$1:$AE$1,0)),0))*(IFERROR(1*INDEX('Durée formacode'!$C$2:$AE$44,0,MATCH($A22,'Durée formacode'!$C$1:$AE$1,0)),0)-IFERROR(1*INDEX('Durée formacode'!$C$2:$AE$44,0,MATCH(AC$1,'Durée formacode'!$C$1:$AE$1,0)),0)))</f>
        <v>645</v>
      </c>
      <c r="AD22" cm="1">
        <f t="array" ref="AD22">SUMPRODUCT((IFERROR(1*INDEX('Durée formacode'!$C$2:$AE$44,0,MATCH($A22,'Durée formacode'!$C$1:$AE$1,0)),0)&gt;
 IFERROR(1*INDEX('Durée formacode'!$C$2:$AE$44,0,MATCH(AD$1,'Durée formacode'!$C$1:$AE$1,0)),0))*(IFERROR(1*INDEX('Durée formacode'!$C$2:$AE$44,0,MATCH($A22,'Durée formacode'!$C$1:$AE$1,0)),0)-IFERROR(1*INDEX('Durée formacode'!$C$2:$AE$44,0,MATCH(AD$1,'Durée formacode'!$C$1:$AE$1,0)),0)))</f>
        <v>645</v>
      </c>
    </row>
    <row r="23" spans="1:30">
      <c r="A23" s="55" t="str">
        <v>Conducteur(trice) de process de production alimentaire</v>
      </c>
      <c r="B23" cm="1">
        <f t="array" ref="B23">SUMPRODUCT((IFERROR(1*INDEX('Durée formacode'!$C$2:$AE$44,0,MATCH($A23,'Durée formacode'!$C$1:$AE$1,0)),0)&gt;
 IFERROR(1*INDEX('Durée formacode'!$C$2:$AE$44,0,MATCH(B$1,'Durée formacode'!$C$1:$AE$1,0)),0))*(IFERROR(1*INDEX('Durée formacode'!$C$2:$AE$44,0,MATCH($A23,'Durée formacode'!$C$1:$AE$1,0)),0)-IFERROR(1*INDEX('Durée formacode'!$C$2:$AE$44,0,MATCH(B$1,'Durée formacode'!$C$1:$AE$1,0)),0)))</f>
        <v>558</v>
      </c>
      <c r="C23" cm="1">
        <f t="array" ref="C23">SUMPRODUCT((IFERROR(1*INDEX('Durée formacode'!$C$2:$AE$44,0,MATCH($A23,'Durée formacode'!$C$1:$AE$1,0)),0)&gt;
 IFERROR(1*INDEX('Durée formacode'!$C$2:$AE$44,0,MATCH(C$1,'Durée formacode'!$C$1:$AE$1,0)),0))*(IFERROR(1*INDEX('Durée formacode'!$C$2:$AE$44,0,MATCH($A23,'Durée formacode'!$C$1:$AE$1,0)),0)-IFERROR(1*INDEX('Durée formacode'!$C$2:$AE$44,0,MATCH(C$1,'Durée formacode'!$C$1:$AE$1,0)),0)))</f>
        <v>450</v>
      </c>
      <c r="D23" cm="1">
        <f t="array" ref="D23">SUMPRODUCT((IFERROR(1*INDEX('Durée formacode'!$C$2:$AE$44,0,MATCH($A23,'Durée formacode'!$C$1:$AE$1,0)),0)&gt;
 IFERROR(1*INDEX('Durée formacode'!$C$2:$AE$44,0,MATCH(D$1,'Durée formacode'!$C$1:$AE$1,0)),0))*(IFERROR(1*INDEX('Durée formacode'!$C$2:$AE$44,0,MATCH($A23,'Durée formacode'!$C$1:$AE$1,0)),0)-IFERROR(1*INDEX('Durée formacode'!$C$2:$AE$44,0,MATCH(D$1,'Durée formacode'!$C$1:$AE$1,0)),0)))</f>
        <v>1458</v>
      </c>
      <c r="E23" cm="1">
        <f t="array" ref="E23">SUMPRODUCT((IFERROR(1*INDEX('Durée formacode'!$C$2:$AE$44,0,MATCH($A23,'Durée formacode'!$C$1:$AE$1,0)),0)&gt;
 IFERROR(1*INDEX('Durée formacode'!$C$2:$AE$44,0,MATCH(E$1,'Durée formacode'!$C$1:$AE$1,0)),0))*(IFERROR(1*INDEX('Durée formacode'!$C$2:$AE$44,0,MATCH($A23,'Durée formacode'!$C$1:$AE$1,0)),0)-IFERROR(1*INDEX('Durée formacode'!$C$2:$AE$44,0,MATCH(E$1,'Durée formacode'!$C$1:$AE$1,0)),0)))</f>
        <v>1068</v>
      </c>
      <c r="F23" cm="1">
        <f t="array" ref="F23">SUMPRODUCT((IFERROR(1*INDEX('Durée formacode'!$C$2:$AE$44,0,MATCH($A23,'Durée formacode'!$C$1:$AE$1,0)),0)&gt;
 IFERROR(1*INDEX('Durée formacode'!$C$2:$AE$44,0,MATCH(F$1,'Durée formacode'!$C$1:$AE$1,0)),0))*(IFERROR(1*INDEX('Durée formacode'!$C$2:$AE$44,0,MATCH($A23,'Durée formacode'!$C$1:$AE$1,0)),0)-IFERROR(1*INDEX('Durée formacode'!$C$2:$AE$44,0,MATCH(F$1,'Durée formacode'!$C$1:$AE$1,0)),0)))</f>
        <v>659</v>
      </c>
      <c r="G23" cm="1">
        <f t="array" ref="G23">SUMPRODUCT((IFERROR(1*INDEX('Durée formacode'!$C$2:$AE$44,0,MATCH($A23,'Durée formacode'!$C$1:$AE$1,0)),0)&gt;
 IFERROR(1*INDEX('Durée formacode'!$C$2:$AE$44,0,MATCH(G$1,'Durée formacode'!$C$1:$AE$1,0)),0))*(IFERROR(1*INDEX('Durée formacode'!$C$2:$AE$44,0,MATCH($A23,'Durée formacode'!$C$1:$AE$1,0)),0)-IFERROR(1*INDEX('Durée formacode'!$C$2:$AE$44,0,MATCH(G$1,'Durée formacode'!$C$1:$AE$1,0)),0)))</f>
        <v>624</v>
      </c>
      <c r="H23" cm="1">
        <f t="array" ref="H23">SUMPRODUCT((IFERROR(1*INDEX('Durée formacode'!$C$2:$AE$44,0,MATCH($A23,'Durée formacode'!$C$1:$AE$1,0)),0)&gt;
 IFERROR(1*INDEX('Durée formacode'!$C$2:$AE$44,0,MATCH(H$1,'Durée formacode'!$C$1:$AE$1,0)),0))*(IFERROR(1*INDEX('Durée formacode'!$C$2:$AE$44,0,MATCH($A23,'Durée formacode'!$C$1:$AE$1,0)),0)-IFERROR(1*INDEX('Durée formacode'!$C$2:$AE$44,0,MATCH(H$1,'Durée formacode'!$C$1:$AE$1,0)),0)))</f>
        <v>1448</v>
      </c>
      <c r="I23" cm="1">
        <f t="array" ref="I23">SUMPRODUCT((IFERROR(1*INDEX('Durée formacode'!$C$2:$AE$44,0,MATCH($A23,'Durée formacode'!$C$1:$AE$1,0)),0)&gt;
 IFERROR(1*INDEX('Durée formacode'!$C$2:$AE$44,0,MATCH(I$1,'Durée formacode'!$C$1:$AE$1,0)),0))*(IFERROR(1*INDEX('Durée formacode'!$C$2:$AE$44,0,MATCH($A23,'Durée formacode'!$C$1:$AE$1,0)),0)-IFERROR(1*INDEX('Durée formacode'!$C$2:$AE$44,0,MATCH(I$1,'Durée formacode'!$C$1:$AE$1,0)),0)))</f>
        <v>1458</v>
      </c>
      <c r="J23" cm="1">
        <f t="array" ref="J23">SUMPRODUCT((IFERROR(1*INDEX('Durée formacode'!$C$2:$AE$44,0,MATCH($A23,'Durée formacode'!$C$1:$AE$1,0)),0)&gt;
 IFERROR(1*INDEX('Durée formacode'!$C$2:$AE$44,0,MATCH(J$1,'Durée formacode'!$C$1:$AE$1,0)),0))*(IFERROR(1*INDEX('Durée formacode'!$C$2:$AE$44,0,MATCH($A23,'Durée formacode'!$C$1:$AE$1,0)),0)-IFERROR(1*INDEX('Durée formacode'!$C$2:$AE$44,0,MATCH(J$1,'Durée formacode'!$C$1:$AE$1,0)),0)))</f>
        <v>1339</v>
      </c>
      <c r="K23" cm="1">
        <f t="array" ref="K23">SUMPRODUCT((IFERROR(1*INDEX('Durée formacode'!$C$2:$AE$44,0,MATCH($A23,'Durée formacode'!$C$1:$AE$1,0)),0)&gt;
 IFERROR(1*INDEX('Durée formacode'!$C$2:$AE$44,0,MATCH(K$1,'Durée formacode'!$C$1:$AE$1,0)),0))*(IFERROR(1*INDEX('Durée formacode'!$C$2:$AE$44,0,MATCH($A23,'Durée formacode'!$C$1:$AE$1,0)),0)-IFERROR(1*INDEX('Durée formacode'!$C$2:$AE$44,0,MATCH(K$1,'Durée formacode'!$C$1:$AE$1,0)),0)))</f>
        <v>833</v>
      </c>
      <c r="L23" cm="1">
        <f t="array" ref="L23">SUMPRODUCT((IFERROR(1*INDEX('Durée formacode'!$C$2:$AE$44,0,MATCH($A23,'Durée formacode'!$C$1:$AE$1,0)),0)&gt;
 IFERROR(1*INDEX('Durée formacode'!$C$2:$AE$44,0,MATCH(L$1,'Durée formacode'!$C$1:$AE$1,0)),0))*(IFERROR(1*INDEX('Durée formacode'!$C$2:$AE$44,0,MATCH($A23,'Durée formacode'!$C$1:$AE$1,0)),0)-IFERROR(1*INDEX('Durée formacode'!$C$2:$AE$44,0,MATCH(L$1,'Durée formacode'!$C$1:$AE$1,0)),0)))</f>
        <v>1458</v>
      </c>
      <c r="M23" cm="1">
        <f t="array" ref="M23">SUMPRODUCT((IFERROR(1*INDEX('Durée formacode'!$C$2:$AE$44,0,MATCH($A23,'Durée formacode'!$C$1:$AE$1,0)),0)&gt;
 IFERROR(1*INDEX('Durée formacode'!$C$2:$AE$44,0,MATCH(M$1,'Durée formacode'!$C$1:$AE$1,0)),0))*(IFERROR(1*INDEX('Durée formacode'!$C$2:$AE$44,0,MATCH($A23,'Durée formacode'!$C$1:$AE$1,0)),0)-IFERROR(1*INDEX('Durée formacode'!$C$2:$AE$44,0,MATCH(M$1,'Durée formacode'!$C$1:$AE$1,0)),0)))</f>
        <v>744</v>
      </c>
      <c r="N23" cm="1">
        <f t="array" ref="N23">SUMPRODUCT((IFERROR(1*INDEX('Durée formacode'!$C$2:$AE$44,0,MATCH($A23,'Durée formacode'!$C$1:$AE$1,0)),0)&gt;
 IFERROR(1*INDEX('Durée formacode'!$C$2:$AE$44,0,MATCH(N$1,'Durée formacode'!$C$1:$AE$1,0)),0))*(IFERROR(1*INDEX('Durée formacode'!$C$2:$AE$44,0,MATCH($A23,'Durée formacode'!$C$1:$AE$1,0)),0)-IFERROR(1*INDEX('Durée formacode'!$C$2:$AE$44,0,MATCH(N$1,'Durée formacode'!$C$1:$AE$1,0)),0)))</f>
        <v>320</v>
      </c>
      <c r="O23" cm="1">
        <f t="array" ref="O23">SUMPRODUCT((IFERROR(1*INDEX('Durée formacode'!$C$2:$AE$44,0,MATCH($A23,'Durée formacode'!$C$1:$AE$1,0)),0)&gt;
 IFERROR(1*INDEX('Durée formacode'!$C$2:$AE$44,0,MATCH(O$1,'Durée formacode'!$C$1:$AE$1,0)),0))*(IFERROR(1*INDEX('Durée formacode'!$C$2:$AE$44,0,MATCH($A23,'Durée formacode'!$C$1:$AE$1,0)),0)-IFERROR(1*INDEX('Durée formacode'!$C$2:$AE$44,0,MATCH(O$1,'Durée formacode'!$C$1:$AE$1,0)),0)))</f>
        <v>1378</v>
      </c>
      <c r="P23" cm="1">
        <f t="array" ref="P23">SUMPRODUCT((IFERROR(1*INDEX('Durée formacode'!$C$2:$AE$44,0,MATCH($A23,'Durée formacode'!$C$1:$AE$1,0)),0)&gt;
 IFERROR(1*INDEX('Durée formacode'!$C$2:$AE$44,0,MATCH(P$1,'Durée formacode'!$C$1:$AE$1,0)),0))*(IFERROR(1*INDEX('Durée formacode'!$C$2:$AE$44,0,MATCH($A23,'Durée formacode'!$C$1:$AE$1,0)),0)-IFERROR(1*INDEX('Durée formacode'!$C$2:$AE$44,0,MATCH(P$1,'Durée formacode'!$C$1:$AE$1,0)),0)))</f>
        <v>989</v>
      </c>
      <c r="Q23" cm="1">
        <f t="array" ref="Q23">SUMPRODUCT((IFERROR(1*INDEX('Durée formacode'!$C$2:$AE$44,0,MATCH($A23,'Durée formacode'!$C$1:$AE$1,0)),0)&gt;
 IFERROR(1*INDEX('Durée formacode'!$C$2:$AE$44,0,MATCH(Q$1,'Durée formacode'!$C$1:$AE$1,0)),0))*(IFERROR(1*INDEX('Durée formacode'!$C$2:$AE$44,0,MATCH($A23,'Durée formacode'!$C$1:$AE$1,0)),0)-IFERROR(1*INDEX('Durée formacode'!$C$2:$AE$44,0,MATCH(Q$1,'Durée formacode'!$C$1:$AE$1,0)),0)))</f>
        <v>488</v>
      </c>
      <c r="R23" cm="1">
        <f t="array" ref="R23">SUMPRODUCT((IFERROR(1*INDEX('Durée formacode'!$C$2:$AE$44,0,MATCH($A23,'Durée formacode'!$C$1:$AE$1,0)),0)&gt;
 IFERROR(1*INDEX('Durée formacode'!$C$2:$AE$44,0,MATCH(R$1,'Durée formacode'!$C$1:$AE$1,0)),0))*(IFERROR(1*INDEX('Durée formacode'!$C$2:$AE$44,0,MATCH($A23,'Durée formacode'!$C$1:$AE$1,0)),0)-IFERROR(1*INDEX('Durée formacode'!$C$2:$AE$44,0,MATCH(R$1,'Durée formacode'!$C$1:$AE$1,0)),0)))</f>
        <v>1448</v>
      </c>
      <c r="S23" cm="1">
        <f t="array" ref="S23">SUMPRODUCT((IFERROR(1*INDEX('Durée formacode'!$C$2:$AE$44,0,MATCH($A23,'Durée formacode'!$C$1:$AE$1,0)),0)&gt;
 IFERROR(1*INDEX('Durée formacode'!$C$2:$AE$44,0,MATCH(S$1,'Durée formacode'!$C$1:$AE$1,0)),0))*(IFERROR(1*INDEX('Durée formacode'!$C$2:$AE$44,0,MATCH($A23,'Durée formacode'!$C$1:$AE$1,0)),0)-IFERROR(1*INDEX('Durée formacode'!$C$2:$AE$44,0,MATCH(S$1,'Durée formacode'!$C$1:$AE$1,0)),0)))</f>
        <v>888</v>
      </c>
      <c r="T23" cm="1">
        <f t="array" ref="T23">SUMPRODUCT((IFERROR(1*INDEX('Durée formacode'!$C$2:$AE$44,0,MATCH($A23,'Durée formacode'!$C$1:$AE$1,0)),0)&gt;
 IFERROR(1*INDEX('Durée formacode'!$C$2:$AE$44,0,MATCH(T$1,'Durée formacode'!$C$1:$AE$1,0)),0))*(IFERROR(1*INDEX('Durée formacode'!$C$2:$AE$44,0,MATCH($A23,'Durée formacode'!$C$1:$AE$1,0)),0)-IFERROR(1*INDEX('Durée formacode'!$C$2:$AE$44,0,MATCH(T$1,'Durée formacode'!$C$1:$AE$1,0)),0)))</f>
        <v>450</v>
      </c>
      <c r="U23" cm="1">
        <f t="array" ref="U23">SUMPRODUCT((IFERROR(1*INDEX('Durée formacode'!$C$2:$AE$44,0,MATCH($A23,'Durée formacode'!$C$1:$AE$1,0)),0)&gt;
 IFERROR(1*INDEX('Durée formacode'!$C$2:$AE$44,0,MATCH(U$1,'Durée formacode'!$C$1:$AE$1,0)),0))*(IFERROR(1*INDEX('Durée formacode'!$C$2:$AE$44,0,MATCH($A23,'Durée formacode'!$C$1:$AE$1,0)),0)-IFERROR(1*INDEX('Durée formacode'!$C$2:$AE$44,0,MATCH(U$1,'Durée formacode'!$C$1:$AE$1,0)),0)))</f>
        <v>888</v>
      </c>
      <c r="V23" cm="1">
        <f t="array" ref="V23">SUMPRODUCT((IFERROR(1*INDEX('Durée formacode'!$C$2:$AE$44,0,MATCH($A23,'Durée formacode'!$C$1:$AE$1,0)),0)&gt;
 IFERROR(1*INDEX('Durée formacode'!$C$2:$AE$44,0,MATCH(V$1,'Durée formacode'!$C$1:$AE$1,0)),0))*(IFERROR(1*INDEX('Durée formacode'!$C$2:$AE$44,0,MATCH($A23,'Durée formacode'!$C$1:$AE$1,0)),0)-IFERROR(1*INDEX('Durée formacode'!$C$2:$AE$44,0,MATCH(V$1,'Durée formacode'!$C$1:$AE$1,0)),0)))</f>
        <v>344</v>
      </c>
      <c r="W23" cm="1">
        <f t="array" ref="W23">SUMPRODUCT((IFERROR(1*INDEX('Durée formacode'!$C$2:$AE$44,0,MATCH($A23,'Durée formacode'!$C$1:$AE$1,0)),0)&gt;
 IFERROR(1*INDEX('Durée formacode'!$C$2:$AE$44,0,MATCH(W$1,'Durée formacode'!$C$1:$AE$1,0)),0))*(IFERROR(1*INDEX('Durée formacode'!$C$2:$AE$44,0,MATCH($A23,'Durée formacode'!$C$1:$AE$1,0)),0)-IFERROR(1*INDEX('Durée formacode'!$C$2:$AE$44,0,MATCH(W$1,'Durée formacode'!$C$1:$AE$1,0)),0)))</f>
        <v>0</v>
      </c>
      <c r="X23" cm="1">
        <f t="array" ref="X23">SUMPRODUCT((IFERROR(1*INDEX('Durée formacode'!$C$2:$AE$44,0,MATCH($A23,'Durée formacode'!$C$1:$AE$1,0)),0)&gt;
 IFERROR(1*INDEX('Durée formacode'!$C$2:$AE$44,0,MATCH(X$1,'Durée formacode'!$C$1:$AE$1,0)),0))*(IFERROR(1*INDEX('Durée formacode'!$C$2:$AE$44,0,MATCH($A23,'Durée formacode'!$C$1:$AE$1,0)),0)-IFERROR(1*INDEX('Durée formacode'!$C$2:$AE$44,0,MATCH(X$1,'Durée formacode'!$C$1:$AE$1,0)),0)))</f>
        <v>988</v>
      </c>
      <c r="Y23" cm="1">
        <f t="array" ref="Y23">SUMPRODUCT((IFERROR(1*INDEX('Durée formacode'!$C$2:$AE$44,0,MATCH($A23,'Durée formacode'!$C$1:$AE$1,0)),0)&gt;
 IFERROR(1*INDEX('Durée formacode'!$C$2:$AE$44,0,MATCH(Y$1,'Durée formacode'!$C$1:$AE$1,0)),0))*(IFERROR(1*INDEX('Durée formacode'!$C$2:$AE$44,0,MATCH($A23,'Durée formacode'!$C$1:$AE$1,0)),0)-IFERROR(1*INDEX('Durée formacode'!$C$2:$AE$44,0,MATCH(Y$1,'Durée formacode'!$C$1:$AE$1,0)),0)))</f>
        <v>958</v>
      </c>
      <c r="Z23" cm="1">
        <f t="array" ref="Z23">SUMPRODUCT((IFERROR(1*INDEX('Durée formacode'!$C$2:$AE$44,0,MATCH($A23,'Durée formacode'!$C$1:$AE$1,0)),0)&gt;
 IFERROR(1*INDEX('Durée formacode'!$C$2:$AE$44,0,MATCH(Z$1,'Durée formacode'!$C$1:$AE$1,0)),0))*(IFERROR(1*INDEX('Durée formacode'!$C$2:$AE$44,0,MATCH($A23,'Durée formacode'!$C$1:$AE$1,0)),0)-IFERROR(1*INDEX('Durée formacode'!$C$2:$AE$44,0,MATCH(Z$1,'Durée formacode'!$C$1:$AE$1,0)),0)))</f>
        <v>958</v>
      </c>
      <c r="AA23" cm="1">
        <f t="array" ref="AA23">SUMPRODUCT((IFERROR(1*INDEX('Durée formacode'!$C$2:$AE$44,0,MATCH($A23,'Durée formacode'!$C$1:$AE$1,0)),0)&gt;
 IFERROR(1*INDEX('Durée formacode'!$C$2:$AE$44,0,MATCH(AA$1,'Durée formacode'!$C$1:$AE$1,0)),0))*(IFERROR(1*INDEX('Durée formacode'!$C$2:$AE$44,0,MATCH($A23,'Durée formacode'!$C$1:$AE$1,0)),0)-IFERROR(1*INDEX('Durée formacode'!$C$2:$AE$44,0,MATCH(AA$1,'Durée formacode'!$C$1:$AE$1,0)),0)))</f>
        <v>958</v>
      </c>
      <c r="AB23" cm="1">
        <f t="array" ref="AB23">SUMPRODUCT((IFERROR(1*INDEX('Durée formacode'!$C$2:$AE$44,0,MATCH($A23,'Durée formacode'!$C$1:$AE$1,0)),0)&gt;
 IFERROR(1*INDEX('Durée formacode'!$C$2:$AE$44,0,MATCH(AB$1,'Durée formacode'!$C$1:$AE$1,0)),0))*(IFERROR(1*INDEX('Durée formacode'!$C$2:$AE$44,0,MATCH($A23,'Durée formacode'!$C$1:$AE$1,0)),0)-IFERROR(1*INDEX('Durée formacode'!$C$2:$AE$44,0,MATCH(AB$1,'Durée formacode'!$C$1:$AE$1,0)),0)))</f>
        <v>880</v>
      </c>
      <c r="AC23" cm="1">
        <f t="array" ref="AC23">SUMPRODUCT((IFERROR(1*INDEX('Durée formacode'!$C$2:$AE$44,0,MATCH($A23,'Durée formacode'!$C$1:$AE$1,0)),0)&gt;
 IFERROR(1*INDEX('Durée formacode'!$C$2:$AE$44,0,MATCH(AC$1,'Durée formacode'!$C$1:$AE$1,0)),0))*(IFERROR(1*INDEX('Durée formacode'!$C$2:$AE$44,0,MATCH($A23,'Durée formacode'!$C$1:$AE$1,0)),0)-IFERROR(1*INDEX('Durée formacode'!$C$2:$AE$44,0,MATCH(AC$1,'Durée formacode'!$C$1:$AE$1,0)),0)))</f>
        <v>880</v>
      </c>
      <c r="AD23" cm="1">
        <f t="array" ref="AD23">SUMPRODUCT((IFERROR(1*INDEX('Durée formacode'!$C$2:$AE$44,0,MATCH($A23,'Durée formacode'!$C$1:$AE$1,0)),0)&gt;
 IFERROR(1*INDEX('Durée formacode'!$C$2:$AE$44,0,MATCH(AD$1,'Durée formacode'!$C$1:$AE$1,0)),0))*(IFERROR(1*INDEX('Durée formacode'!$C$2:$AE$44,0,MATCH($A23,'Durée formacode'!$C$1:$AE$1,0)),0)-IFERROR(1*INDEX('Durée formacode'!$C$2:$AE$44,0,MATCH(AD$1,'Durée formacode'!$C$1:$AE$1,0)),0)))</f>
        <v>880</v>
      </c>
    </row>
    <row r="24" spans="1:30">
      <c r="A24" s="55" t="str">
        <v>Responsable de plateforme/ d’exploitation logistique</v>
      </c>
      <c r="B24" cm="1">
        <f t="array" ref="B24">SUMPRODUCT((IFERROR(1*INDEX('Durée formacode'!$C$2:$AE$44,0,MATCH($A24,'Durée formacode'!$C$1:$AE$1,0)),0)&gt;
 IFERROR(1*INDEX('Durée formacode'!$C$2:$AE$44,0,MATCH(B$1,'Durée formacode'!$C$1:$AE$1,0)),0))*(IFERROR(1*INDEX('Durée formacode'!$C$2:$AE$44,0,MATCH($A24,'Durée formacode'!$C$1:$AE$1,0)),0)-IFERROR(1*INDEX('Durée formacode'!$C$2:$AE$44,0,MATCH(B$1,'Durée formacode'!$C$1:$AE$1,0)),0)))</f>
        <v>5551.9</v>
      </c>
      <c r="C24" cm="1">
        <f t="array" ref="C24">SUMPRODUCT((IFERROR(1*INDEX('Durée formacode'!$C$2:$AE$44,0,MATCH($A24,'Durée formacode'!$C$1:$AE$1,0)),0)&gt;
 IFERROR(1*INDEX('Durée formacode'!$C$2:$AE$44,0,MATCH(C$1,'Durée formacode'!$C$1:$AE$1,0)),0))*(IFERROR(1*INDEX('Durée formacode'!$C$2:$AE$44,0,MATCH($A24,'Durée formacode'!$C$1:$AE$1,0)),0)-IFERROR(1*INDEX('Durée formacode'!$C$2:$AE$44,0,MATCH(C$1,'Durée formacode'!$C$1:$AE$1,0)),0)))</f>
        <v>5228.8999999999996</v>
      </c>
      <c r="D24" cm="1">
        <f t="array" ref="D24">SUMPRODUCT((IFERROR(1*INDEX('Durée formacode'!$C$2:$AE$44,0,MATCH($A24,'Durée formacode'!$C$1:$AE$1,0)),0)&gt;
 IFERROR(1*INDEX('Durée formacode'!$C$2:$AE$44,0,MATCH(D$1,'Durée formacode'!$C$1:$AE$1,0)),0))*(IFERROR(1*INDEX('Durée formacode'!$C$2:$AE$44,0,MATCH($A24,'Durée formacode'!$C$1:$AE$1,0)),0)-IFERROR(1*INDEX('Durée formacode'!$C$2:$AE$44,0,MATCH(D$1,'Durée formacode'!$C$1:$AE$1,0)),0)))</f>
        <v>4944.8999999999996</v>
      </c>
      <c r="E24" cm="1">
        <f t="array" ref="E24">SUMPRODUCT((IFERROR(1*INDEX('Durée formacode'!$C$2:$AE$44,0,MATCH($A24,'Durée formacode'!$C$1:$AE$1,0)),0)&gt;
 IFERROR(1*INDEX('Durée formacode'!$C$2:$AE$44,0,MATCH(E$1,'Durée formacode'!$C$1:$AE$1,0)),0))*(IFERROR(1*INDEX('Durée formacode'!$C$2:$AE$44,0,MATCH($A24,'Durée formacode'!$C$1:$AE$1,0)),0)-IFERROR(1*INDEX('Durée formacode'!$C$2:$AE$44,0,MATCH(E$1,'Durée formacode'!$C$1:$AE$1,0)),0)))</f>
        <v>2801.9</v>
      </c>
      <c r="F24" cm="1">
        <f t="array" ref="F24">SUMPRODUCT((IFERROR(1*INDEX('Durée formacode'!$C$2:$AE$44,0,MATCH($A24,'Durée formacode'!$C$1:$AE$1,0)),0)&gt;
 IFERROR(1*INDEX('Durée formacode'!$C$2:$AE$44,0,MATCH(F$1,'Durée formacode'!$C$1:$AE$1,0)),0))*(IFERROR(1*INDEX('Durée formacode'!$C$2:$AE$44,0,MATCH($A24,'Durée formacode'!$C$1:$AE$1,0)),0)-IFERROR(1*INDEX('Durée formacode'!$C$2:$AE$44,0,MATCH(F$1,'Durée formacode'!$C$1:$AE$1,0)),0)))</f>
        <v>4887.8999999999996</v>
      </c>
      <c r="G24" cm="1">
        <f t="array" ref="G24">SUMPRODUCT((IFERROR(1*INDEX('Durée formacode'!$C$2:$AE$44,0,MATCH($A24,'Durée formacode'!$C$1:$AE$1,0)),0)&gt;
 IFERROR(1*INDEX('Durée formacode'!$C$2:$AE$44,0,MATCH(G$1,'Durée formacode'!$C$1:$AE$1,0)),0))*(IFERROR(1*INDEX('Durée formacode'!$C$2:$AE$44,0,MATCH($A24,'Durée formacode'!$C$1:$AE$1,0)),0)-IFERROR(1*INDEX('Durée formacode'!$C$2:$AE$44,0,MATCH(G$1,'Durée formacode'!$C$1:$AE$1,0)),0)))</f>
        <v>4694.8999999999996</v>
      </c>
      <c r="H24" cm="1">
        <f t="array" ref="H24">SUMPRODUCT((IFERROR(1*INDEX('Durée formacode'!$C$2:$AE$44,0,MATCH($A24,'Durée formacode'!$C$1:$AE$1,0)),0)&gt;
 IFERROR(1*INDEX('Durée formacode'!$C$2:$AE$44,0,MATCH(H$1,'Durée formacode'!$C$1:$AE$1,0)),0))*(IFERROR(1*INDEX('Durée formacode'!$C$2:$AE$44,0,MATCH($A24,'Durée formacode'!$C$1:$AE$1,0)),0)-IFERROR(1*INDEX('Durée formacode'!$C$2:$AE$44,0,MATCH(H$1,'Durée formacode'!$C$1:$AE$1,0)),0)))</f>
        <v>5138.8999999999996</v>
      </c>
      <c r="I24" cm="1">
        <f t="array" ref="I24">SUMPRODUCT((IFERROR(1*INDEX('Durée formacode'!$C$2:$AE$44,0,MATCH($A24,'Durée formacode'!$C$1:$AE$1,0)),0)&gt;
 IFERROR(1*INDEX('Durée formacode'!$C$2:$AE$44,0,MATCH(I$1,'Durée formacode'!$C$1:$AE$1,0)),0))*(IFERROR(1*INDEX('Durée formacode'!$C$2:$AE$44,0,MATCH($A24,'Durée formacode'!$C$1:$AE$1,0)),0)-IFERROR(1*INDEX('Durée formacode'!$C$2:$AE$44,0,MATCH(I$1,'Durée formacode'!$C$1:$AE$1,0)),0)))</f>
        <v>4944.8999999999996</v>
      </c>
      <c r="J24" cm="1">
        <f t="array" ref="J24">SUMPRODUCT((IFERROR(1*INDEX('Durée formacode'!$C$2:$AE$44,0,MATCH($A24,'Durée formacode'!$C$1:$AE$1,0)),0)&gt;
 IFERROR(1*INDEX('Durée formacode'!$C$2:$AE$44,0,MATCH(J$1,'Durée formacode'!$C$1:$AE$1,0)),0))*(IFERROR(1*INDEX('Durée formacode'!$C$2:$AE$44,0,MATCH($A24,'Durée formacode'!$C$1:$AE$1,0)),0)-IFERROR(1*INDEX('Durée formacode'!$C$2:$AE$44,0,MATCH(J$1,'Durée formacode'!$C$1:$AE$1,0)),0)))</f>
        <v>4190.8999999999996</v>
      </c>
      <c r="K24" cm="1">
        <f t="array" ref="K24">SUMPRODUCT((IFERROR(1*INDEX('Durée formacode'!$C$2:$AE$44,0,MATCH($A24,'Durée formacode'!$C$1:$AE$1,0)),0)&gt;
 IFERROR(1*INDEX('Durée formacode'!$C$2:$AE$44,0,MATCH(K$1,'Durée formacode'!$C$1:$AE$1,0)),0))*(IFERROR(1*INDEX('Durée formacode'!$C$2:$AE$44,0,MATCH($A24,'Durée formacode'!$C$1:$AE$1,0)),0)-IFERROR(1*INDEX('Durée formacode'!$C$2:$AE$44,0,MATCH(K$1,'Durée formacode'!$C$1:$AE$1,0)),0)))</f>
        <v>3650.9</v>
      </c>
      <c r="L24" cm="1">
        <f t="array" ref="L24">SUMPRODUCT((IFERROR(1*INDEX('Durée formacode'!$C$2:$AE$44,0,MATCH($A24,'Durée formacode'!$C$1:$AE$1,0)),0)&gt;
 IFERROR(1*INDEX('Durée formacode'!$C$2:$AE$44,0,MATCH(L$1,'Durée formacode'!$C$1:$AE$1,0)),0))*(IFERROR(1*INDEX('Durée formacode'!$C$2:$AE$44,0,MATCH($A24,'Durée formacode'!$C$1:$AE$1,0)),0)-IFERROR(1*INDEX('Durée formacode'!$C$2:$AE$44,0,MATCH(L$1,'Durée formacode'!$C$1:$AE$1,0)),0)))</f>
        <v>5912.9</v>
      </c>
      <c r="M24" cm="1">
        <f t="array" ref="M24">SUMPRODUCT((IFERROR(1*INDEX('Durée formacode'!$C$2:$AE$44,0,MATCH($A24,'Durée formacode'!$C$1:$AE$1,0)),0)&gt;
 IFERROR(1*INDEX('Durée formacode'!$C$2:$AE$44,0,MATCH(M$1,'Durée formacode'!$C$1:$AE$1,0)),0))*(IFERROR(1*INDEX('Durée formacode'!$C$2:$AE$44,0,MATCH($A24,'Durée formacode'!$C$1:$AE$1,0)),0)-IFERROR(1*INDEX('Durée formacode'!$C$2:$AE$44,0,MATCH(M$1,'Durée formacode'!$C$1:$AE$1,0)),0)))</f>
        <v>5657.9</v>
      </c>
      <c r="N24" cm="1">
        <f t="array" ref="N24">SUMPRODUCT((IFERROR(1*INDEX('Durée formacode'!$C$2:$AE$44,0,MATCH($A24,'Durée formacode'!$C$1:$AE$1,0)),0)&gt;
 IFERROR(1*INDEX('Durée formacode'!$C$2:$AE$44,0,MATCH(N$1,'Durée formacode'!$C$1:$AE$1,0)),0))*(IFERROR(1*INDEX('Durée formacode'!$C$2:$AE$44,0,MATCH($A24,'Durée formacode'!$C$1:$AE$1,0)),0)-IFERROR(1*INDEX('Durée formacode'!$C$2:$AE$44,0,MATCH(N$1,'Durée formacode'!$C$1:$AE$1,0)),0)))</f>
        <v>5032.8999999999996</v>
      </c>
      <c r="O24" cm="1">
        <f t="array" ref="O24">SUMPRODUCT((IFERROR(1*INDEX('Durée formacode'!$C$2:$AE$44,0,MATCH($A24,'Durée formacode'!$C$1:$AE$1,0)),0)&gt;
 IFERROR(1*INDEX('Durée formacode'!$C$2:$AE$44,0,MATCH(O$1,'Durée formacode'!$C$1:$AE$1,0)),0))*(IFERROR(1*INDEX('Durée formacode'!$C$2:$AE$44,0,MATCH($A24,'Durée formacode'!$C$1:$AE$1,0)),0)-IFERROR(1*INDEX('Durée formacode'!$C$2:$AE$44,0,MATCH(O$1,'Durée formacode'!$C$1:$AE$1,0)),0)))</f>
        <v>5832.9</v>
      </c>
      <c r="P24" cm="1">
        <f t="array" ref="P24">SUMPRODUCT((IFERROR(1*INDEX('Durée formacode'!$C$2:$AE$44,0,MATCH($A24,'Durée formacode'!$C$1:$AE$1,0)),0)&gt;
 IFERROR(1*INDEX('Durée formacode'!$C$2:$AE$44,0,MATCH(P$1,'Durée formacode'!$C$1:$AE$1,0)),0))*(IFERROR(1*INDEX('Durée formacode'!$C$2:$AE$44,0,MATCH($A24,'Durée formacode'!$C$1:$AE$1,0)),0)-IFERROR(1*INDEX('Durée formacode'!$C$2:$AE$44,0,MATCH(P$1,'Durée formacode'!$C$1:$AE$1,0)),0)))</f>
        <v>5902.9</v>
      </c>
      <c r="Q24" cm="1">
        <f t="array" ref="Q24">SUMPRODUCT((IFERROR(1*INDEX('Durée formacode'!$C$2:$AE$44,0,MATCH($A24,'Durée formacode'!$C$1:$AE$1,0)),0)&gt;
 IFERROR(1*INDEX('Durée formacode'!$C$2:$AE$44,0,MATCH(Q$1,'Durée formacode'!$C$1:$AE$1,0)),0))*(IFERROR(1*INDEX('Durée formacode'!$C$2:$AE$44,0,MATCH($A24,'Durée formacode'!$C$1:$AE$1,0)),0)-IFERROR(1*INDEX('Durée formacode'!$C$2:$AE$44,0,MATCH(Q$1,'Durée formacode'!$C$1:$AE$1,0)),0)))</f>
        <v>4742.8999999999996</v>
      </c>
      <c r="R24" cm="1">
        <f t="array" ref="R24">SUMPRODUCT((IFERROR(1*INDEX('Durée formacode'!$C$2:$AE$44,0,MATCH($A24,'Durée formacode'!$C$1:$AE$1,0)),0)&gt;
 IFERROR(1*INDEX('Durée formacode'!$C$2:$AE$44,0,MATCH(R$1,'Durée formacode'!$C$1:$AE$1,0)),0))*(IFERROR(1*INDEX('Durée formacode'!$C$2:$AE$44,0,MATCH($A24,'Durée formacode'!$C$1:$AE$1,0)),0)-IFERROR(1*INDEX('Durée formacode'!$C$2:$AE$44,0,MATCH(R$1,'Durée formacode'!$C$1:$AE$1,0)),0)))</f>
        <v>4973.8999999999996</v>
      </c>
      <c r="S24" cm="1">
        <f t="array" ref="S24">SUMPRODUCT((IFERROR(1*INDEX('Durée formacode'!$C$2:$AE$44,0,MATCH($A24,'Durée formacode'!$C$1:$AE$1,0)),0)&gt;
 IFERROR(1*INDEX('Durée formacode'!$C$2:$AE$44,0,MATCH(S$1,'Durée formacode'!$C$1:$AE$1,0)),0))*(IFERROR(1*INDEX('Durée formacode'!$C$2:$AE$44,0,MATCH($A24,'Durée formacode'!$C$1:$AE$1,0)),0)-IFERROR(1*INDEX('Durée formacode'!$C$2:$AE$44,0,MATCH(S$1,'Durée formacode'!$C$1:$AE$1,0)),0)))</f>
        <v>5657.9</v>
      </c>
      <c r="T24" cm="1">
        <f t="array" ref="T24">SUMPRODUCT((IFERROR(1*INDEX('Durée formacode'!$C$2:$AE$44,0,MATCH($A24,'Durée formacode'!$C$1:$AE$1,0)),0)&gt;
 IFERROR(1*INDEX('Durée formacode'!$C$2:$AE$44,0,MATCH(T$1,'Durée formacode'!$C$1:$AE$1,0)),0))*(IFERROR(1*INDEX('Durée formacode'!$C$2:$AE$44,0,MATCH($A24,'Durée formacode'!$C$1:$AE$1,0)),0)-IFERROR(1*INDEX('Durée formacode'!$C$2:$AE$44,0,MATCH(T$1,'Durée formacode'!$C$1:$AE$1,0)),0)))</f>
        <v>5657.9</v>
      </c>
      <c r="U24" cm="1">
        <f t="array" ref="U24">SUMPRODUCT((IFERROR(1*INDEX('Durée formacode'!$C$2:$AE$44,0,MATCH($A24,'Durée formacode'!$C$1:$AE$1,0)),0)&gt;
 IFERROR(1*INDEX('Durée formacode'!$C$2:$AE$44,0,MATCH(U$1,'Durée formacode'!$C$1:$AE$1,0)),0))*(IFERROR(1*INDEX('Durée formacode'!$C$2:$AE$44,0,MATCH($A24,'Durée formacode'!$C$1:$AE$1,0)),0)-IFERROR(1*INDEX('Durée formacode'!$C$2:$AE$44,0,MATCH(U$1,'Durée formacode'!$C$1:$AE$1,0)),0)))</f>
        <v>5657.9</v>
      </c>
      <c r="V24" cm="1">
        <f t="array" ref="V24">SUMPRODUCT((IFERROR(1*INDEX('Durée formacode'!$C$2:$AE$44,0,MATCH($A24,'Durée formacode'!$C$1:$AE$1,0)),0)&gt;
 IFERROR(1*INDEX('Durée formacode'!$C$2:$AE$44,0,MATCH(V$1,'Durée formacode'!$C$1:$AE$1,0)),0))*(IFERROR(1*INDEX('Durée formacode'!$C$2:$AE$44,0,MATCH($A24,'Durée formacode'!$C$1:$AE$1,0)),0)-IFERROR(1*INDEX('Durée formacode'!$C$2:$AE$44,0,MATCH(V$1,'Durée formacode'!$C$1:$AE$1,0)),0)))</f>
        <v>5551.9</v>
      </c>
      <c r="W24" cm="1">
        <f t="array" ref="W24">SUMPRODUCT((IFERROR(1*INDEX('Durée formacode'!$C$2:$AE$44,0,MATCH($A24,'Durée formacode'!$C$1:$AE$1,0)),0)&gt;
 IFERROR(1*INDEX('Durée formacode'!$C$2:$AE$44,0,MATCH(W$1,'Durée formacode'!$C$1:$AE$1,0)),0))*(IFERROR(1*INDEX('Durée formacode'!$C$2:$AE$44,0,MATCH($A24,'Durée formacode'!$C$1:$AE$1,0)),0)-IFERROR(1*INDEX('Durée formacode'!$C$2:$AE$44,0,MATCH(W$1,'Durée formacode'!$C$1:$AE$1,0)),0)))</f>
        <v>5442.9</v>
      </c>
      <c r="X24" cm="1">
        <f t="array" ref="X24">SUMPRODUCT((IFERROR(1*INDEX('Durée formacode'!$C$2:$AE$44,0,MATCH($A24,'Durée formacode'!$C$1:$AE$1,0)),0)&gt;
 IFERROR(1*INDEX('Durée formacode'!$C$2:$AE$44,0,MATCH(X$1,'Durée formacode'!$C$1:$AE$1,0)),0))*(IFERROR(1*INDEX('Durée formacode'!$C$2:$AE$44,0,MATCH($A24,'Durée formacode'!$C$1:$AE$1,0)),0)-IFERROR(1*INDEX('Durée formacode'!$C$2:$AE$44,0,MATCH(X$1,'Durée formacode'!$C$1:$AE$1,0)),0)))</f>
        <v>0</v>
      </c>
      <c r="Y24" cm="1">
        <f t="array" ref="Y24">SUMPRODUCT((IFERROR(1*INDEX('Durée formacode'!$C$2:$AE$44,0,MATCH($A24,'Durée formacode'!$C$1:$AE$1,0)),0)&gt;
 IFERROR(1*INDEX('Durée formacode'!$C$2:$AE$44,0,MATCH(Y$1,'Durée formacode'!$C$1:$AE$1,0)),0))*(IFERROR(1*INDEX('Durée formacode'!$C$2:$AE$44,0,MATCH($A24,'Durée formacode'!$C$1:$AE$1,0)),0)-IFERROR(1*INDEX('Durée formacode'!$C$2:$AE$44,0,MATCH(Y$1,'Durée formacode'!$C$1:$AE$1,0)),0)))</f>
        <v>5657.9</v>
      </c>
      <c r="Z24" cm="1">
        <f t="array" ref="Z24">SUMPRODUCT((IFERROR(1*INDEX('Durée formacode'!$C$2:$AE$44,0,MATCH($A24,'Durée formacode'!$C$1:$AE$1,0)),0)&gt;
 IFERROR(1*INDEX('Durée formacode'!$C$2:$AE$44,0,MATCH(Z$1,'Durée formacode'!$C$1:$AE$1,0)),0))*(IFERROR(1*INDEX('Durée formacode'!$C$2:$AE$44,0,MATCH($A24,'Durée formacode'!$C$1:$AE$1,0)),0)-IFERROR(1*INDEX('Durée formacode'!$C$2:$AE$44,0,MATCH(Z$1,'Durée formacode'!$C$1:$AE$1,0)),0)))</f>
        <v>5657.9</v>
      </c>
      <c r="AA24" cm="1">
        <f t="array" ref="AA24">SUMPRODUCT((IFERROR(1*INDEX('Durée formacode'!$C$2:$AE$44,0,MATCH($A24,'Durée formacode'!$C$1:$AE$1,0)),0)&gt;
 IFERROR(1*INDEX('Durée formacode'!$C$2:$AE$44,0,MATCH(AA$1,'Durée formacode'!$C$1:$AE$1,0)),0))*(IFERROR(1*INDEX('Durée formacode'!$C$2:$AE$44,0,MATCH($A24,'Durée formacode'!$C$1:$AE$1,0)),0)-IFERROR(1*INDEX('Durée formacode'!$C$2:$AE$44,0,MATCH(AA$1,'Durée formacode'!$C$1:$AE$1,0)),0)))</f>
        <v>5657.9</v>
      </c>
      <c r="AB24" cm="1">
        <f t="array" ref="AB24">SUMPRODUCT((IFERROR(1*INDEX('Durée formacode'!$C$2:$AE$44,0,MATCH($A24,'Durée formacode'!$C$1:$AE$1,0)),0)&gt;
 IFERROR(1*INDEX('Durée formacode'!$C$2:$AE$44,0,MATCH(AB$1,'Durée formacode'!$C$1:$AE$1,0)),0))*(IFERROR(1*INDEX('Durée formacode'!$C$2:$AE$44,0,MATCH($A24,'Durée formacode'!$C$1:$AE$1,0)),0)-IFERROR(1*INDEX('Durée formacode'!$C$2:$AE$44,0,MATCH(AB$1,'Durée formacode'!$C$1:$AE$1,0)),0)))</f>
        <v>5793.9</v>
      </c>
      <c r="AC24" cm="1">
        <f t="array" ref="AC24">SUMPRODUCT((IFERROR(1*INDEX('Durée formacode'!$C$2:$AE$44,0,MATCH($A24,'Durée formacode'!$C$1:$AE$1,0)),0)&gt;
 IFERROR(1*INDEX('Durée formacode'!$C$2:$AE$44,0,MATCH(AC$1,'Durée formacode'!$C$1:$AE$1,0)),0))*(IFERROR(1*INDEX('Durée formacode'!$C$2:$AE$44,0,MATCH($A24,'Durée formacode'!$C$1:$AE$1,0)),0)-IFERROR(1*INDEX('Durée formacode'!$C$2:$AE$44,0,MATCH(AC$1,'Durée formacode'!$C$1:$AE$1,0)),0)))</f>
        <v>5793.9</v>
      </c>
      <c r="AD24" cm="1">
        <f t="array" ref="AD24">SUMPRODUCT((IFERROR(1*INDEX('Durée formacode'!$C$2:$AE$44,0,MATCH($A24,'Durée formacode'!$C$1:$AE$1,0)),0)&gt;
 IFERROR(1*INDEX('Durée formacode'!$C$2:$AE$44,0,MATCH(AD$1,'Durée formacode'!$C$1:$AE$1,0)),0))*(IFERROR(1*INDEX('Durée formacode'!$C$2:$AE$44,0,MATCH($A24,'Durée formacode'!$C$1:$AE$1,0)),0)-IFERROR(1*INDEX('Durée formacode'!$C$2:$AE$44,0,MATCH(AD$1,'Durée formacode'!$C$1:$AE$1,0)),0)))</f>
        <v>5793.9</v>
      </c>
    </row>
    <row r="25" spans="1:30">
      <c r="A25" s="55" t="str">
        <v>Opérateur(trice) de transformation des viandes</v>
      </c>
      <c r="B25" cm="1">
        <f t="array" ref="B25">SUMPRODUCT((IFERROR(1*INDEX('Durée formacode'!$C$2:$AE$44,0,MATCH($A25,'Durée formacode'!$C$1:$AE$1,0)),0)&gt;
 IFERROR(1*INDEX('Durée formacode'!$C$2:$AE$44,0,MATCH(B$1,'Durée formacode'!$C$1:$AE$1,0)),0))*(IFERROR(1*INDEX('Durée formacode'!$C$2:$AE$44,0,MATCH($A25,'Durée formacode'!$C$1:$AE$1,0)),0)-IFERROR(1*INDEX('Durée formacode'!$C$2:$AE$44,0,MATCH(B$1,'Durée formacode'!$C$1:$AE$1,0)),0)))</f>
        <v>302</v>
      </c>
      <c r="C25" cm="1">
        <f t="array" ref="C25">SUMPRODUCT((IFERROR(1*INDEX('Durée formacode'!$C$2:$AE$44,0,MATCH($A25,'Durée formacode'!$C$1:$AE$1,0)),0)&gt;
 IFERROR(1*INDEX('Durée formacode'!$C$2:$AE$44,0,MATCH(C$1,'Durée formacode'!$C$1:$AE$1,0)),0))*(IFERROR(1*INDEX('Durée formacode'!$C$2:$AE$44,0,MATCH($A25,'Durée formacode'!$C$1:$AE$1,0)),0)-IFERROR(1*INDEX('Durée formacode'!$C$2:$AE$44,0,MATCH(C$1,'Durée formacode'!$C$1:$AE$1,0)),0)))</f>
        <v>302</v>
      </c>
      <c r="D25" cm="1">
        <f t="array" ref="D25">SUMPRODUCT((IFERROR(1*INDEX('Durée formacode'!$C$2:$AE$44,0,MATCH($A25,'Durée formacode'!$C$1:$AE$1,0)),0)&gt;
 IFERROR(1*INDEX('Durée formacode'!$C$2:$AE$44,0,MATCH(D$1,'Durée formacode'!$C$1:$AE$1,0)),0))*(IFERROR(1*INDEX('Durée formacode'!$C$2:$AE$44,0,MATCH($A25,'Durée formacode'!$C$1:$AE$1,0)),0)-IFERROR(1*INDEX('Durée formacode'!$C$2:$AE$44,0,MATCH(D$1,'Durée formacode'!$C$1:$AE$1,0)),0)))</f>
        <v>802</v>
      </c>
      <c r="E25" cm="1">
        <f t="array" ref="E25">SUMPRODUCT((IFERROR(1*INDEX('Durée formacode'!$C$2:$AE$44,0,MATCH($A25,'Durée formacode'!$C$1:$AE$1,0)),0)&gt;
 IFERROR(1*INDEX('Durée formacode'!$C$2:$AE$44,0,MATCH(E$1,'Durée formacode'!$C$1:$AE$1,0)),0))*(IFERROR(1*INDEX('Durée formacode'!$C$2:$AE$44,0,MATCH($A25,'Durée formacode'!$C$1:$AE$1,0)),0)-IFERROR(1*INDEX('Durée formacode'!$C$2:$AE$44,0,MATCH(E$1,'Durée formacode'!$C$1:$AE$1,0)),0)))</f>
        <v>703</v>
      </c>
      <c r="F25" cm="1">
        <f t="array" ref="F25">SUMPRODUCT((IFERROR(1*INDEX('Durée formacode'!$C$2:$AE$44,0,MATCH($A25,'Durée formacode'!$C$1:$AE$1,0)),0)&gt;
 IFERROR(1*INDEX('Durée formacode'!$C$2:$AE$44,0,MATCH(F$1,'Durée formacode'!$C$1:$AE$1,0)),0))*(IFERROR(1*INDEX('Durée formacode'!$C$2:$AE$44,0,MATCH($A25,'Durée formacode'!$C$1:$AE$1,0)),0)-IFERROR(1*INDEX('Durée formacode'!$C$2:$AE$44,0,MATCH(F$1,'Durée formacode'!$C$1:$AE$1,0)),0)))</f>
        <v>623</v>
      </c>
      <c r="G25" cm="1">
        <f t="array" ref="G25">SUMPRODUCT((IFERROR(1*INDEX('Durée formacode'!$C$2:$AE$44,0,MATCH($A25,'Durée formacode'!$C$1:$AE$1,0)),0)&gt;
 IFERROR(1*INDEX('Durée formacode'!$C$2:$AE$44,0,MATCH(G$1,'Durée formacode'!$C$1:$AE$1,0)),0))*(IFERROR(1*INDEX('Durée formacode'!$C$2:$AE$44,0,MATCH($A25,'Durée formacode'!$C$1:$AE$1,0)),0)-IFERROR(1*INDEX('Durée formacode'!$C$2:$AE$44,0,MATCH(G$1,'Durée formacode'!$C$1:$AE$1,0)),0)))</f>
        <v>623</v>
      </c>
      <c r="H25" cm="1">
        <f t="array" ref="H25">SUMPRODUCT((IFERROR(1*INDEX('Durée formacode'!$C$2:$AE$44,0,MATCH($A25,'Durée formacode'!$C$1:$AE$1,0)),0)&gt;
 IFERROR(1*INDEX('Durée formacode'!$C$2:$AE$44,0,MATCH(H$1,'Durée formacode'!$C$1:$AE$1,0)),0))*(IFERROR(1*INDEX('Durée formacode'!$C$2:$AE$44,0,MATCH($A25,'Durée formacode'!$C$1:$AE$1,0)),0)-IFERROR(1*INDEX('Durée formacode'!$C$2:$AE$44,0,MATCH(H$1,'Durée formacode'!$C$1:$AE$1,0)),0)))</f>
        <v>868</v>
      </c>
      <c r="I25" cm="1">
        <f t="array" ref="I25">SUMPRODUCT((IFERROR(1*INDEX('Durée formacode'!$C$2:$AE$44,0,MATCH($A25,'Durée formacode'!$C$1:$AE$1,0)),0)&gt;
 IFERROR(1*INDEX('Durée formacode'!$C$2:$AE$44,0,MATCH(I$1,'Durée formacode'!$C$1:$AE$1,0)),0))*(IFERROR(1*INDEX('Durée formacode'!$C$2:$AE$44,0,MATCH($A25,'Durée formacode'!$C$1:$AE$1,0)),0)-IFERROR(1*INDEX('Durée formacode'!$C$2:$AE$44,0,MATCH(I$1,'Durée formacode'!$C$1:$AE$1,0)),0)))</f>
        <v>802</v>
      </c>
      <c r="J25" cm="1">
        <f t="array" ref="J25">SUMPRODUCT((IFERROR(1*INDEX('Durée formacode'!$C$2:$AE$44,0,MATCH($A25,'Durée formacode'!$C$1:$AE$1,0)),0)&gt;
 IFERROR(1*INDEX('Durée formacode'!$C$2:$AE$44,0,MATCH(J$1,'Durée formacode'!$C$1:$AE$1,0)),0))*(IFERROR(1*INDEX('Durée formacode'!$C$2:$AE$44,0,MATCH($A25,'Durée formacode'!$C$1:$AE$1,0)),0)-IFERROR(1*INDEX('Durée formacode'!$C$2:$AE$44,0,MATCH(J$1,'Durée formacode'!$C$1:$AE$1,0)),0)))</f>
        <v>868</v>
      </c>
      <c r="K25" cm="1">
        <f t="array" ref="K25">SUMPRODUCT((IFERROR(1*INDEX('Durée formacode'!$C$2:$AE$44,0,MATCH($A25,'Durée formacode'!$C$1:$AE$1,0)),0)&gt;
 IFERROR(1*INDEX('Durée formacode'!$C$2:$AE$44,0,MATCH(K$1,'Durée formacode'!$C$1:$AE$1,0)),0))*(IFERROR(1*INDEX('Durée formacode'!$C$2:$AE$44,0,MATCH($A25,'Durée formacode'!$C$1:$AE$1,0)),0)-IFERROR(1*INDEX('Durée formacode'!$C$2:$AE$44,0,MATCH(K$1,'Durée formacode'!$C$1:$AE$1,0)),0)))</f>
        <v>703</v>
      </c>
      <c r="L25" cm="1">
        <f t="array" ref="L25">SUMPRODUCT((IFERROR(1*INDEX('Durée formacode'!$C$2:$AE$44,0,MATCH($A25,'Durée formacode'!$C$1:$AE$1,0)),0)&gt;
 IFERROR(1*INDEX('Durée formacode'!$C$2:$AE$44,0,MATCH(L$1,'Durée formacode'!$C$1:$AE$1,0)),0))*(IFERROR(1*INDEX('Durée formacode'!$C$2:$AE$44,0,MATCH($A25,'Durée formacode'!$C$1:$AE$1,0)),0)-IFERROR(1*INDEX('Durée formacode'!$C$2:$AE$44,0,MATCH(L$1,'Durée formacode'!$C$1:$AE$1,0)),0)))</f>
        <v>802</v>
      </c>
      <c r="M25" cm="1">
        <f t="array" ref="M25">SUMPRODUCT((IFERROR(1*INDEX('Durée formacode'!$C$2:$AE$44,0,MATCH($A25,'Durée formacode'!$C$1:$AE$1,0)),0)&gt;
 IFERROR(1*INDEX('Durée formacode'!$C$2:$AE$44,0,MATCH(M$1,'Durée formacode'!$C$1:$AE$1,0)),0))*(IFERROR(1*INDEX('Durée formacode'!$C$2:$AE$44,0,MATCH($A25,'Durée formacode'!$C$1:$AE$1,0)),0)-IFERROR(1*INDEX('Durée formacode'!$C$2:$AE$44,0,MATCH(M$1,'Durée formacode'!$C$1:$AE$1,0)),0)))</f>
        <v>378</v>
      </c>
      <c r="N25" cm="1">
        <f t="array" ref="N25">SUMPRODUCT((IFERROR(1*INDEX('Durée formacode'!$C$2:$AE$44,0,MATCH($A25,'Durée formacode'!$C$1:$AE$1,0)),0)&gt;
 IFERROR(1*INDEX('Durée formacode'!$C$2:$AE$44,0,MATCH(N$1,'Durée formacode'!$C$1:$AE$1,0)),0))*(IFERROR(1*INDEX('Durée formacode'!$C$2:$AE$44,0,MATCH($A25,'Durée formacode'!$C$1:$AE$1,0)),0)-IFERROR(1*INDEX('Durée formacode'!$C$2:$AE$44,0,MATCH(N$1,'Durée formacode'!$C$1:$AE$1,0)),0)))</f>
        <v>378</v>
      </c>
      <c r="O25" cm="1">
        <f t="array" ref="O25">SUMPRODUCT((IFERROR(1*INDEX('Durée formacode'!$C$2:$AE$44,0,MATCH($A25,'Durée formacode'!$C$1:$AE$1,0)),0)&gt;
 IFERROR(1*INDEX('Durée formacode'!$C$2:$AE$44,0,MATCH(O$1,'Durée formacode'!$C$1:$AE$1,0)),0))*(IFERROR(1*INDEX('Durée formacode'!$C$2:$AE$44,0,MATCH($A25,'Durée formacode'!$C$1:$AE$1,0)),0)-IFERROR(1*INDEX('Durée formacode'!$C$2:$AE$44,0,MATCH(O$1,'Durée formacode'!$C$1:$AE$1,0)),0)))</f>
        <v>722</v>
      </c>
      <c r="P25" cm="1">
        <f t="array" ref="P25">SUMPRODUCT((IFERROR(1*INDEX('Durée formacode'!$C$2:$AE$44,0,MATCH($A25,'Durée formacode'!$C$1:$AE$1,0)),0)&gt;
 IFERROR(1*INDEX('Durée formacode'!$C$2:$AE$44,0,MATCH(P$1,'Durée formacode'!$C$1:$AE$1,0)),0))*(IFERROR(1*INDEX('Durée formacode'!$C$2:$AE$44,0,MATCH($A25,'Durée formacode'!$C$1:$AE$1,0)),0)-IFERROR(1*INDEX('Durée formacode'!$C$2:$AE$44,0,MATCH(P$1,'Durée formacode'!$C$1:$AE$1,0)),0)))</f>
        <v>547</v>
      </c>
      <c r="Q25" cm="1">
        <f t="array" ref="Q25">SUMPRODUCT((IFERROR(1*INDEX('Durée formacode'!$C$2:$AE$44,0,MATCH($A25,'Durée formacode'!$C$1:$AE$1,0)),0)&gt;
 IFERROR(1*INDEX('Durée formacode'!$C$2:$AE$44,0,MATCH(Q$1,'Durée formacode'!$C$1:$AE$1,0)),0))*(IFERROR(1*INDEX('Durée formacode'!$C$2:$AE$44,0,MATCH($A25,'Durée formacode'!$C$1:$AE$1,0)),0)-IFERROR(1*INDEX('Durée formacode'!$C$2:$AE$44,0,MATCH(Q$1,'Durée formacode'!$C$1:$AE$1,0)),0)))</f>
        <v>302</v>
      </c>
      <c r="R25" cm="1">
        <f t="array" ref="R25">SUMPRODUCT((IFERROR(1*INDEX('Durée formacode'!$C$2:$AE$44,0,MATCH($A25,'Durée formacode'!$C$1:$AE$1,0)),0)&gt;
 IFERROR(1*INDEX('Durée formacode'!$C$2:$AE$44,0,MATCH(R$1,'Durée formacode'!$C$1:$AE$1,0)),0))*(IFERROR(1*INDEX('Durée formacode'!$C$2:$AE$44,0,MATCH($A25,'Durée formacode'!$C$1:$AE$1,0)),0)-IFERROR(1*INDEX('Durée formacode'!$C$2:$AE$44,0,MATCH(R$1,'Durée formacode'!$C$1:$AE$1,0)),0)))</f>
        <v>868</v>
      </c>
      <c r="S25" cm="1">
        <f t="array" ref="S25">SUMPRODUCT((IFERROR(1*INDEX('Durée formacode'!$C$2:$AE$44,0,MATCH($A25,'Durée formacode'!$C$1:$AE$1,0)),0)&gt;
 IFERROR(1*INDEX('Durée formacode'!$C$2:$AE$44,0,MATCH(S$1,'Durée formacode'!$C$1:$AE$1,0)),0))*(IFERROR(1*INDEX('Durée formacode'!$C$2:$AE$44,0,MATCH($A25,'Durée formacode'!$C$1:$AE$1,0)),0)-IFERROR(1*INDEX('Durée formacode'!$C$2:$AE$44,0,MATCH(S$1,'Durée formacode'!$C$1:$AE$1,0)),0)))</f>
        <v>302</v>
      </c>
      <c r="T25" cm="1">
        <f t="array" ref="T25">SUMPRODUCT((IFERROR(1*INDEX('Durée formacode'!$C$2:$AE$44,0,MATCH($A25,'Durée formacode'!$C$1:$AE$1,0)),0)&gt;
 IFERROR(1*INDEX('Durée formacode'!$C$2:$AE$44,0,MATCH(T$1,'Durée formacode'!$C$1:$AE$1,0)),0))*(IFERROR(1*INDEX('Durée formacode'!$C$2:$AE$44,0,MATCH($A25,'Durée formacode'!$C$1:$AE$1,0)),0)-IFERROR(1*INDEX('Durée formacode'!$C$2:$AE$44,0,MATCH(T$1,'Durée formacode'!$C$1:$AE$1,0)),0)))</f>
        <v>302</v>
      </c>
      <c r="U25" cm="1">
        <f t="array" ref="U25">SUMPRODUCT((IFERROR(1*INDEX('Durée formacode'!$C$2:$AE$44,0,MATCH($A25,'Durée formacode'!$C$1:$AE$1,0)),0)&gt;
 IFERROR(1*INDEX('Durée formacode'!$C$2:$AE$44,0,MATCH(U$1,'Durée formacode'!$C$1:$AE$1,0)),0))*(IFERROR(1*INDEX('Durée formacode'!$C$2:$AE$44,0,MATCH($A25,'Durée formacode'!$C$1:$AE$1,0)),0)-IFERROR(1*INDEX('Durée formacode'!$C$2:$AE$44,0,MATCH(U$1,'Durée formacode'!$C$1:$AE$1,0)),0)))</f>
        <v>302</v>
      </c>
      <c r="V25" cm="1">
        <f t="array" ref="V25">SUMPRODUCT((IFERROR(1*INDEX('Durée formacode'!$C$2:$AE$44,0,MATCH($A25,'Durée formacode'!$C$1:$AE$1,0)),0)&gt;
 IFERROR(1*INDEX('Durée formacode'!$C$2:$AE$44,0,MATCH(V$1,'Durée formacode'!$C$1:$AE$1,0)),0))*(IFERROR(1*INDEX('Durée formacode'!$C$2:$AE$44,0,MATCH($A25,'Durée formacode'!$C$1:$AE$1,0)),0)-IFERROR(1*INDEX('Durée formacode'!$C$2:$AE$44,0,MATCH(V$1,'Durée formacode'!$C$1:$AE$1,0)),0)))</f>
        <v>302</v>
      </c>
      <c r="W25" cm="1">
        <f t="array" ref="W25">SUMPRODUCT((IFERROR(1*INDEX('Durée formacode'!$C$2:$AE$44,0,MATCH($A25,'Durée formacode'!$C$1:$AE$1,0)),0)&gt;
 IFERROR(1*INDEX('Durée formacode'!$C$2:$AE$44,0,MATCH(W$1,'Durée formacode'!$C$1:$AE$1,0)),0))*(IFERROR(1*INDEX('Durée formacode'!$C$2:$AE$44,0,MATCH($A25,'Durée formacode'!$C$1:$AE$1,0)),0)-IFERROR(1*INDEX('Durée formacode'!$C$2:$AE$44,0,MATCH(W$1,'Durée formacode'!$C$1:$AE$1,0)),0)))</f>
        <v>378</v>
      </c>
      <c r="X25" cm="1">
        <f t="array" ref="X25">SUMPRODUCT((IFERROR(1*INDEX('Durée formacode'!$C$2:$AE$44,0,MATCH($A25,'Durée formacode'!$C$1:$AE$1,0)),0)&gt;
 IFERROR(1*INDEX('Durée formacode'!$C$2:$AE$44,0,MATCH(X$1,'Durée formacode'!$C$1:$AE$1,0)),0))*(IFERROR(1*INDEX('Durée formacode'!$C$2:$AE$44,0,MATCH($A25,'Durée formacode'!$C$1:$AE$1,0)),0)-IFERROR(1*INDEX('Durée formacode'!$C$2:$AE$44,0,MATCH(X$1,'Durée formacode'!$C$1:$AE$1,0)),0)))</f>
        <v>623</v>
      </c>
      <c r="Y25" cm="1">
        <f t="array" ref="Y25">SUMPRODUCT((IFERROR(1*INDEX('Durée formacode'!$C$2:$AE$44,0,MATCH($A25,'Durée formacode'!$C$1:$AE$1,0)),0)&gt;
 IFERROR(1*INDEX('Durée formacode'!$C$2:$AE$44,0,MATCH(Y$1,'Durée formacode'!$C$1:$AE$1,0)),0))*(IFERROR(1*INDEX('Durée formacode'!$C$2:$AE$44,0,MATCH($A25,'Durée formacode'!$C$1:$AE$1,0)),0)-IFERROR(1*INDEX('Durée formacode'!$C$2:$AE$44,0,MATCH(Y$1,'Durée formacode'!$C$1:$AE$1,0)),0)))</f>
        <v>0</v>
      </c>
      <c r="Z25" cm="1">
        <f t="array" ref="Z25">SUMPRODUCT((IFERROR(1*INDEX('Durée formacode'!$C$2:$AE$44,0,MATCH($A25,'Durée formacode'!$C$1:$AE$1,0)),0)&gt;
 IFERROR(1*INDEX('Durée formacode'!$C$2:$AE$44,0,MATCH(Z$1,'Durée formacode'!$C$1:$AE$1,0)),0))*(IFERROR(1*INDEX('Durée formacode'!$C$2:$AE$44,0,MATCH($A25,'Durée formacode'!$C$1:$AE$1,0)),0)-IFERROR(1*INDEX('Durée formacode'!$C$2:$AE$44,0,MATCH(Z$1,'Durée formacode'!$C$1:$AE$1,0)),0)))</f>
        <v>302</v>
      </c>
      <c r="AA25" cm="1">
        <f t="array" ref="AA25">SUMPRODUCT((IFERROR(1*INDEX('Durée formacode'!$C$2:$AE$44,0,MATCH($A25,'Durée formacode'!$C$1:$AE$1,0)),0)&gt;
 IFERROR(1*INDEX('Durée formacode'!$C$2:$AE$44,0,MATCH(AA$1,'Durée formacode'!$C$1:$AE$1,0)),0))*(IFERROR(1*INDEX('Durée formacode'!$C$2:$AE$44,0,MATCH($A25,'Durée formacode'!$C$1:$AE$1,0)),0)-IFERROR(1*INDEX('Durée formacode'!$C$2:$AE$44,0,MATCH(AA$1,'Durée formacode'!$C$1:$AE$1,0)),0)))</f>
        <v>302</v>
      </c>
      <c r="AB25" cm="1">
        <f t="array" ref="AB25">SUMPRODUCT((IFERROR(1*INDEX('Durée formacode'!$C$2:$AE$44,0,MATCH($A25,'Durée formacode'!$C$1:$AE$1,0)),0)&gt;
 IFERROR(1*INDEX('Durée formacode'!$C$2:$AE$44,0,MATCH(AB$1,'Durée formacode'!$C$1:$AE$1,0)),0))*(IFERROR(1*INDEX('Durée formacode'!$C$2:$AE$44,0,MATCH($A25,'Durée formacode'!$C$1:$AE$1,0)),0)-IFERROR(1*INDEX('Durée formacode'!$C$2:$AE$44,0,MATCH(AB$1,'Durée formacode'!$C$1:$AE$1,0)),0)))</f>
        <v>547</v>
      </c>
      <c r="AC25" cm="1">
        <f t="array" ref="AC25">SUMPRODUCT((IFERROR(1*INDEX('Durée formacode'!$C$2:$AE$44,0,MATCH($A25,'Durée formacode'!$C$1:$AE$1,0)),0)&gt;
 IFERROR(1*INDEX('Durée formacode'!$C$2:$AE$44,0,MATCH(AC$1,'Durée formacode'!$C$1:$AE$1,0)),0))*(IFERROR(1*INDEX('Durée formacode'!$C$2:$AE$44,0,MATCH($A25,'Durée formacode'!$C$1:$AE$1,0)),0)-IFERROR(1*INDEX('Durée formacode'!$C$2:$AE$44,0,MATCH(AC$1,'Durée formacode'!$C$1:$AE$1,0)),0)))</f>
        <v>547</v>
      </c>
      <c r="AD25" cm="1">
        <f t="array" ref="AD25">SUMPRODUCT((IFERROR(1*INDEX('Durée formacode'!$C$2:$AE$44,0,MATCH($A25,'Durée formacode'!$C$1:$AE$1,0)),0)&gt;
 IFERROR(1*INDEX('Durée formacode'!$C$2:$AE$44,0,MATCH(AD$1,'Durée formacode'!$C$1:$AE$1,0)),0))*(IFERROR(1*INDEX('Durée formacode'!$C$2:$AE$44,0,MATCH($A25,'Durée formacode'!$C$1:$AE$1,0)),0)-IFERROR(1*INDEX('Durée formacode'!$C$2:$AE$44,0,MATCH(AD$1,'Durée formacode'!$C$1:$AE$1,0)),0)))</f>
        <v>547</v>
      </c>
    </row>
    <row r="26" spans="1:30">
      <c r="A26" s="55" t="str">
        <v>Fromager(ère) industriel(le)</v>
      </c>
      <c r="B26" cm="1">
        <f t="array" ref="B26">SUMPRODUCT((IFERROR(1*INDEX('Durée formacode'!$C$2:$AE$44,0,MATCH($A26,'Durée formacode'!$C$1:$AE$1,0)),0)&gt;
 IFERROR(1*INDEX('Durée formacode'!$C$2:$AE$44,0,MATCH(B$1,'Durée formacode'!$C$1:$AE$1,0)),0))*(IFERROR(1*INDEX('Durée formacode'!$C$2:$AE$44,0,MATCH($A26,'Durée formacode'!$C$1:$AE$1,0)),0)-IFERROR(1*INDEX('Durée formacode'!$C$2:$AE$44,0,MATCH(B$1,'Durée formacode'!$C$1:$AE$1,0)),0)))</f>
        <v>263</v>
      </c>
      <c r="C26" cm="1">
        <f t="array" ref="C26">SUMPRODUCT((IFERROR(1*INDEX('Durée formacode'!$C$2:$AE$44,0,MATCH($A26,'Durée formacode'!$C$1:$AE$1,0)),0)&gt;
 IFERROR(1*INDEX('Durée formacode'!$C$2:$AE$44,0,MATCH(C$1,'Durée formacode'!$C$1:$AE$1,0)),0))*(IFERROR(1*INDEX('Durée formacode'!$C$2:$AE$44,0,MATCH($A26,'Durée formacode'!$C$1:$AE$1,0)),0)-IFERROR(1*INDEX('Durée formacode'!$C$2:$AE$44,0,MATCH(C$1,'Durée formacode'!$C$1:$AE$1,0)),0)))</f>
        <v>263</v>
      </c>
      <c r="D26" cm="1">
        <f t="array" ref="D26">SUMPRODUCT((IFERROR(1*INDEX('Durée formacode'!$C$2:$AE$44,0,MATCH($A26,'Durée formacode'!$C$1:$AE$1,0)),0)&gt;
 IFERROR(1*INDEX('Durée formacode'!$C$2:$AE$44,0,MATCH(D$1,'Durée formacode'!$C$1:$AE$1,0)),0))*(IFERROR(1*INDEX('Durée formacode'!$C$2:$AE$44,0,MATCH($A26,'Durée formacode'!$C$1:$AE$1,0)),0)-IFERROR(1*INDEX('Durée formacode'!$C$2:$AE$44,0,MATCH(D$1,'Durée formacode'!$C$1:$AE$1,0)),0)))</f>
        <v>763</v>
      </c>
      <c r="E26" cm="1">
        <f t="array" ref="E26">SUMPRODUCT((IFERROR(1*INDEX('Durée formacode'!$C$2:$AE$44,0,MATCH($A26,'Durée formacode'!$C$1:$AE$1,0)),0)&gt;
 IFERROR(1*INDEX('Durée formacode'!$C$2:$AE$44,0,MATCH(E$1,'Durée formacode'!$C$1:$AE$1,0)),0))*(IFERROR(1*INDEX('Durée formacode'!$C$2:$AE$44,0,MATCH($A26,'Durée formacode'!$C$1:$AE$1,0)),0)-IFERROR(1*INDEX('Durée formacode'!$C$2:$AE$44,0,MATCH(E$1,'Durée formacode'!$C$1:$AE$1,0)),0)))</f>
        <v>664</v>
      </c>
      <c r="F26" cm="1">
        <f t="array" ref="F26">SUMPRODUCT((IFERROR(1*INDEX('Durée formacode'!$C$2:$AE$44,0,MATCH($A26,'Durée formacode'!$C$1:$AE$1,0)),0)&gt;
 IFERROR(1*INDEX('Durée formacode'!$C$2:$AE$44,0,MATCH(F$1,'Durée formacode'!$C$1:$AE$1,0)),0))*(IFERROR(1*INDEX('Durée formacode'!$C$2:$AE$44,0,MATCH($A26,'Durée formacode'!$C$1:$AE$1,0)),0)-IFERROR(1*INDEX('Durée formacode'!$C$2:$AE$44,0,MATCH(F$1,'Durée formacode'!$C$1:$AE$1,0)),0)))</f>
        <v>584</v>
      </c>
      <c r="G26" cm="1">
        <f t="array" ref="G26">SUMPRODUCT((IFERROR(1*INDEX('Durée formacode'!$C$2:$AE$44,0,MATCH($A26,'Durée formacode'!$C$1:$AE$1,0)),0)&gt;
 IFERROR(1*INDEX('Durée formacode'!$C$2:$AE$44,0,MATCH(G$1,'Durée formacode'!$C$1:$AE$1,0)),0))*(IFERROR(1*INDEX('Durée formacode'!$C$2:$AE$44,0,MATCH($A26,'Durée formacode'!$C$1:$AE$1,0)),0)-IFERROR(1*INDEX('Durée formacode'!$C$2:$AE$44,0,MATCH(G$1,'Durée formacode'!$C$1:$AE$1,0)),0)))</f>
        <v>584</v>
      </c>
      <c r="H26" cm="1">
        <f t="array" ref="H26">SUMPRODUCT((IFERROR(1*INDEX('Durée formacode'!$C$2:$AE$44,0,MATCH($A26,'Durée formacode'!$C$1:$AE$1,0)),0)&gt;
 IFERROR(1*INDEX('Durée formacode'!$C$2:$AE$44,0,MATCH(H$1,'Durée formacode'!$C$1:$AE$1,0)),0))*(IFERROR(1*INDEX('Durée formacode'!$C$2:$AE$44,0,MATCH($A26,'Durée formacode'!$C$1:$AE$1,0)),0)-IFERROR(1*INDEX('Durée formacode'!$C$2:$AE$44,0,MATCH(H$1,'Durée formacode'!$C$1:$AE$1,0)),0)))</f>
        <v>829</v>
      </c>
      <c r="I26" cm="1">
        <f t="array" ref="I26">SUMPRODUCT((IFERROR(1*INDEX('Durée formacode'!$C$2:$AE$44,0,MATCH($A26,'Durée formacode'!$C$1:$AE$1,0)),0)&gt;
 IFERROR(1*INDEX('Durée formacode'!$C$2:$AE$44,0,MATCH(I$1,'Durée formacode'!$C$1:$AE$1,0)),0))*(IFERROR(1*INDEX('Durée formacode'!$C$2:$AE$44,0,MATCH($A26,'Durée formacode'!$C$1:$AE$1,0)),0)-IFERROR(1*INDEX('Durée formacode'!$C$2:$AE$44,0,MATCH(I$1,'Durée formacode'!$C$1:$AE$1,0)),0)))</f>
        <v>763</v>
      </c>
      <c r="J26" cm="1">
        <f t="array" ref="J26">SUMPRODUCT((IFERROR(1*INDEX('Durée formacode'!$C$2:$AE$44,0,MATCH($A26,'Durée formacode'!$C$1:$AE$1,0)),0)&gt;
 IFERROR(1*INDEX('Durée formacode'!$C$2:$AE$44,0,MATCH(J$1,'Durée formacode'!$C$1:$AE$1,0)),0))*(IFERROR(1*INDEX('Durée formacode'!$C$2:$AE$44,0,MATCH($A26,'Durée formacode'!$C$1:$AE$1,0)),0)-IFERROR(1*INDEX('Durée formacode'!$C$2:$AE$44,0,MATCH(J$1,'Durée formacode'!$C$1:$AE$1,0)),0)))</f>
        <v>829</v>
      </c>
      <c r="K26" cm="1">
        <f t="array" ref="K26">SUMPRODUCT((IFERROR(1*INDEX('Durée formacode'!$C$2:$AE$44,0,MATCH($A26,'Durée formacode'!$C$1:$AE$1,0)),0)&gt;
 IFERROR(1*INDEX('Durée formacode'!$C$2:$AE$44,0,MATCH(K$1,'Durée formacode'!$C$1:$AE$1,0)),0))*(IFERROR(1*INDEX('Durée formacode'!$C$2:$AE$44,0,MATCH($A26,'Durée formacode'!$C$1:$AE$1,0)),0)-IFERROR(1*INDEX('Durée formacode'!$C$2:$AE$44,0,MATCH(K$1,'Durée formacode'!$C$1:$AE$1,0)),0)))</f>
        <v>664</v>
      </c>
      <c r="L26" cm="1">
        <f t="array" ref="L26">SUMPRODUCT((IFERROR(1*INDEX('Durée formacode'!$C$2:$AE$44,0,MATCH($A26,'Durée formacode'!$C$1:$AE$1,0)),0)&gt;
 IFERROR(1*INDEX('Durée formacode'!$C$2:$AE$44,0,MATCH(L$1,'Durée formacode'!$C$1:$AE$1,0)),0))*(IFERROR(1*INDEX('Durée formacode'!$C$2:$AE$44,0,MATCH($A26,'Durée formacode'!$C$1:$AE$1,0)),0)-IFERROR(1*INDEX('Durée formacode'!$C$2:$AE$44,0,MATCH(L$1,'Durée formacode'!$C$1:$AE$1,0)),0)))</f>
        <v>763</v>
      </c>
      <c r="M26" cm="1">
        <f t="array" ref="M26">SUMPRODUCT((IFERROR(1*INDEX('Durée formacode'!$C$2:$AE$44,0,MATCH($A26,'Durée formacode'!$C$1:$AE$1,0)),0)&gt;
 IFERROR(1*INDEX('Durée formacode'!$C$2:$AE$44,0,MATCH(M$1,'Durée formacode'!$C$1:$AE$1,0)),0))*(IFERROR(1*INDEX('Durée formacode'!$C$2:$AE$44,0,MATCH($A26,'Durée formacode'!$C$1:$AE$1,0)),0)-IFERROR(1*INDEX('Durée formacode'!$C$2:$AE$44,0,MATCH(M$1,'Durée formacode'!$C$1:$AE$1,0)),0)))</f>
        <v>339</v>
      </c>
      <c r="N26" cm="1">
        <f t="array" ref="N26">SUMPRODUCT((IFERROR(1*INDEX('Durée formacode'!$C$2:$AE$44,0,MATCH($A26,'Durée formacode'!$C$1:$AE$1,0)),0)&gt;
 IFERROR(1*INDEX('Durée formacode'!$C$2:$AE$44,0,MATCH(N$1,'Durée formacode'!$C$1:$AE$1,0)),0))*(IFERROR(1*INDEX('Durée formacode'!$C$2:$AE$44,0,MATCH($A26,'Durée formacode'!$C$1:$AE$1,0)),0)-IFERROR(1*INDEX('Durée formacode'!$C$2:$AE$44,0,MATCH(N$1,'Durée formacode'!$C$1:$AE$1,0)),0)))</f>
        <v>339</v>
      </c>
      <c r="O26" cm="1">
        <f t="array" ref="O26">SUMPRODUCT((IFERROR(1*INDEX('Durée formacode'!$C$2:$AE$44,0,MATCH($A26,'Durée formacode'!$C$1:$AE$1,0)),0)&gt;
 IFERROR(1*INDEX('Durée formacode'!$C$2:$AE$44,0,MATCH(O$1,'Durée formacode'!$C$1:$AE$1,0)),0))*(IFERROR(1*INDEX('Durée formacode'!$C$2:$AE$44,0,MATCH($A26,'Durée formacode'!$C$1:$AE$1,0)),0)-IFERROR(1*INDEX('Durée formacode'!$C$2:$AE$44,0,MATCH(O$1,'Durée formacode'!$C$1:$AE$1,0)),0)))</f>
        <v>683</v>
      </c>
      <c r="P26" cm="1">
        <f t="array" ref="P26">SUMPRODUCT((IFERROR(1*INDEX('Durée formacode'!$C$2:$AE$44,0,MATCH($A26,'Durée formacode'!$C$1:$AE$1,0)),0)&gt;
 IFERROR(1*INDEX('Durée formacode'!$C$2:$AE$44,0,MATCH(P$1,'Durée formacode'!$C$1:$AE$1,0)),0))*(IFERROR(1*INDEX('Durée formacode'!$C$2:$AE$44,0,MATCH($A26,'Durée formacode'!$C$1:$AE$1,0)),0)-IFERROR(1*INDEX('Durée formacode'!$C$2:$AE$44,0,MATCH(P$1,'Durée formacode'!$C$1:$AE$1,0)),0)))</f>
        <v>508</v>
      </c>
      <c r="Q26" cm="1">
        <f t="array" ref="Q26">SUMPRODUCT((IFERROR(1*INDEX('Durée formacode'!$C$2:$AE$44,0,MATCH($A26,'Durée formacode'!$C$1:$AE$1,0)),0)&gt;
 IFERROR(1*INDEX('Durée formacode'!$C$2:$AE$44,0,MATCH(Q$1,'Durée formacode'!$C$1:$AE$1,0)),0))*(IFERROR(1*INDEX('Durée formacode'!$C$2:$AE$44,0,MATCH($A26,'Durée formacode'!$C$1:$AE$1,0)),0)-IFERROR(1*INDEX('Durée formacode'!$C$2:$AE$44,0,MATCH(Q$1,'Durée formacode'!$C$1:$AE$1,0)),0)))</f>
        <v>263</v>
      </c>
      <c r="R26" cm="1">
        <f t="array" ref="R26">SUMPRODUCT((IFERROR(1*INDEX('Durée formacode'!$C$2:$AE$44,0,MATCH($A26,'Durée formacode'!$C$1:$AE$1,0)),0)&gt;
 IFERROR(1*INDEX('Durée formacode'!$C$2:$AE$44,0,MATCH(R$1,'Durée formacode'!$C$1:$AE$1,0)),0))*(IFERROR(1*INDEX('Durée formacode'!$C$2:$AE$44,0,MATCH($A26,'Durée formacode'!$C$1:$AE$1,0)),0)-IFERROR(1*INDEX('Durée formacode'!$C$2:$AE$44,0,MATCH(R$1,'Durée formacode'!$C$1:$AE$1,0)),0)))</f>
        <v>829</v>
      </c>
      <c r="S26" cm="1">
        <f t="array" ref="S26">SUMPRODUCT((IFERROR(1*INDEX('Durée formacode'!$C$2:$AE$44,0,MATCH($A26,'Durée formacode'!$C$1:$AE$1,0)),0)&gt;
 IFERROR(1*INDEX('Durée formacode'!$C$2:$AE$44,0,MATCH(S$1,'Durée formacode'!$C$1:$AE$1,0)),0))*(IFERROR(1*INDEX('Durée formacode'!$C$2:$AE$44,0,MATCH($A26,'Durée formacode'!$C$1:$AE$1,0)),0)-IFERROR(1*INDEX('Durée formacode'!$C$2:$AE$44,0,MATCH(S$1,'Durée formacode'!$C$1:$AE$1,0)),0)))</f>
        <v>263</v>
      </c>
      <c r="T26" cm="1">
        <f t="array" ref="T26">SUMPRODUCT((IFERROR(1*INDEX('Durée formacode'!$C$2:$AE$44,0,MATCH($A26,'Durée formacode'!$C$1:$AE$1,0)),0)&gt;
 IFERROR(1*INDEX('Durée formacode'!$C$2:$AE$44,0,MATCH(T$1,'Durée formacode'!$C$1:$AE$1,0)),0))*(IFERROR(1*INDEX('Durée formacode'!$C$2:$AE$44,0,MATCH($A26,'Durée formacode'!$C$1:$AE$1,0)),0)-IFERROR(1*INDEX('Durée formacode'!$C$2:$AE$44,0,MATCH(T$1,'Durée formacode'!$C$1:$AE$1,0)),0)))</f>
        <v>263</v>
      </c>
      <c r="U26" cm="1">
        <f t="array" ref="U26">SUMPRODUCT((IFERROR(1*INDEX('Durée formacode'!$C$2:$AE$44,0,MATCH($A26,'Durée formacode'!$C$1:$AE$1,0)),0)&gt;
 IFERROR(1*INDEX('Durée formacode'!$C$2:$AE$44,0,MATCH(U$1,'Durée formacode'!$C$1:$AE$1,0)),0))*(IFERROR(1*INDEX('Durée formacode'!$C$2:$AE$44,0,MATCH($A26,'Durée formacode'!$C$1:$AE$1,0)),0)-IFERROR(1*INDEX('Durée formacode'!$C$2:$AE$44,0,MATCH(U$1,'Durée formacode'!$C$1:$AE$1,0)),0)))</f>
        <v>263</v>
      </c>
      <c r="V26" cm="1">
        <f t="array" ref="V26">SUMPRODUCT((IFERROR(1*INDEX('Durée formacode'!$C$2:$AE$44,0,MATCH($A26,'Durée formacode'!$C$1:$AE$1,0)),0)&gt;
 IFERROR(1*INDEX('Durée formacode'!$C$2:$AE$44,0,MATCH(V$1,'Durée formacode'!$C$1:$AE$1,0)),0))*(IFERROR(1*INDEX('Durée formacode'!$C$2:$AE$44,0,MATCH($A26,'Durée formacode'!$C$1:$AE$1,0)),0)-IFERROR(1*INDEX('Durée formacode'!$C$2:$AE$44,0,MATCH(V$1,'Durée formacode'!$C$1:$AE$1,0)),0)))</f>
        <v>263</v>
      </c>
      <c r="W26" cm="1">
        <f t="array" ref="W26">SUMPRODUCT((IFERROR(1*INDEX('Durée formacode'!$C$2:$AE$44,0,MATCH($A26,'Durée formacode'!$C$1:$AE$1,0)),0)&gt;
 IFERROR(1*INDEX('Durée formacode'!$C$2:$AE$44,0,MATCH(W$1,'Durée formacode'!$C$1:$AE$1,0)),0))*(IFERROR(1*INDEX('Durée formacode'!$C$2:$AE$44,0,MATCH($A26,'Durée formacode'!$C$1:$AE$1,0)),0)-IFERROR(1*INDEX('Durée formacode'!$C$2:$AE$44,0,MATCH(W$1,'Durée formacode'!$C$1:$AE$1,0)),0)))</f>
        <v>339</v>
      </c>
      <c r="X26" cm="1">
        <f t="array" ref="X26">SUMPRODUCT((IFERROR(1*INDEX('Durée formacode'!$C$2:$AE$44,0,MATCH($A26,'Durée formacode'!$C$1:$AE$1,0)),0)&gt;
 IFERROR(1*INDEX('Durée formacode'!$C$2:$AE$44,0,MATCH(X$1,'Durée formacode'!$C$1:$AE$1,0)),0))*(IFERROR(1*INDEX('Durée formacode'!$C$2:$AE$44,0,MATCH($A26,'Durée formacode'!$C$1:$AE$1,0)),0)-IFERROR(1*INDEX('Durée formacode'!$C$2:$AE$44,0,MATCH(X$1,'Durée formacode'!$C$1:$AE$1,0)),0)))</f>
        <v>584</v>
      </c>
      <c r="Y26" cm="1">
        <f t="array" ref="Y26">SUMPRODUCT((IFERROR(1*INDEX('Durée formacode'!$C$2:$AE$44,0,MATCH($A26,'Durée formacode'!$C$1:$AE$1,0)),0)&gt;
 IFERROR(1*INDEX('Durée formacode'!$C$2:$AE$44,0,MATCH(Y$1,'Durée formacode'!$C$1:$AE$1,0)),0))*(IFERROR(1*INDEX('Durée formacode'!$C$2:$AE$44,0,MATCH($A26,'Durée formacode'!$C$1:$AE$1,0)),0)-IFERROR(1*INDEX('Durée formacode'!$C$2:$AE$44,0,MATCH(Y$1,'Durée formacode'!$C$1:$AE$1,0)),0)))</f>
        <v>263</v>
      </c>
      <c r="Z26" cm="1">
        <f t="array" ref="Z26">SUMPRODUCT((IFERROR(1*INDEX('Durée formacode'!$C$2:$AE$44,0,MATCH($A26,'Durée formacode'!$C$1:$AE$1,0)),0)&gt;
 IFERROR(1*INDEX('Durée formacode'!$C$2:$AE$44,0,MATCH(Z$1,'Durée formacode'!$C$1:$AE$1,0)),0))*(IFERROR(1*INDEX('Durée formacode'!$C$2:$AE$44,0,MATCH($A26,'Durée formacode'!$C$1:$AE$1,0)),0)-IFERROR(1*INDEX('Durée formacode'!$C$2:$AE$44,0,MATCH(Z$1,'Durée formacode'!$C$1:$AE$1,0)),0)))</f>
        <v>0</v>
      </c>
      <c r="AA26" cm="1">
        <f t="array" ref="AA26">SUMPRODUCT((IFERROR(1*INDEX('Durée formacode'!$C$2:$AE$44,0,MATCH($A26,'Durée formacode'!$C$1:$AE$1,0)),0)&gt;
 IFERROR(1*INDEX('Durée formacode'!$C$2:$AE$44,0,MATCH(AA$1,'Durée formacode'!$C$1:$AE$1,0)),0))*(IFERROR(1*INDEX('Durée formacode'!$C$2:$AE$44,0,MATCH($A26,'Durée formacode'!$C$1:$AE$1,0)),0)-IFERROR(1*INDEX('Durée formacode'!$C$2:$AE$44,0,MATCH(AA$1,'Durée formacode'!$C$1:$AE$1,0)),0)))</f>
        <v>263</v>
      </c>
      <c r="AB26" cm="1">
        <f t="array" ref="AB26">SUMPRODUCT((IFERROR(1*INDEX('Durée formacode'!$C$2:$AE$44,0,MATCH($A26,'Durée formacode'!$C$1:$AE$1,0)),0)&gt;
 IFERROR(1*INDEX('Durée formacode'!$C$2:$AE$44,0,MATCH(AB$1,'Durée formacode'!$C$1:$AE$1,0)),0))*(IFERROR(1*INDEX('Durée formacode'!$C$2:$AE$44,0,MATCH($A26,'Durée formacode'!$C$1:$AE$1,0)),0)-IFERROR(1*INDEX('Durée formacode'!$C$2:$AE$44,0,MATCH(AB$1,'Durée formacode'!$C$1:$AE$1,0)),0)))</f>
        <v>508</v>
      </c>
      <c r="AC26" cm="1">
        <f t="array" ref="AC26">SUMPRODUCT((IFERROR(1*INDEX('Durée formacode'!$C$2:$AE$44,0,MATCH($A26,'Durée formacode'!$C$1:$AE$1,0)),0)&gt;
 IFERROR(1*INDEX('Durée formacode'!$C$2:$AE$44,0,MATCH(AC$1,'Durée formacode'!$C$1:$AE$1,0)),0))*(IFERROR(1*INDEX('Durée formacode'!$C$2:$AE$44,0,MATCH($A26,'Durée formacode'!$C$1:$AE$1,0)),0)-IFERROR(1*INDEX('Durée formacode'!$C$2:$AE$44,0,MATCH(AC$1,'Durée formacode'!$C$1:$AE$1,0)),0)))</f>
        <v>508</v>
      </c>
      <c r="AD26" cm="1">
        <f t="array" ref="AD26">SUMPRODUCT((IFERROR(1*INDEX('Durée formacode'!$C$2:$AE$44,0,MATCH($A26,'Durée formacode'!$C$1:$AE$1,0)),0)&gt;
 IFERROR(1*INDEX('Durée formacode'!$C$2:$AE$44,0,MATCH(AD$1,'Durée formacode'!$C$1:$AE$1,0)),0))*(IFERROR(1*INDEX('Durée formacode'!$C$2:$AE$44,0,MATCH($A26,'Durée formacode'!$C$1:$AE$1,0)),0)-IFERROR(1*INDEX('Durée formacode'!$C$2:$AE$44,0,MATCH(AD$1,'Durée formacode'!$C$1:$AE$1,0)),0)))</f>
        <v>508</v>
      </c>
    </row>
    <row r="27" spans="1:30">
      <c r="A27" s="55" t="str">
        <v>Opérateur(trice) de préparation de poissons et de produits de la mer</v>
      </c>
      <c r="B27" cm="1">
        <f t="array" ref="B27">SUMPRODUCT((IFERROR(1*INDEX('Durée formacode'!$C$2:$AE$44,0,MATCH($A27,'Durée formacode'!$C$1:$AE$1,0)),0)&gt;
 IFERROR(1*INDEX('Durée formacode'!$C$2:$AE$44,0,MATCH(B$1,'Durée formacode'!$C$1:$AE$1,0)),0))*(IFERROR(1*INDEX('Durée formacode'!$C$2:$AE$44,0,MATCH($A27,'Durée formacode'!$C$1:$AE$1,0)),0)-IFERROR(1*INDEX('Durée formacode'!$C$2:$AE$44,0,MATCH(B$1,'Durée formacode'!$C$1:$AE$1,0)),0)))</f>
        <v>290</v>
      </c>
      <c r="C27" cm="1">
        <f t="array" ref="C27">SUMPRODUCT((IFERROR(1*INDEX('Durée formacode'!$C$2:$AE$44,0,MATCH($A27,'Durée formacode'!$C$1:$AE$1,0)),0)&gt;
 IFERROR(1*INDEX('Durée formacode'!$C$2:$AE$44,0,MATCH(C$1,'Durée formacode'!$C$1:$AE$1,0)),0))*(IFERROR(1*INDEX('Durée formacode'!$C$2:$AE$44,0,MATCH($A27,'Durée formacode'!$C$1:$AE$1,0)),0)-IFERROR(1*INDEX('Durée formacode'!$C$2:$AE$44,0,MATCH(C$1,'Durée formacode'!$C$1:$AE$1,0)),0)))</f>
        <v>290</v>
      </c>
      <c r="D27" cm="1">
        <f t="array" ref="D27">SUMPRODUCT((IFERROR(1*INDEX('Durée formacode'!$C$2:$AE$44,0,MATCH($A27,'Durée formacode'!$C$1:$AE$1,0)),0)&gt;
 IFERROR(1*INDEX('Durée formacode'!$C$2:$AE$44,0,MATCH(D$1,'Durée formacode'!$C$1:$AE$1,0)),0))*(IFERROR(1*INDEX('Durée formacode'!$C$2:$AE$44,0,MATCH($A27,'Durée formacode'!$C$1:$AE$1,0)),0)-IFERROR(1*INDEX('Durée formacode'!$C$2:$AE$44,0,MATCH(D$1,'Durée formacode'!$C$1:$AE$1,0)),0)))</f>
        <v>790</v>
      </c>
      <c r="E27" cm="1">
        <f t="array" ref="E27">SUMPRODUCT((IFERROR(1*INDEX('Durée formacode'!$C$2:$AE$44,0,MATCH($A27,'Durée formacode'!$C$1:$AE$1,0)),0)&gt;
 IFERROR(1*INDEX('Durée formacode'!$C$2:$AE$44,0,MATCH(E$1,'Durée formacode'!$C$1:$AE$1,0)),0))*(IFERROR(1*INDEX('Durée formacode'!$C$2:$AE$44,0,MATCH($A27,'Durée formacode'!$C$1:$AE$1,0)),0)-IFERROR(1*INDEX('Durée formacode'!$C$2:$AE$44,0,MATCH(E$1,'Durée formacode'!$C$1:$AE$1,0)),0)))</f>
        <v>691</v>
      </c>
      <c r="F27" cm="1">
        <f t="array" ref="F27">SUMPRODUCT((IFERROR(1*INDEX('Durée formacode'!$C$2:$AE$44,0,MATCH($A27,'Durée formacode'!$C$1:$AE$1,0)),0)&gt;
 IFERROR(1*INDEX('Durée formacode'!$C$2:$AE$44,0,MATCH(F$1,'Durée formacode'!$C$1:$AE$1,0)),0))*(IFERROR(1*INDEX('Durée formacode'!$C$2:$AE$44,0,MATCH($A27,'Durée formacode'!$C$1:$AE$1,0)),0)-IFERROR(1*INDEX('Durée formacode'!$C$2:$AE$44,0,MATCH(F$1,'Durée formacode'!$C$1:$AE$1,0)),0)))</f>
        <v>611</v>
      </c>
      <c r="G27" cm="1">
        <f t="array" ref="G27">SUMPRODUCT((IFERROR(1*INDEX('Durée formacode'!$C$2:$AE$44,0,MATCH($A27,'Durée formacode'!$C$1:$AE$1,0)),0)&gt;
 IFERROR(1*INDEX('Durée formacode'!$C$2:$AE$44,0,MATCH(G$1,'Durée formacode'!$C$1:$AE$1,0)),0))*(IFERROR(1*INDEX('Durée formacode'!$C$2:$AE$44,0,MATCH($A27,'Durée formacode'!$C$1:$AE$1,0)),0)-IFERROR(1*INDEX('Durée formacode'!$C$2:$AE$44,0,MATCH(G$1,'Durée formacode'!$C$1:$AE$1,0)),0)))</f>
        <v>611</v>
      </c>
      <c r="H27" cm="1">
        <f t="array" ref="H27">SUMPRODUCT((IFERROR(1*INDEX('Durée formacode'!$C$2:$AE$44,0,MATCH($A27,'Durée formacode'!$C$1:$AE$1,0)),0)&gt;
 IFERROR(1*INDEX('Durée formacode'!$C$2:$AE$44,0,MATCH(H$1,'Durée formacode'!$C$1:$AE$1,0)),0))*(IFERROR(1*INDEX('Durée formacode'!$C$2:$AE$44,0,MATCH($A27,'Durée formacode'!$C$1:$AE$1,0)),0)-IFERROR(1*INDEX('Durée formacode'!$C$2:$AE$44,0,MATCH(H$1,'Durée formacode'!$C$1:$AE$1,0)),0)))</f>
        <v>856</v>
      </c>
      <c r="I27" cm="1">
        <f t="array" ref="I27">SUMPRODUCT((IFERROR(1*INDEX('Durée formacode'!$C$2:$AE$44,0,MATCH($A27,'Durée formacode'!$C$1:$AE$1,0)),0)&gt;
 IFERROR(1*INDEX('Durée formacode'!$C$2:$AE$44,0,MATCH(I$1,'Durée formacode'!$C$1:$AE$1,0)),0))*(IFERROR(1*INDEX('Durée formacode'!$C$2:$AE$44,0,MATCH($A27,'Durée formacode'!$C$1:$AE$1,0)),0)-IFERROR(1*INDEX('Durée formacode'!$C$2:$AE$44,0,MATCH(I$1,'Durée formacode'!$C$1:$AE$1,0)),0)))</f>
        <v>790</v>
      </c>
      <c r="J27" cm="1">
        <f t="array" ref="J27">SUMPRODUCT((IFERROR(1*INDEX('Durée formacode'!$C$2:$AE$44,0,MATCH($A27,'Durée formacode'!$C$1:$AE$1,0)),0)&gt;
 IFERROR(1*INDEX('Durée formacode'!$C$2:$AE$44,0,MATCH(J$1,'Durée formacode'!$C$1:$AE$1,0)),0))*(IFERROR(1*INDEX('Durée formacode'!$C$2:$AE$44,0,MATCH($A27,'Durée formacode'!$C$1:$AE$1,0)),0)-IFERROR(1*INDEX('Durée formacode'!$C$2:$AE$44,0,MATCH(J$1,'Durée formacode'!$C$1:$AE$1,0)),0)))</f>
        <v>856</v>
      </c>
      <c r="K27" cm="1">
        <f t="array" ref="K27">SUMPRODUCT((IFERROR(1*INDEX('Durée formacode'!$C$2:$AE$44,0,MATCH($A27,'Durée formacode'!$C$1:$AE$1,0)),0)&gt;
 IFERROR(1*INDEX('Durée formacode'!$C$2:$AE$44,0,MATCH(K$1,'Durée formacode'!$C$1:$AE$1,0)),0))*(IFERROR(1*INDEX('Durée formacode'!$C$2:$AE$44,0,MATCH($A27,'Durée formacode'!$C$1:$AE$1,0)),0)-IFERROR(1*INDEX('Durée formacode'!$C$2:$AE$44,0,MATCH(K$1,'Durée formacode'!$C$1:$AE$1,0)),0)))</f>
        <v>691</v>
      </c>
      <c r="L27" cm="1">
        <f t="array" ref="L27">SUMPRODUCT((IFERROR(1*INDEX('Durée formacode'!$C$2:$AE$44,0,MATCH($A27,'Durée formacode'!$C$1:$AE$1,0)),0)&gt;
 IFERROR(1*INDEX('Durée formacode'!$C$2:$AE$44,0,MATCH(L$1,'Durée formacode'!$C$1:$AE$1,0)),0))*(IFERROR(1*INDEX('Durée formacode'!$C$2:$AE$44,0,MATCH($A27,'Durée formacode'!$C$1:$AE$1,0)),0)-IFERROR(1*INDEX('Durée formacode'!$C$2:$AE$44,0,MATCH(L$1,'Durée formacode'!$C$1:$AE$1,0)),0)))</f>
        <v>790</v>
      </c>
      <c r="M27" cm="1">
        <f t="array" ref="M27">SUMPRODUCT((IFERROR(1*INDEX('Durée formacode'!$C$2:$AE$44,0,MATCH($A27,'Durée formacode'!$C$1:$AE$1,0)),0)&gt;
 IFERROR(1*INDEX('Durée formacode'!$C$2:$AE$44,0,MATCH(M$1,'Durée formacode'!$C$1:$AE$1,0)),0))*(IFERROR(1*INDEX('Durée formacode'!$C$2:$AE$44,0,MATCH($A27,'Durée formacode'!$C$1:$AE$1,0)),0)-IFERROR(1*INDEX('Durée formacode'!$C$2:$AE$44,0,MATCH(M$1,'Durée formacode'!$C$1:$AE$1,0)),0)))</f>
        <v>366</v>
      </c>
      <c r="N27" cm="1">
        <f t="array" ref="N27">SUMPRODUCT((IFERROR(1*INDEX('Durée formacode'!$C$2:$AE$44,0,MATCH($A27,'Durée formacode'!$C$1:$AE$1,0)),0)&gt;
 IFERROR(1*INDEX('Durée formacode'!$C$2:$AE$44,0,MATCH(N$1,'Durée formacode'!$C$1:$AE$1,0)),0))*(IFERROR(1*INDEX('Durée formacode'!$C$2:$AE$44,0,MATCH($A27,'Durée formacode'!$C$1:$AE$1,0)),0)-IFERROR(1*INDEX('Durée formacode'!$C$2:$AE$44,0,MATCH(N$1,'Durée formacode'!$C$1:$AE$1,0)),0)))</f>
        <v>366</v>
      </c>
      <c r="O27" cm="1">
        <f t="array" ref="O27">SUMPRODUCT((IFERROR(1*INDEX('Durée formacode'!$C$2:$AE$44,0,MATCH($A27,'Durée formacode'!$C$1:$AE$1,0)),0)&gt;
 IFERROR(1*INDEX('Durée formacode'!$C$2:$AE$44,0,MATCH(O$1,'Durée formacode'!$C$1:$AE$1,0)),0))*(IFERROR(1*INDEX('Durée formacode'!$C$2:$AE$44,0,MATCH($A27,'Durée formacode'!$C$1:$AE$1,0)),0)-IFERROR(1*INDEX('Durée formacode'!$C$2:$AE$44,0,MATCH(O$1,'Durée formacode'!$C$1:$AE$1,0)),0)))</f>
        <v>710</v>
      </c>
      <c r="P27" cm="1">
        <f t="array" ref="P27">SUMPRODUCT((IFERROR(1*INDEX('Durée formacode'!$C$2:$AE$44,0,MATCH($A27,'Durée formacode'!$C$1:$AE$1,0)),0)&gt;
 IFERROR(1*INDEX('Durée formacode'!$C$2:$AE$44,0,MATCH(P$1,'Durée formacode'!$C$1:$AE$1,0)),0))*(IFERROR(1*INDEX('Durée formacode'!$C$2:$AE$44,0,MATCH($A27,'Durée formacode'!$C$1:$AE$1,0)),0)-IFERROR(1*INDEX('Durée formacode'!$C$2:$AE$44,0,MATCH(P$1,'Durée formacode'!$C$1:$AE$1,0)),0)))</f>
        <v>535</v>
      </c>
      <c r="Q27" cm="1">
        <f t="array" ref="Q27">SUMPRODUCT((IFERROR(1*INDEX('Durée formacode'!$C$2:$AE$44,0,MATCH($A27,'Durée formacode'!$C$1:$AE$1,0)),0)&gt;
 IFERROR(1*INDEX('Durée formacode'!$C$2:$AE$44,0,MATCH(Q$1,'Durée formacode'!$C$1:$AE$1,0)),0))*(IFERROR(1*INDEX('Durée formacode'!$C$2:$AE$44,0,MATCH($A27,'Durée formacode'!$C$1:$AE$1,0)),0)-IFERROR(1*INDEX('Durée formacode'!$C$2:$AE$44,0,MATCH(Q$1,'Durée formacode'!$C$1:$AE$1,0)),0)))</f>
        <v>290</v>
      </c>
      <c r="R27" cm="1">
        <f t="array" ref="R27">SUMPRODUCT((IFERROR(1*INDEX('Durée formacode'!$C$2:$AE$44,0,MATCH($A27,'Durée formacode'!$C$1:$AE$1,0)),0)&gt;
 IFERROR(1*INDEX('Durée formacode'!$C$2:$AE$44,0,MATCH(R$1,'Durée formacode'!$C$1:$AE$1,0)),0))*(IFERROR(1*INDEX('Durée formacode'!$C$2:$AE$44,0,MATCH($A27,'Durée formacode'!$C$1:$AE$1,0)),0)-IFERROR(1*INDEX('Durée formacode'!$C$2:$AE$44,0,MATCH(R$1,'Durée formacode'!$C$1:$AE$1,0)),0)))</f>
        <v>856</v>
      </c>
      <c r="S27" cm="1">
        <f t="array" ref="S27">SUMPRODUCT((IFERROR(1*INDEX('Durée formacode'!$C$2:$AE$44,0,MATCH($A27,'Durée formacode'!$C$1:$AE$1,0)),0)&gt;
 IFERROR(1*INDEX('Durée formacode'!$C$2:$AE$44,0,MATCH(S$1,'Durée formacode'!$C$1:$AE$1,0)),0))*(IFERROR(1*INDEX('Durée formacode'!$C$2:$AE$44,0,MATCH($A27,'Durée formacode'!$C$1:$AE$1,0)),0)-IFERROR(1*INDEX('Durée formacode'!$C$2:$AE$44,0,MATCH(S$1,'Durée formacode'!$C$1:$AE$1,0)),0)))</f>
        <v>290</v>
      </c>
      <c r="T27" cm="1">
        <f t="array" ref="T27">SUMPRODUCT((IFERROR(1*INDEX('Durée formacode'!$C$2:$AE$44,0,MATCH($A27,'Durée formacode'!$C$1:$AE$1,0)),0)&gt;
 IFERROR(1*INDEX('Durée formacode'!$C$2:$AE$44,0,MATCH(T$1,'Durée formacode'!$C$1:$AE$1,0)),0))*(IFERROR(1*INDEX('Durée formacode'!$C$2:$AE$44,0,MATCH($A27,'Durée formacode'!$C$1:$AE$1,0)),0)-IFERROR(1*INDEX('Durée formacode'!$C$2:$AE$44,0,MATCH(T$1,'Durée formacode'!$C$1:$AE$1,0)),0)))</f>
        <v>290</v>
      </c>
      <c r="U27" cm="1">
        <f t="array" ref="U27">SUMPRODUCT((IFERROR(1*INDEX('Durée formacode'!$C$2:$AE$44,0,MATCH($A27,'Durée formacode'!$C$1:$AE$1,0)),0)&gt;
 IFERROR(1*INDEX('Durée formacode'!$C$2:$AE$44,0,MATCH(U$1,'Durée formacode'!$C$1:$AE$1,0)),0))*(IFERROR(1*INDEX('Durée formacode'!$C$2:$AE$44,0,MATCH($A27,'Durée formacode'!$C$1:$AE$1,0)),0)-IFERROR(1*INDEX('Durée formacode'!$C$2:$AE$44,0,MATCH(U$1,'Durée formacode'!$C$1:$AE$1,0)),0)))</f>
        <v>290</v>
      </c>
      <c r="V27" cm="1">
        <f t="array" ref="V27">SUMPRODUCT((IFERROR(1*INDEX('Durée formacode'!$C$2:$AE$44,0,MATCH($A27,'Durée formacode'!$C$1:$AE$1,0)),0)&gt;
 IFERROR(1*INDEX('Durée formacode'!$C$2:$AE$44,0,MATCH(V$1,'Durée formacode'!$C$1:$AE$1,0)),0))*(IFERROR(1*INDEX('Durée formacode'!$C$2:$AE$44,0,MATCH($A27,'Durée formacode'!$C$1:$AE$1,0)),0)-IFERROR(1*INDEX('Durée formacode'!$C$2:$AE$44,0,MATCH(V$1,'Durée formacode'!$C$1:$AE$1,0)),0)))</f>
        <v>290</v>
      </c>
      <c r="W27" cm="1">
        <f t="array" ref="W27">SUMPRODUCT((IFERROR(1*INDEX('Durée formacode'!$C$2:$AE$44,0,MATCH($A27,'Durée formacode'!$C$1:$AE$1,0)),0)&gt;
 IFERROR(1*INDEX('Durée formacode'!$C$2:$AE$44,0,MATCH(W$1,'Durée formacode'!$C$1:$AE$1,0)),0))*(IFERROR(1*INDEX('Durée formacode'!$C$2:$AE$44,0,MATCH($A27,'Durée formacode'!$C$1:$AE$1,0)),0)-IFERROR(1*INDEX('Durée formacode'!$C$2:$AE$44,0,MATCH(W$1,'Durée formacode'!$C$1:$AE$1,0)),0)))</f>
        <v>366</v>
      </c>
      <c r="X27" cm="1">
        <f t="array" ref="X27">SUMPRODUCT((IFERROR(1*INDEX('Durée formacode'!$C$2:$AE$44,0,MATCH($A27,'Durée formacode'!$C$1:$AE$1,0)),0)&gt;
 IFERROR(1*INDEX('Durée formacode'!$C$2:$AE$44,0,MATCH(X$1,'Durée formacode'!$C$1:$AE$1,0)),0))*(IFERROR(1*INDEX('Durée formacode'!$C$2:$AE$44,0,MATCH($A27,'Durée formacode'!$C$1:$AE$1,0)),0)-IFERROR(1*INDEX('Durée formacode'!$C$2:$AE$44,0,MATCH(X$1,'Durée formacode'!$C$1:$AE$1,0)),0)))</f>
        <v>611</v>
      </c>
      <c r="Y27" cm="1">
        <f t="array" ref="Y27">SUMPRODUCT((IFERROR(1*INDEX('Durée formacode'!$C$2:$AE$44,0,MATCH($A27,'Durée formacode'!$C$1:$AE$1,0)),0)&gt;
 IFERROR(1*INDEX('Durée formacode'!$C$2:$AE$44,0,MATCH(Y$1,'Durée formacode'!$C$1:$AE$1,0)),0))*(IFERROR(1*INDEX('Durée formacode'!$C$2:$AE$44,0,MATCH($A27,'Durée formacode'!$C$1:$AE$1,0)),0)-IFERROR(1*INDEX('Durée formacode'!$C$2:$AE$44,0,MATCH(Y$1,'Durée formacode'!$C$1:$AE$1,0)),0)))</f>
        <v>290</v>
      </c>
      <c r="Z27" cm="1">
        <f t="array" ref="Z27">SUMPRODUCT((IFERROR(1*INDEX('Durée formacode'!$C$2:$AE$44,0,MATCH($A27,'Durée formacode'!$C$1:$AE$1,0)),0)&gt;
 IFERROR(1*INDEX('Durée formacode'!$C$2:$AE$44,0,MATCH(Z$1,'Durée formacode'!$C$1:$AE$1,0)),0))*(IFERROR(1*INDEX('Durée formacode'!$C$2:$AE$44,0,MATCH($A27,'Durée formacode'!$C$1:$AE$1,0)),0)-IFERROR(1*INDEX('Durée formacode'!$C$2:$AE$44,0,MATCH(Z$1,'Durée formacode'!$C$1:$AE$1,0)),0)))</f>
        <v>290</v>
      </c>
      <c r="AA27" cm="1">
        <f t="array" ref="AA27">SUMPRODUCT((IFERROR(1*INDEX('Durée formacode'!$C$2:$AE$44,0,MATCH($A27,'Durée formacode'!$C$1:$AE$1,0)),0)&gt;
 IFERROR(1*INDEX('Durée formacode'!$C$2:$AE$44,0,MATCH(AA$1,'Durée formacode'!$C$1:$AE$1,0)),0))*(IFERROR(1*INDEX('Durée formacode'!$C$2:$AE$44,0,MATCH($A27,'Durée formacode'!$C$1:$AE$1,0)),0)-IFERROR(1*INDEX('Durée formacode'!$C$2:$AE$44,0,MATCH(AA$1,'Durée formacode'!$C$1:$AE$1,0)),0)))</f>
        <v>0</v>
      </c>
      <c r="AB27" cm="1">
        <f t="array" ref="AB27">SUMPRODUCT((IFERROR(1*INDEX('Durée formacode'!$C$2:$AE$44,0,MATCH($A27,'Durée formacode'!$C$1:$AE$1,0)),0)&gt;
 IFERROR(1*INDEX('Durée formacode'!$C$2:$AE$44,0,MATCH(AB$1,'Durée formacode'!$C$1:$AE$1,0)),0))*(IFERROR(1*INDEX('Durée formacode'!$C$2:$AE$44,0,MATCH($A27,'Durée formacode'!$C$1:$AE$1,0)),0)-IFERROR(1*INDEX('Durée formacode'!$C$2:$AE$44,0,MATCH(AB$1,'Durée formacode'!$C$1:$AE$1,0)),0)))</f>
        <v>535</v>
      </c>
      <c r="AC27" cm="1">
        <f t="array" ref="AC27">SUMPRODUCT((IFERROR(1*INDEX('Durée formacode'!$C$2:$AE$44,0,MATCH($A27,'Durée formacode'!$C$1:$AE$1,0)),0)&gt;
 IFERROR(1*INDEX('Durée formacode'!$C$2:$AE$44,0,MATCH(AC$1,'Durée formacode'!$C$1:$AE$1,0)),0))*(IFERROR(1*INDEX('Durée formacode'!$C$2:$AE$44,0,MATCH($A27,'Durée formacode'!$C$1:$AE$1,0)),0)-IFERROR(1*INDEX('Durée formacode'!$C$2:$AE$44,0,MATCH(AC$1,'Durée formacode'!$C$1:$AE$1,0)),0)))</f>
        <v>535</v>
      </c>
      <c r="AD27" cm="1">
        <f t="array" ref="AD27">SUMPRODUCT((IFERROR(1*INDEX('Durée formacode'!$C$2:$AE$44,0,MATCH($A27,'Durée formacode'!$C$1:$AE$1,0)),0)&gt;
 IFERROR(1*INDEX('Durée formacode'!$C$2:$AE$44,0,MATCH(AD$1,'Durée formacode'!$C$1:$AE$1,0)),0))*(IFERROR(1*INDEX('Durée formacode'!$C$2:$AE$44,0,MATCH($A27,'Durée formacode'!$C$1:$AE$1,0)),0)-IFERROR(1*INDEX('Durée formacode'!$C$2:$AE$44,0,MATCH(AD$1,'Durée formacode'!$C$1:$AE$1,0)),0)))</f>
        <v>535</v>
      </c>
    </row>
    <row r="28" spans="1:30">
      <c r="A28" s="55" t="str">
        <v>Mécanicien(ne) de maintenance industrielle</v>
      </c>
      <c r="B28" cm="1">
        <f t="array" ref="B28">SUMPRODUCT((IFERROR(1*INDEX('Durée formacode'!$C$2:$AE$44,0,MATCH($A28,'Durée formacode'!$C$1:$AE$1,0)),0)&gt;
 IFERROR(1*INDEX('Durée formacode'!$C$2:$AE$44,0,MATCH(B$1,'Durée formacode'!$C$1:$AE$1,0)),0))*(IFERROR(1*INDEX('Durée formacode'!$C$2:$AE$44,0,MATCH($A28,'Durée formacode'!$C$1:$AE$1,0)),0)-IFERROR(1*INDEX('Durée formacode'!$C$2:$AE$44,0,MATCH(B$1,'Durée formacode'!$C$1:$AE$1,0)),0)))</f>
        <v>1215</v>
      </c>
      <c r="C28" cm="1">
        <f t="array" ref="C28">SUMPRODUCT((IFERROR(1*INDEX('Durée formacode'!$C$2:$AE$44,0,MATCH($A28,'Durée formacode'!$C$1:$AE$1,0)),0)&gt;
 IFERROR(1*INDEX('Durée formacode'!$C$2:$AE$44,0,MATCH(C$1,'Durée formacode'!$C$1:$AE$1,0)),0))*(IFERROR(1*INDEX('Durée formacode'!$C$2:$AE$44,0,MATCH($A28,'Durée formacode'!$C$1:$AE$1,0)),0)-IFERROR(1*INDEX('Durée formacode'!$C$2:$AE$44,0,MATCH(C$1,'Durée formacode'!$C$1:$AE$1,0)),0)))</f>
        <v>1001</v>
      </c>
      <c r="D28" cm="1">
        <f t="array" ref="D28">SUMPRODUCT((IFERROR(1*INDEX('Durée formacode'!$C$2:$AE$44,0,MATCH($A28,'Durée formacode'!$C$1:$AE$1,0)),0)&gt;
 IFERROR(1*INDEX('Durée formacode'!$C$2:$AE$44,0,MATCH(D$1,'Durée formacode'!$C$1:$AE$1,0)),0))*(IFERROR(1*INDEX('Durée formacode'!$C$2:$AE$44,0,MATCH($A28,'Durée formacode'!$C$1:$AE$1,0)),0)-IFERROR(1*INDEX('Durée formacode'!$C$2:$AE$44,0,MATCH(D$1,'Durée formacode'!$C$1:$AE$1,0)),0)))</f>
        <v>1540</v>
      </c>
      <c r="E28" cm="1">
        <f t="array" ref="E28">SUMPRODUCT((IFERROR(1*INDEX('Durée formacode'!$C$2:$AE$44,0,MATCH($A28,'Durée formacode'!$C$1:$AE$1,0)),0)&gt;
 IFERROR(1*INDEX('Durée formacode'!$C$2:$AE$44,0,MATCH(E$1,'Durée formacode'!$C$1:$AE$1,0)),0))*(IFERROR(1*INDEX('Durée formacode'!$C$2:$AE$44,0,MATCH($A28,'Durée formacode'!$C$1:$AE$1,0)),0)-IFERROR(1*INDEX('Durée formacode'!$C$2:$AE$44,0,MATCH(E$1,'Durée formacode'!$C$1:$AE$1,0)),0)))</f>
        <v>1507</v>
      </c>
      <c r="F28" cm="1">
        <f t="array" ref="F28">SUMPRODUCT((IFERROR(1*INDEX('Durée formacode'!$C$2:$AE$44,0,MATCH($A28,'Durée formacode'!$C$1:$AE$1,0)),0)&gt;
 IFERROR(1*INDEX('Durée formacode'!$C$2:$AE$44,0,MATCH(F$1,'Durée formacode'!$C$1:$AE$1,0)),0))*(IFERROR(1*INDEX('Durée formacode'!$C$2:$AE$44,0,MATCH($A28,'Durée formacode'!$C$1:$AE$1,0)),0)-IFERROR(1*INDEX('Durée formacode'!$C$2:$AE$44,0,MATCH(F$1,'Durée formacode'!$C$1:$AE$1,0)),0)))</f>
        <v>1392</v>
      </c>
      <c r="G28" cm="1">
        <f t="array" ref="G28">SUMPRODUCT((IFERROR(1*INDEX('Durée formacode'!$C$2:$AE$44,0,MATCH($A28,'Durée formacode'!$C$1:$AE$1,0)),0)&gt;
 IFERROR(1*INDEX('Durée formacode'!$C$2:$AE$44,0,MATCH(G$1,'Durée formacode'!$C$1:$AE$1,0)),0))*(IFERROR(1*INDEX('Durée formacode'!$C$2:$AE$44,0,MATCH($A28,'Durée formacode'!$C$1:$AE$1,0)),0)-IFERROR(1*INDEX('Durée formacode'!$C$2:$AE$44,0,MATCH(G$1,'Durée formacode'!$C$1:$AE$1,0)),0)))</f>
        <v>1357</v>
      </c>
      <c r="H28" cm="1">
        <f t="array" ref="H28">SUMPRODUCT((IFERROR(1*INDEX('Durée formacode'!$C$2:$AE$44,0,MATCH($A28,'Durée formacode'!$C$1:$AE$1,0)),0)&gt;
 IFERROR(1*INDEX('Durée formacode'!$C$2:$AE$44,0,MATCH(H$1,'Durée formacode'!$C$1:$AE$1,0)),0))*(IFERROR(1*INDEX('Durée formacode'!$C$2:$AE$44,0,MATCH($A28,'Durée formacode'!$C$1:$AE$1,0)),0)-IFERROR(1*INDEX('Durée formacode'!$C$2:$AE$44,0,MATCH(H$1,'Durée formacode'!$C$1:$AE$1,0)),0)))</f>
        <v>1536</v>
      </c>
      <c r="I28" cm="1">
        <f t="array" ref="I28">SUMPRODUCT((IFERROR(1*INDEX('Durée formacode'!$C$2:$AE$44,0,MATCH($A28,'Durée formacode'!$C$1:$AE$1,0)),0)&gt;
 IFERROR(1*INDEX('Durée formacode'!$C$2:$AE$44,0,MATCH(I$1,'Durée formacode'!$C$1:$AE$1,0)),0))*(IFERROR(1*INDEX('Durée formacode'!$C$2:$AE$44,0,MATCH($A28,'Durée formacode'!$C$1:$AE$1,0)),0)-IFERROR(1*INDEX('Durée formacode'!$C$2:$AE$44,0,MATCH(I$1,'Durée formacode'!$C$1:$AE$1,0)),0)))</f>
        <v>1540</v>
      </c>
      <c r="J28" cm="1">
        <f t="array" ref="J28">SUMPRODUCT((IFERROR(1*INDEX('Durée formacode'!$C$2:$AE$44,0,MATCH($A28,'Durée formacode'!$C$1:$AE$1,0)),0)&gt;
 IFERROR(1*INDEX('Durée formacode'!$C$2:$AE$44,0,MATCH(J$1,'Durée formacode'!$C$1:$AE$1,0)),0))*(IFERROR(1*INDEX('Durée formacode'!$C$2:$AE$44,0,MATCH($A28,'Durée formacode'!$C$1:$AE$1,0)),0)-IFERROR(1*INDEX('Durée formacode'!$C$2:$AE$44,0,MATCH(J$1,'Durée formacode'!$C$1:$AE$1,0)),0)))</f>
        <v>1427</v>
      </c>
      <c r="K28" cm="1">
        <f t="array" ref="K28">SUMPRODUCT((IFERROR(1*INDEX('Durée formacode'!$C$2:$AE$44,0,MATCH($A28,'Durée formacode'!$C$1:$AE$1,0)),0)&gt;
 IFERROR(1*INDEX('Durée formacode'!$C$2:$AE$44,0,MATCH(K$1,'Durée formacode'!$C$1:$AE$1,0)),0))*(IFERROR(1*INDEX('Durée formacode'!$C$2:$AE$44,0,MATCH($A28,'Durée formacode'!$C$1:$AE$1,0)),0)-IFERROR(1*INDEX('Durée formacode'!$C$2:$AE$44,0,MATCH(K$1,'Durée formacode'!$C$1:$AE$1,0)),0)))</f>
        <v>1507</v>
      </c>
      <c r="L28" cm="1">
        <f t="array" ref="L28">SUMPRODUCT((IFERROR(1*INDEX('Durée formacode'!$C$2:$AE$44,0,MATCH($A28,'Durée formacode'!$C$1:$AE$1,0)),0)&gt;
 IFERROR(1*INDEX('Durée formacode'!$C$2:$AE$44,0,MATCH(L$1,'Durée formacode'!$C$1:$AE$1,0)),0))*(IFERROR(1*INDEX('Durée formacode'!$C$2:$AE$44,0,MATCH($A28,'Durée formacode'!$C$1:$AE$1,0)),0)-IFERROR(1*INDEX('Durée formacode'!$C$2:$AE$44,0,MATCH(L$1,'Durée formacode'!$C$1:$AE$1,0)),0)))</f>
        <v>1540</v>
      </c>
      <c r="M28" cm="1">
        <f t="array" ref="M28">SUMPRODUCT((IFERROR(1*INDEX('Durée formacode'!$C$2:$AE$44,0,MATCH($A28,'Durée formacode'!$C$1:$AE$1,0)),0)&gt;
 IFERROR(1*INDEX('Durée formacode'!$C$2:$AE$44,0,MATCH(M$1,'Durée formacode'!$C$1:$AE$1,0)),0))*(IFERROR(1*INDEX('Durée formacode'!$C$2:$AE$44,0,MATCH($A28,'Durée formacode'!$C$1:$AE$1,0)),0)-IFERROR(1*INDEX('Durée formacode'!$C$2:$AE$44,0,MATCH(M$1,'Durée formacode'!$C$1:$AE$1,0)),0)))</f>
        <v>867</v>
      </c>
      <c r="N28" cm="1">
        <f t="array" ref="N28">SUMPRODUCT((IFERROR(1*INDEX('Durée formacode'!$C$2:$AE$44,0,MATCH($A28,'Durée formacode'!$C$1:$AE$1,0)),0)&gt;
 IFERROR(1*INDEX('Durée formacode'!$C$2:$AE$44,0,MATCH(N$1,'Durée formacode'!$C$1:$AE$1,0)),0))*(IFERROR(1*INDEX('Durée formacode'!$C$2:$AE$44,0,MATCH($A28,'Durée formacode'!$C$1:$AE$1,0)),0)-IFERROR(1*INDEX('Durée formacode'!$C$2:$AE$44,0,MATCH(N$1,'Durée formacode'!$C$1:$AE$1,0)),0)))</f>
        <v>1182</v>
      </c>
      <c r="O28" cm="1">
        <f t="array" ref="O28">SUMPRODUCT((IFERROR(1*INDEX('Durée formacode'!$C$2:$AE$44,0,MATCH($A28,'Durée formacode'!$C$1:$AE$1,0)),0)&gt;
 IFERROR(1*INDEX('Durée formacode'!$C$2:$AE$44,0,MATCH(O$1,'Durée formacode'!$C$1:$AE$1,0)),0))*(IFERROR(1*INDEX('Durée formacode'!$C$2:$AE$44,0,MATCH($A28,'Durée formacode'!$C$1:$AE$1,0)),0)-IFERROR(1*INDEX('Durée formacode'!$C$2:$AE$44,0,MATCH(O$1,'Durée formacode'!$C$1:$AE$1,0)),0)))</f>
        <v>1460</v>
      </c>
      <c r="P28" cm="1">
        <f t="array" ref="P28">SUMPRODUCT((IFERROR(1*INDEX('Durée formacode'!$C$2:$AE$44,0,MATCH($A28,'Durée formacode'!$C$1:$AE$1,0)),0)&gt;
 IFERROR(1*INDEX('Durée formacode'!$C$2:$AE$44,0,MATCH(P$1,'Durée formacode'!$C$1:$AE$1,0)),0))*(IFERROR(1*INDEX('Durée formacode'!$C$2:$AE$44,0,MATCH($A28,'Durée formacode'!$C$1:$AE$1,0)),0)-IFERROR(1*INDEX('Durée formacode'!$C$2:$AE$44,0,MATCH(P$1,'Durée formacode'!$C$1:$AE$1,0)),0)))</f>
        <v>1001</v>
      </c>
      <c r="Q28" cm="1">
        <f t="array" ref="Q28">SUMPRODUCT((IFERROR(1*INDEX('Durée formacode'!$C$2:$AE$44,0,MATCH($A28,'Durée formacode'!$C$1:$AE$1,0)),0)&gt;
 IFERROR(1*INDEX('Durée formacode'!$C$2:$AE$44,0,MATCH(Q$1,'Durée formacode'!$C$1:$AE$1,0)),0))*(IFERROR(1*INDEX('Durée formacode'!$C$2:$AE$44,0,MATCH($A28,'Durée formacode'!$C$1:$AE$1,0)),0)-IFERROR(1*INDEX('Durée formacode'!$C$2:$AE$44,0,MATCH(Q$1,'Durée formacode'!$C$1:$AE$1,0)),0)))</f>
        <v>1145</v>
      </c>
      <c r="R28" cm="1">
        <f t="array" ref="R28">SUMPRODUCT((IFERROR(1*INDEX('Durée formacode'!$C$2:$AE$44,0,MATCH($A28,'Durée formacode'!$C$1:$AE$1,0)),0)&gt;
 IFERROR(1*INDEX('Durée formacode'!$C$2:$AE$44,0,MATCH(R$1,'Durée formacode'!$C$1:$AE$1,0)),0))*(IFERROR(1*INDEX('Durée formacode'!$C$2:$AE$44,0,MATCH($A28,'Durée formacode'!$C$1:$AE$1,0)),0)-IFERROR(1*INDEX('Durée formacode'!$C$2:$AE$44,0,MATCH(R$1,'Durée formacode'!$C$1:$AE$1,0)),0)))</f>
        <v>1536</v>
      </c>
      <c r="S28" cm="1">
        <f t="array" ref="S28">SUMPRODUCT((IFERROR(1*INDEX('Durée formacode'!$C$2:$AE$44,0,MATCH($A28,'Durée formacode'!$C$1:$AE$1,0)),0)&gt;
 IFERROR(1*INDEX('Durée formacode'!$C$2:$AE$44,0,MATCH(S$1,'Durée formacode'!$C$1:$AE$1,0)),0))*(IFERROR(1*INDEX('Durée formacode'!$C$2:$AE$44,0,MATCH($A28,'Durée formacode'!$C$1:$AE$1,0)),0)-IFERROR(1*INDEX('Durée formacode'!$C$2:$AE$44,0,MATCH(S$1,'Durée formacode'!$C$1:$AE$1,0)),0)))</f>
        <v>1215</v>
      </c>
      <c r="T28" cm="1">
        <f t="array" ref="T28">SUMPRODUCT((IFERROR(1*INDEX('Durée formacode'!$C$2:$AE$44,0,MATCH($A28,'Durée formacode'!$C$1:$AE$1,0)),0)&gt;
 IFERROR(1*INDEX('Durée formacode'!$C$2:$AE$44,0,MATCH(T$1,'Durée formacode'!$C$1:$AE$1,0)),0))*(IFERROR(1*INDEX('Durée formacode'!$C$2:$AE$44,0,MATCH($A28,'Durée formacode'!$C$1:$AE$1,0)),0)-IFERROR(1*INDEX('Durée formacode'!$C$2:$AE$44,0,MATCH(T$1,'Durée formacode'!$C$1:$AE$1,0)),0)))</f>
        <v>1001</v>
      </c>
      <c r="U28" cm="1">
        <f t="array" ref="U28">SUMPRODUCT((IFERROR(1*INDEX('Durée formacode'!$C$2:$AE$44,0,MATCH($A28,'Durée formacode'!$C$1:$AE$1,0)),0)&gt;
 IFERROR(1*INDEX('Durée formacode'!$C$2:$AE$44,0,MATCH(U$1,'Durée formacode'!$C$1:$AE$1,0)),0))*(IFERROR(1*INDEX('Durée formacode'!$C$2:$AE$44,0,MATCH($A28,'Durée formacode'!$C$1:$AE$1,0)),0)-IFERROR(1*INDEX('Durée formacode'!$C$2:$AE$44,0,MATCH(U$1,'Durée formacode'!$C$1:$AE$1,0)),0)))</f>
        <v>1215</v>
      </c>
      <c r="V28" cm="1">
        <f t="array" ref="V28">SUMPRODUCT((IFERROR(1*INDEX('Durée formacode'!$C$2:$AE$44,0,MATCH($A28,'Durée formacode'!$C$1:$AE$1,0)),0)&gt;
 IFERROR(1*INDEX('Durée formacode'!$C$2:$AE$44,0,MATCH(V$1,'Durée formacode'!$C$1:$AE$1,0)),0))*(IFERROR(1*INDEX('Durée formacode'!$C$2:$AE$44,0,MATCH($A28,'Durée formacode'!$C$1:$AE$1,0)),0)-IFERROR(1*INDEX('Durée formacode'!$C$2:$AE$44,0,MATCH(V$1,'Durée formacode'!$C$1:$AE$1,0)),0)))</f>
        <v>1001</v>
      </c>
      <c r="W28" cm="1">
        <f t="array" ref="W28">SUMPRODUCT((IFERROR(1*INDEX('Durée formacode'!$C$2:$AE$44,0,MATCH($A28,'Durée formacode'!$C$1:$AE$1,0)),0)&gt;
 IFERROR(1*INDEX('Durée formacode'!$C$2:$AE$44,0,MATCH(W$1,'Durée formacode'!$C$1:$AE$1,0)),0))*(IFERROR(1*INDEX('Durée formacode'!$C$2:$AE$44,0,MATCH($A28,'Durée formacode'!$C$1:$AE$1,0)),0)-IFERROR(1*INDEX('Durée formacode'!$C$2:$AE$44,0,MATCH(W$1,'Durée formacode'!$C$1:$AE$1,0)),0)))</f>
        <v>968</v>
      </c>
      <c r="X28" cm="1">
        <f t="array" ref="X28">SUMPRODUCT((IFERROR(1*INDEX('Durée formacode'!$C$2:$AE$44,0,MATCH($A28,'Durée formacode'!$C$1:$AE$1,0)),0)&gt;
 IFERROR(1*INDEX('Durée formacode'!$C$2:$AE$44,0,MATCH(X$1,'Durée formacode'!$C$1:$AE$1,0)),0))*(IFERROR(1*INDEX('Durée formacode'!$C$2:$AE$44,0,MATCH($A28,'Durée formacode'!$C$1:$AE$1,0)),0)-IFERROR(1*INDEX('Durée formacode'!$C$2:$AE$44,0,MATCH(X$1,'Durée formacode'!$C$1:$AE$1,0)),0)))</f>
        <v>1427</v>
      </c>
      <c r="Y28" cm="1">
        <f t="array" ref="Y28">SUMPRODUCT((IFERROR(1*INDEX('Durée formacode'!$C$2:$AE$44,0,MATCH($A28,'Durée formacode'!$C$1:$AE$1,0)),0)&gt;
 IFERROR(1*INDEX('Durée formacode'!$C$2:$AE$44,0,MATCH(Y$1,'Durée formacode'!$C$1:$AE$1,0)),0))*(IFERROR(1*INDEX('Durée formacode'!$C$2:$AE$44,0,MATCH($A28,'Durée formacode'!$C$1:$AE$1,0)),0)-IFERROR(1*INDEX('Durée formacode'!$C$2:$AE$44,0,MATCH(Y$1,'Durée formacode'!$C$1:$AE$1,0)),0)))</f>
        <v>1215</v>
      </c>
      <c r="Z28" cm="1">
        <f t="array" ref="Z28">SUMPRODUCT((IFERROR(1*INDEX('Durée formacode'!$C$2:$AE$44,0,MATCH($A28,'Durée formacode'!$C$1:$AE$1,0)),0)&gt;
 IFERROR(1*INDEX('Durée formacode'!$C$2:$AE$44,0,MATCH(Z$1,'Durée formacode'!$C$1:$AE$1,0)),0))*(IFERROR(1*INDEX('Durée formacode'!$C$2:$AE$44,0,MATCH($A28,'Durée formacode'!$C$1:$AE$1,0)),0)-IFERROR(1*INDEX('Durée formacode'!$C$2:$AE$44,0,MATCH(Z$1,'Durée formacode'!$C$1:$AE$1,0)),0)))</f>
        <v>1215</v>
      </c>
      <c r="AA28" cm="1">
        <f t="array" ref="AA28">SUMPRODUCT((IFERROR(1*INDEX('Durée formacode'!$C$2:$AE$44,0,MATCH($A28,'Durée formacode'!$C$1:$AE$1,0)),0)&gt;
 IFERROR(1*INDEX('Durée formacode'!$C$2:$AE$44,0,MATCH(AA$1,'Durée formacode'!$C$1:$AE$1,0)),0))*(IFERROR(1*INDEX('Durée formacode'!$C$2:$AE$44,0,MATCH($A28,'Durée formacode'!$C$1:$AE$1,0)),0)-IFERROR(1*INDEX('Durée formacode'!$C$2:$AE$44,0,MATCH(AA$1,'Durée formacode'!$C$1:$AE$1,0)),0)))</f>
        <v>1215</v>
      </c>
      <c r="AB28" cm="1">
        <f t="array" ref="AB28">SUMPRODUCT((IFERROR(1*INDEX('Durée formacode'!$C$2:$AE$44,0,MATCH($A28,'Durée formacode'!$C$1:$AE$1,0)),0)&gt;
 IFERROR(1*INDEX('Durée formacode'!$C$2:$AE$44,0,MATCH(AB$1,'Durée formacode'!$C$1:$AE$1,0)),0))*(IFERROR(1*INDEX('Durée formacode'!$C$2:$AE$44,0,MATCH($A28,'Durée formacode'!$C$1:$AE$1,0)),0)-IFERROR(1*INDEX('Durée formacode'!$C$2:$AE$44,0,MATCH(AB$1,'Durée formacode'!$C$1:$AE$1,0)),0)))</f>
        <v>0</v>
      </c>
      <c r="AC28" cm="1">
        <f t="array" ref="AC28">SUMPRODUCT((IFERROR(1*INDEX('Durée formacode'!$C$2:$AE$44,0,MATCH($A28,'Durée formacode'!$C$1:$AE$1,0)),0)&gt;
 IFERROR(1*INDEX('Durée formacode'!$C$2:$AE$44,0,MATCH(AC$1,'Durée formacode'!$C$1:$AE$1,0)),0))*(IFERROR(1*INDEX('Durée formacode'!$C$2:$AE$44,0,MATCH($A28,'Durée formacode'!$C$1:$AE$1,0)),0)-IFERROR(1*INDEX('Durée formacode'!$C$2:$AE$44,0,MATCH(AC$1,'Durée formacode'!$C$1:$AE$1,0)),0)))</f>
        <v>0</v>
      </c>
      <c r="AD28" cm="1">
        <f t="array" ref="AD28">SUMPRODUCT((IFERROR(1*INDEX('Durée formacode'!$C$2:$AE$44,0,MATCH($A28,'Durée formacode'!$C$1:$AE$1,0)),0)&gt;
 IFERROR(1*INDEX('Durée formacode'!$C$2:$AE$44,0,MATCH(AD$1,'Durée formacode'!$C$1:$AE$1,0)),0))*(IFERROR(1*INDEX('Durée formacode'!$C$2:$AE$44,0,MATCH($A28,'Durée formacode'!$C$1:$AE$1,0)),0)-IFERROR(1*INDEX('Durée formacode'!$C$2:$AE$44,0,MATCH(AD$1,'Durée formacode'!$C$1:$AE$1,0)),0)))</f>
        <v>262</v>
      </c>
    </row>
    <row r="29" spans="1:30">
      <c r="A29" s="55" t="str">
        <v>Mécanicien(ne)-sertisseur(euse)</v>
      </c>
      <c r="B29" cm="1">
        <f t="array" ref="B29">SUMPRODUCT((IFERROR(1*INDEX('Durée formacode'!$C$2:$AE$44,0,MATCH($A29,'Durée formacode'!$C$1:$AE$1,0)),0)&gt;
 IFERROR(1*INDEX('Durée formacode'!$C$2:$AE$44,0,MATCH(B$1,'Durée formacode'!$C$1:$AE$1,0)),0))*(IFERROR(1*INDEX('Durée formacode'!$C$2:$AE$44,0,MATCH($A29,'Durée formacode'!$C$1:$AE$1,0)),0)-IFERROR(1*INDEX('Durée formacode'!$C$2:$AE$44,0,MATCH(B$1,'Durée formacode'!$C$1:$AE$1,0)),0)))</f>
        <v>1285</v>
      </c>
      <c r="C29" cm="1">
        <f t="array" ref="C29">SUMPRODUCT((IFERROR(1*INDEX('Durée formacode'!$C$2:$AE$44,0,MATCH($A29,'Durée formacode'!$C$1:$AE$1,0)),0)&gt;
 IFERROR(1*INDEX('Durée formacode'!$C$2:$AE$44,0,MATCH(C$1,'Durée formacode'!$C$1:$AE$1,0)),0))*(IFERROR(1*INDEX('Durée formacode'!$C$2:$AE$44,0,MATCH($A29,'Durée formacode'!$C$1:$AE$1,0)),0)-IFERROR(1*INDEX('Durée formacode'!$C$2:$AE$44,0,MATCH(C$1,'Durée formacode'!$C$1:$AE$1,0)),0)))</f>
        <v>1071</v>
      </c>
      <c r="D29" cm="1">
        <f t="array" ref="D29">SUMPRODUCT((IFERROR(1*INDEX('Durée formacode'!$C$2:$AE$44,0,MATCH($A29,'Durée formacode'!$C$1:$AE$1,0)),0)&gt;
 IFERROR(1*INDEX('Durée formacode'!$C$2:$AE$44,0,MATCH(D$1,'Durée formacode'!$C$1:$AE$1,0)),0))*(IFERROR(1*INDEX('Durée formacode'!$C$2:$AE$44,0,MATCH($A29,'Durée formacode'!$C$1:$AE$1,0)),0)-IFERROR(1*INDEX('Durée formacode'!$C$2:$AE$44,0,MATCH(D$1,'Durée formacode'!$C$1:$AE$1,0)),0)))</f>
        <v>1610</v>
      </c>
      <c r="E29" cm="1">
        <f t="array" ref="E29">SUMPRODUCT((IFERROR(1*INDEX('Durée formacode'!$C$2:$AE$44,0,MATCH($A29,'Durée formacode'!$C$1:$AE$1,0)),0)&gt;
 IFERROR(1*INDEX('Durée formacode'!$C$2:$AE$44,0,MATCH(E$1,'Durée formacode'!$C$1:$AE$1,0)),0))*(IFERROR(1*INDEX('Durée formacode'!$C$2:$AE$44,0,MATCH($A29,'Durée formacode'!$C$1:$AE$1,0)),0)-IFERROR(1*INDEX('Durée formacode'!$C$2:$AE$44,0,MATCH(E$1,'Durée formacode'!$C$1:$AE$1,0)),0)))</f>
        <v>1577</v>
      </c>
      <c r="F29" cm="1">
        <f t="array" ref="F29">SUMPRODUCT((IFERROR(1*INDEX('Durée formacode'!$C$2:$AE$44,0,MATCH($A29,'Durée formacode'!$C$1:$AE$1,0)),0)&gt;
 IFERROR(1*INDEX('Durée formacode'!$C$2:$AE$44,0,MATCH(F$1,'Durée formacode'!$C$1:$AE$1,0)),0))*(IFERROR(1*INDEX('Durée formacode'!$C$2:$AE$44,0,MATCH($A29,'Durée formacode'!$C$1:$AE$1,0)),0)-IFERROR(1*INDEX('Durée formacode'!$C$2:$AE$44,0,MATCH(F$1,'Durée formacode'!$C$1:$AE$1,0)),0)))</f>
        <v>1462</v>
      </c>
      <c r="G29" cm="1">
        <f t="array" ref="G29">SUMPRODUCT((IFERROR(1*INDEX('Durée formacode'!$C$2:$AE$44,0,MATCH($A29,'Durée formacode'!$C$1:$AE$1,0)),0)&gt;
 IFERROR(1*INDEX('Durée formacode'!$C$2:$AE$44,0,MATCH(G$1,'Durée formacode'!$C$1:$AE$1,0)),0))*(IFERROR(1*INDEX('Durée formacode'!$C$2:$AE$44,0,MATCH($A29,'Durée formacode'!$C$1:$AE$1,0)),0)-IFERROR(1*INDEX('Durée formacode'!$C$2:$AE$44,0,MATCH(G$1,'Durée formacode'!$C$1:$AE$1,0)),0)))</f>
        <v>1427</v>
      </c>
      <c r="H29" cm="1">
        <f t="array" ref="H29">SUMPRODUCT((IFERROR(1*INDEX('Durée formacode'!$C$2:$AE$44,0,MATCH($A29,'Durée formacode'!$C$1:$AE$1,0)),0)&gt;
 IFERROR(1*INDEX('Durée formacode'!$C$2:$AE$44,0,MATCH(H$1,'Durée formacode'!$C$1:$AE$1,0)),0))*(IFERROR(1*INDEX('Durée formacode'!$C$2:$AE$44,0,MATCH($A29,'Durée formacode'!$C$1:$AE$1,0)),0)-IFERROR(1*INDEX('Durée formacode'!$C$2:$AE$44,0,MATCH(H$1,'Durée formacode'!$C$1:$AE$1,0)),0)))</f>
        <v>1606</v>
      </c>
      <c r="I29" cm="1">
        <f t="array" ref="I29">SUMPRODUCT((IFERROR(1*INDEX('Durée formacode'!$C$2:$AE$44,0,MATCH($A29,'Durée formacode'!$C$1:$AE$1,0)),0)&gt;
 IFERROR(1*INDEX('Durée formacode'!$C$2:$AE$44,0,MATCH(I$1,'Durée formacode'!$C$1:$AE$1,0)),0))*(IFERROR(1*INDEX('Durée formacode'!$C$2:$AE$44,0,MATCH($A29,'Durée formacode'!$C$1:$AE$1,0)),0)-IFERROR(1*INDEX('Durée formacode'!$C$2:$AE$44,0,MATCH(I$1,'Durée formacode'!$C$1:$AE$1,0)),0)))</f>
        <v>1610</v>
      </c>
      <c r="J29" cm="1">
        <f t="array" ref="J29">SUMPRODUCT((IFERROR(1*INDEX('Durée formacode'!$C$2:$AE$44,0,MATCH($A29,'Durée formacode'!$C$1:$AE$1,0)),0)&gt;
 IFERROR(1*INDEX('Durée formacode'!$C$2:$AE$44,0,MATCH(J$1,'Durée formacode'!$C$1:$AE$1,0)),0))*(IFERROR(1*INDEX('Durée formacode'!$C$2:$AE$44,0,MATCH($A29,'Durée formacode'!$C$1:$AE$1,0)),0)-IFERROR(1*INDEX('Durée formacode'!$C$2:$AE$44,0,MATCH(J$1,'Durée formacode'!$C$1:$AE$1,0)),0)))</f>
        <v>1497</v>
      </c>
      <c r="K29" cm="1">
        <f t="array" ref="K29">SUMPRODUCT((IFERROR(1*INDEX('Durée formacode'!$C$2:$AE$44,0,MATCH($A29,'Durée formacode'!$C$1:$AE$1,0)),0)&gt;
 IFERROR(1*INDEX('Durée formacode'!$C$2:$AE$44,0,MATCH(K$1,'Durée formacode'!$C$1:$AE$1,0)),0))*(IFERROR(1*INDEX('Durée formacode'!$C$2:$AE$44,0,MATCH($A29,'Durée formacode'!$C$1:$AE$1,0)),0)-IFERROR(1*INDEX('Durée formacode'!$C$2:$AE$44,0,MATCH(K$1,'Durée formacode'!$C$1:$AE$1,0)),0)))</f>
        <v>1577</v>
      </c>
      <c r="L29" cm="1">
        <f t="array" ref="L29">SUMPRODUCT((IFERROR(1*INDEX('Durée formacode'!$C$2:$AE$44,0,MATCH($A29,'Durée formacode'!$C$1:$AE$1,0)),0)&gt;
 IFERROR(1*INDEX('Durée formacode'!$C$2:$AE$44,0,MATCH(L$1,'Durée formacode'!$C$1:$AE$1,0)),0))*(IFERROR(1*INDEX('Durée formacode'!$C$2:$AE$44,0,MATCH($A29,'Durée formacode'!$C$1:$AE$1,0)),0)-IFERROR(1*INDEX('Durée formacode'!$C$2:$AE$44,0,MATCH(L$1,'Durée formacode'!$C$1:$AE$1,0)),0)))</f>
        <v>1610</v>
      </c>
      <c r="M29" cm="1">
        <f t="array" ref="M29">SUMPRODUCT((IFERROR(1*INDEX('Durée formacode'!$C$2:$AE$44,0,MATCH($A29,'Durée formacode'!$C$1:$AE$1,0)),0)&gt;
 IFERROR(1*INDEX('Durée formacode'!$C$2:$AE$44,0,MATCH(M$1,'Durée formacode'!$C$1:$AE$1,0)),0))*(IFERROR(1*INDEX('Durée formacode'!$C$2:$AE$44,0,MATCH($A29,'Durée formacode'!$C$1:$AE$1,0)),0)-IFERROR(1*INDEX('Durée formacode'!$C$2:$AE$44,0,MATCH(M$1,'Durée formacode'!$C$1:$AE$1,0)),0)))</f>
        <v>937</v>
      </c>
      <c r="N29" cm="1">
        <f t="array" ref="N29">SUMPRODUCT((IFERROR(1*INDEX('Durée formacode'!$C$2:$AE$44,0,MATCH($A29,'Durée formacode'!$C$1:$AE$1,0)),0)&gt;
 IFERROR(1*INDEX('Durée formacode'!$C$2:$AE$44,0,MATCH(N$1,'Durée formacode'!$C$1:$AE$1,0)),0))*(IFERROR(1*INDEX('Durée formacode'!$C$2:$AE$44,0,MATCH($A29,'Durée formacode'!$C$1:$AE$1,0)),0)-IFERROR(1*INDEX('Durée formacode'!$C$2:$AE$44,0,MATCH(N$1,'Durée formacode'!$C$1:$AE$1,0)),0)))</f>
        <v>1252</v>
      </c>
      <c r="O29" cm="1">
        <f t="array" ref="O29">SUMPRODUCT((IFERROR(1*INDEX('Durée formacode'!$C$2:$AE$44,0,MATCH($A29,'Durée formacode'!$C$1:$AE$1,0)),0)&gt;
 IFERROR(1*INDEX('Durée formacode'!$C$2:$AE$44,0,MATCH(O$1,'Durée formacode'!$C$1:$AE$1,0)),0))*(IFERROR(1*INDEX('Durée formacode'!$C$2:$AE$44,0,MATCH($A29,'Durée formacode'!$C$1:$AE$1,0)),0)-IFERROR(1*INDEX('Durée formacode'!$C$2:$AE$44,0,MATCH(O$1,'Durée formacode'!$C$1:$AE$1,0)),0)))</f>
        <v>1530</v>
      </c>
      <c r="P29" cm="1">
        <f t="array" ref="P29">SUMPRODUCT((IFERROR(1*INDEX('Durée formacode'!$C$2:$AE$44,0,MATCH($A29,'Durée formacode'!$C$1:$AE$1,0)),0)&gt;
 IFERROR(1*INDEX('Durée formacode'!$C$2:$AE$44,0,MATCH(P$1,'Durée formacode'!$C$1:$AE$1,0)),0))*(IFERROR(1*INDEX('Durée formacode'!$C$2:$AE$44,0,MATCH($A29,'Durée formacode'!$C$1:$AE$1,0)),0)-IFERROR(1*INDEX('Durée formacode'!$C$2:$AE$44,0,MATCH(P$1,'Durée formacode'!$C$1:$AE$1,0)),0)))</f>
        <v>1071</v>
      </c>
      <c r="Q29" cm="1">
        <f t="array" ref="Q29">SUMPRODUCT((IFERROR(1*INDEX('Durée formacode'!$C$2:$AE$44,0,MATCH($A29,'Durée formacode'!$C$1:$AE$1,0)),0)&gt;
 IFERROR(1*INDEX('Durée formacode'!$C$2:$AE$44,0,MATCH(Q$1,'Durée formacode'!$C$1:$AE$1,0)),0))*(IFERROR(1*INDEX('Durée formacode'!$C$2:$AE$44,0,MATCH($A29,'Durée formacode'!$C$1:$AE$1,0)),0)-IFERROR(1*INDEX('Durée formacode'!$C$2:$AE$44,0,MATCH(Q$1,'Durée formacode'!$C$1:$AE$1,0)),0)))</f>
        <v>1215</v>
      </c>
      <c r="R29" cm="1">
        <f t="array" ref="R29">SUMPRODUCT((IFERROR(1*INDEX('Durée formacode'!$C$2:$AE$44,0,MATCH($A29,'Durée formacode'!$C$1:$AE$1,0)),0)&gt;
 IFERROR(1*INDEX('Durée formacode'!$C$2:$AE$44,0,MATCH(R$1,'Durée formacode'!$C$1:$AE$1,0)),0))*(IFERROR(1*INDEX('Durée formacode'!$C$2:$AE$44,0,MATCH($A29,'Durée formacode'!$C$1:$AE$1,0)),0)-IFERROR(1*INDEX('Durée formacode'!$C$2:$AE$44,0,MATCH(R$1,'Durée formacode'!$C$1:$AE$1,0)),0)))</f>
        <v>1606</v>
      </c>
      <c r="S29" cm="1">
        <f t="array" ref="S29">SUMPRODUCT((IFERROR(1*INDEX('Durée formacode'!$C$2:$AE$44,0,MATCH($A29,'Durée formacode'!$C$1:$AE$1,0)),0)&gt;
 IFERROR(1*INDEX('Durée formacode'!$C$2:$AE$44,0,MATCH(S$1,'Durée formacode'!$C$1:$AE$1,0)),0))*(IFERROR(1*INDEX('Durée formacode'!$C$2:$AE$44,0,MATCH($A29,'Durée formacode'!$C$1:$AE$1,0)),0)-IFERROR(1*INDEX('Durée formacode'!$C$2:$AE$44,0,MATCH(S$1,'Durée formacode'!$C$1:$AE$1,0)),0)))</f>
        <v>1285</v>
      </c>
      <c r="T29" cm="1">
        <f t="array" ref="T29">SUMPRODUCT((IFERROR(1*INDEX('Durée formacode'!$C$2:$AE$44,0,MATCH($A29,'Durée formacode'!$C$1:$AE$1,0)),0)&gt;
 IFERROR(1*INDEX('Durée formacode'!$C$2:$AE$44,0,MATCH(T$1,'Durée formacode'!$C$1:$AE$1,0)),0))*(IFERROR(1*INDEX('Durée formacode'!$C$2:$AE$44,0,MATCH($A29,'Durée formacode'!$C$1:$AE$1,0)),0)-IFERROR(1*INDEX('Durée formacode'!$C$2:$AE$44,0,MATCH(T$1,'Durée formacode'!$C$1:$AE$1,0)),0)))</f>
        <v>1071</v>
      </c>
      <c r="U29" cm="1">
        <f t="array" ref="U29">SUMPRODUCT((IFERROR(1*INDEX('Durée formacode'!$C$2:$AE$44,0,MATCH($A29,'Durée formacode'!$C$1:$AE$1,0)),0)&gt;
 IFERROR(1*INDEX('Durée formacode'!$C$2:$AE$44,0,MATCH(U$1,'Durée formacode'!$C$1:$AE$1,0)),0))*(IFERROR(1*INDEX('Durée formacode'!$C$2:$AE$44,0,MATCH($A29,'Durée formacode'!$C$1:$AE$1,0)),0)-IFERROR(1*INDEX('Durée formacode'!$C$2:$AE$44,0,MATCH(U$1,'Durée formacode'!$C$1:$AE$1,0)),0)))</f>
        <v>1285</v>
      </c>
      <c r="V29" cm="1">
        <f t="array" ref="V29">SUMPRODUCT((IFERROR(1*INDEX('Durée formacode'!$C$2:$AE$44,0,MATCH($A29,'Durée formacode'!$C$1:$AE$1,0)),0)&gt;
 IFERROR(1*INDEX('Durée formacode'!$C$2:$AE$44,0,MATCH(V$1,'Durée formacode'!$C$1:$AE$1,0)),0))*(IFERROR(1*INDEX('Durée formacode'!$C$2:$AE$44,0,MATCH($A29,'Durée formacode'!$C$1:$AE$1,0)),0)-IFERROR(1*INDEX('Durée formacode'!$C$2:$AE$44,0,MATCH(V$1,'Durée formacode'!$C$1:$AE$1,0)),0)))</f>
        <v>1071</v>
      </c>
      <c r="W29" cm="1">
        <f t="array" ref="W29">SUMPRODUCT((IFERROR(1*INDEX('Durée formacode'!$C$2:$AE$44,0,MATCH($A29,'Durée formacode'!$C$1:$AE$1,0)),0)&gt;
 IFERROR(1*INDEX('Durée formacode'!$C$2:$AE$44,0,MATCH(W$1,'Durée formacode'!$C$1:$AE$1,0)),0))*(IFERROR(1*INDEX('Durée formacode'!$C$2:$AE$44,0,MATCH($A29,'Durée formacode'!$C$1:$AE$1,0)),0)-IFERROR(1*INDEX('Durée formacode'!$C$2:$AE$44,0,MATCH(W$1,'Durée formacode'!$C$1:$AE$1,0)),0)))</f>
        <v>1038</v>
      </c>
      <c r="X29" cm="1">
        <f t="array" ref="X29">SUMPRODUCT((IFERROR(1*INDEX('Durée formacode'!$C$2:$AE$44,0,MATCH($A29,'Durée formacode'!$C$1:$AE$1,0)),0)&gt;
 IFERROR(1*INDEX('Durée formacode'!$C$2:$AE$44,0,MATCH(X$1,'Durée formacode'!$C$1:$AE$1,0)),0))*(IFERROR(1*INDEX('Durée formacode'!$C$2:$AE$44,0,MATCH($A29,'Durée formacode'!$C$1:$AE$1,0)),0)-IFERROR(1*INDEX('Durée formacode'!$C$2:$AE$44,0,MATCH(X$1,'Durée formacode'!$C$1:$AE$1,0)),0)))</f>
        <v>1497</v>
      </c>
      <c r="Y29" cm="1">
        <f t="array" ref="Y29">SUMPRODUCT((IFERROR(1*INDEX('Durée formacode'!$C$2:$AE$44,0,MATCH($A29,'Durée formacode'!$C$1:$AE$1,0)),0)&gt;
 IFERROR(1*INDEX('Durée formacode'!$C$2:$AE$44,0,MATCH(Y$1,'Durée formacode'!$C$1:$AE$1,0)),0))*(IFERROR(1*INDEX('Durée formacode'!$C$2:$AE$44,0,MATCH($A29,'Durée formacode'!$C$1:$AE$1,0)),0)-IFERROR(1*INDEX('Durée formacode'!$C$2:$AE$44,0,MATCH(Y$1,'Durée formacode'!$C$1:$AE$1,0)),0)))</f>
        <v>1285</v>
      </c>
      <c r="Z29" cm="1">
        <f t="array" ref="Z29">SUMPRODUCT((IFERROR(1*INDEX('Durée formacode'!$C$2:$AE$44,0,MATCH($A29,'Durée formacode'!$C$1:$AE$1,0)),0)&gt;
 IFERROR(1*INDEX('Durée formacode'!$C$2:$AE$44,0,MATCH(Z$1,'Durée formacode'!$C$1:$AE$1,0)),0))*(IFERROR(1*INDEX('Durée formacode'!$C$2:$AE$44,0,MATCH($A29,'Durée formacode'!$C$1:$AE$1,0)),0)-IFERROR(1*INDEX('Durée formacode'!$C$2:$AE$44,0,MATCH(Z$1,'Durée formacode'!$C$1:$AE$1,0)),0)))</f>
        <v>1285</v>
      </c>
      <c r="AA29" cm="1">
        <f t="array" ref="AA29">SUMPRODUCT((IFERROR(1*INDEX('Durée formacode'!$C$2:$AE$44,0,MATCH($A29,'Durée formacode'!$C$1:$AE$1,0)),0)&gt;
 IFERROR(1*INDEX('Durée formacode'!$C$2:$AE$44,0,MATCH(AA$1,'Durée formacode'!$C$1:$AE$1,0)),0))*(IFERROR(1*INDEX('Durée formacode'!$C$2:$AE$44,0,MATCH($A29,'Durée formacode'!$C$1:$AE$1,0)),0)-IFERROR(1*INDEX('Durée formacode'!$C$2:$AE$44,0,MATCH(AA$1,'Durée formacode'!$C$1:$AE$1,0)),0)))</f>
        <v>1285</v>
      </c>
      <c r="AB29" cm="1">
        <f t="array" ref="AB29">SUMPRODUCT((IFERROR(1*INDEX('Durée formacode'!$C$2:$AE$44,0,MATCH($A29,'Durée formacode'!$C$1:$AE$1,0)),0)&gt;
 IFERROR(1*INDEX('Durée formacode'!$C$2:$AE$44,0,MATCH(AB$1,'Durée formacode'!$C$1:$AE$1,0)),0))*(IFERROR(1*INDEX('Durée formacode'!$C$2:$AE$44,0,MATCH($A29,'Durée formacode'!$C$1:$AE$1,0)),0)-IFERROR(1*INDEX('Durée formacode'!$C$2:$AE$44,0,MATCH(AB$1,'Durée formacode'!$C$1:$AE$1,0)),0)))</f>
        <v>70</v>
      </c>
      <c r="AC29" cm="1">
        <f t="array" ref="AC29">SUMPRODUCT((IFERROR(1*INDEX('Durée formacode'!$C$2:$AE$44,0,MATCH($A29,'Durée formacode'!$C$1:$AE$1,0)),0)&gt;
 IFERROR(1*INDEX('Durée formacode'!$C$2:$AE$44,0,MATCH(AC$1,'Durée formacode'!$C$1:$AE$1,0)),0))*(IFERROR(1*INDEX('Durée formacode'!$C$2:$AE$44,0,MATCH($A29,'Durée formacode'!$C$1:$AE$1,0)),0)-IFERROR(1*INDEX('Durée formacode'!$C$2:$AE$44,0,MATCH(AC$1,'Durée formacode'!$C$1:$AE$1,0)),0)))</f>
        <v>0</v>
      </c>
      <c r="AD29" cm="1">
        <f t="array" ref="AD29">SUMPRODUCT((IFERROR(1*INDEX('Durée formacode'!$C$2:$AE$44,0,MATCH($A29,'Durée formacode'!$C$1:$AE$1,0)),0)&gt;
 IFERROR(1*INDEX('Durée formacode'!$C$2:$AE$44,0,MATCH(AD$1,'Durée formacode'!$C$1:$AE$1,0)),0))*(IFERROR(1*INDEX('Durée formacode'!$C$2:$AE$44,0,MATCH($A29,'Durée formacode'!$C$1:$AE$1,0)),0)-IFERROR(1*INDEX('Durée formacode'!$C$2:$AE$44,0,MATCH(AD$1,'Durée formacode'!$C$1:$AE$1,0)),0)))</f>
        <v>332</v>
      </c>
    </row>
    <row r="30" spans="1:30">
      <c r="A30" s="55" t="str">
        <v>Electromécanicien(ne) de maintenance industrielle</v>
      </c>
      <c r="B30" cm="1">
        <f t="array" ref="B30">SUMPRODUCT((IFERROR(1*INDEX('Durée formacode'!$C$2:$AE$44,0,MATCH($A30,'Durée formacode'!$C$1:$AE$1,0)),0)&gt;
 IFERROR(1*INDEX('Durée formacode'!$C$2:$AE$44,0,MATCH(B$1,'Durée formacode'!$C$1:$AE$1,0)),0))*(IFERROR(1*INDEX('Durée formacode'!$C$2:$AE$44,0,MATCH($A30,'Durée formacode'!$C$1:$AE$1,0)),0)-IFERROR(1*INDEX('Durée formacode'!$C$2:$AE$44,0,MATCH(B$1,'Durée formacode'!$C$1:$AE$1,0)),0)))</f>
        <v>2215</v>
      </c>
      <c r="C30" cm="1">
        <f t="array" ref="C30">SUMPRODUCT((IFERROR(1*INDEX('Durée formacode'!$C$2:$AE$44,0,MATCH($A30,'Durée formacode'!$C$1:$AE$1,0)),0)&gt;
 IFERROR(1*INDEX('Durée formacode'!$C$2:$AE$44,0,MATCH(C$1,'Durée formacode'!$C$1:$AE$1,0)),0))*(IFERROR(1*INDEX('Durée formacode'!$C$2:$AE$44,0,MATCH($A30,'Durée formacode'!$C$1:$AE$1,0)),0)-IFERROR(1*INDEX('Durée formacode'!$C$2:$AE$44,0,MATCH(C$1,'Durée formacode'!$C$1:$AE$1,0)),0)))</f>
        <v>2001</v>
      </c>
      <c r="D30" cm="1">
        <f t="array" ref="D30">SUMPRODUCT((IFERROR(1*INDEX('Durée formacode'!$C$2:$AE$44,0,MATCH($A30,'Durée formacode'!$C$1:$AE$1,0)),0)&gt;
 IFERROR(1*INDEX('Durée formacode'!$C$2:$AE$44,0,MATCH(D$1,'Durée formacode'!$C$1:$AE$1,0)),0))*(IFERROR(1*INDEX('Durée formacode'!$C$2:$AE$44,0,MATCH($A30,'Durée formacode'!$C$1:$AE$1,0)),0)-IFERROR(1*INDEX('Durée formacode'!$C$2:$AE$44,0,MATCH(D$1,'Durée formacode'!$C$1:$AE$1,0)),0)))</f>
        <v>2540</v>
      </c>
      <c r="E30" cm="1">
        <f t="array" ref="E30">SUMPRODUCT((IFERROR(1*INDEX('Durée formacode'!$C$2:$AE$44,0,MATCH($A30,'Durée formacode'!$C$1:$AE$1,0)),0)&gt;
 IFERROR(1*INDEX('Durée formacode'!$C$2:$AE$44,0,MATCH(E$1,'Durée formacode'!$C$1:$AE$1,0)),0))*(IFERROR(1*INDEX('Durée formacode'!$C$2:$AE$44,0,MATCH($A30,'Durée formacode'!$C$1:$AE$1,0)),0)-IFERROR(1*INDEX('Durée formacode'!$C$2:$AE$44,0,MATCH(E$1,'Durée formacode'!$C$1:$AE$1,0)),0)))</f>
        <v>2507</v>
      </c>
      <c r="F30" cm="1">
        <f t="array" ref="F30">SUMPRODUCT((IFERROR(1*INDEX('Durée formacode'!$C$2:$AE$44,0,MATCH($A30,'Durée formacode'!$C$1:$AE$1,0)),0)&gt;
 IFERROR(1*INDEX('Durée formacode'!$C$2:$AE$44,0,MATCH(F$1,'Durée formacode'!$C$1:$AE$1,0)),0))*(IFERROR(1*INDEX('Durée formacode'!$C$2:$AE$44,0,MATCH($A30,'Durée formacode'!$C$1:$AE$1,0)),0)-IFERROR(1*INDEX('Durée formacode'!$C$2:$AE$44,0,MATCH(F$1,'Durée formacode'!$C$1:$AE$1,0)),0)))</f>
        <v>2392</v>
      </c>
      <c r="G30" cm="1">
        <f t="array" ref="G30">SUMPRODUCT((IFERROR(1*INDEX('Durée formacode'!$C$2:$AE$44,0,MATCH($A30,'Durée formacode'!$C$1:$AE$1,0)),0)&gt;
 IFERROR(1*INDEX('Durée formacode'!$C$2:$AE$44,0,MATCH(G$1,'Durée formacode'!$C$1:$AE$1,0)),0))*(IFERROR(1*INDEX('Durée formacode'!$C$2:$AE$44,0,MATCH($A30,'Durée formacode'!$C$1:$AE$1,0)),0)-IFERROR(1*INDEX('Durée formacode'!$C$2:$AE$44,0,MATCH(G$1,'Durée formacode'!$C$1:$AE$1,0)),0)))</f>
        <v>2357</v>
      </c>
      <c r="H30" cm="1">
        <f t="array" ref="H30">SUMPRODUCT((IFERROR(1*INDEX('Durée formacode'!$C$2:$AE$44,0,MATCH($A30,'Durée formacode'!$C$1:$AE$1,0)),0)&gt;
 IFERROR(1*INDEX('Durée formacode'!$C$2:$AE$44,0,MATCH(H$1,'Durée formacode'!$C$1:$AE$1,0)),0))*(IFERROR(1*INDEX('Durée formacode'!$C$2:$AE$44,0,MATCH($A30,'Durée formacode'!$C$1:$AE$1,0)),0)-IFERROR(1*INDEX('Durée formacode'!$C$2:$AE$44,0,MATCH(H$1,'Durée formacode'!$C$1:$AE$1,0)),0)))</f>
        <v>2536</v>
      </c>
      <c r="I30" cm="1">
        <f t="array" ref="I30">SUMPRODUCT((IFERROR(1*INDEX('Durée formacode'!$C$2:$AE$44,0,MATCH($A30,'Durée formacode'!$C$1:$AE$1,0)),0)&gt;
 IFERROR(1*INDEX('Durée formacode'!$C$2:$AE$44,0,MATCH(I$1,'Durée formacode'!$C$1:$AE$1,0)),0))*(IFERROR(1*INDEX('Durée formacode'!$C$2:$AE$44,0,MATCH($A30,'Durée formacode'!$C$1:$AE$1,0)),0)-IFERROR(1*INDEX('Durée formacode'!$C$2:$AE$44,0,MATCH(I$1,'Durée formacode'!$C$1:$AE$1,0)),0)))</f>
        <v>2540</v>
      </c>
      <c r="J30" cm="1">
        <f t="array" ref="J30">SUMPRODUCT((IFERROR(1*INDEX('Durée formacode'!$C$2:$AE$44,0,MATCH($A30,'Durée formacode'!$C$1:$AE$1,0)),0)&gt;
 IFERROR(1*INDEX('Durée formacode'!$C$2:$AE$44,0,MATCH(J$1,'Durée formacode'!$C$1:$AE$1,0)),0))*(IFERROR(1*INDEX('Durée formacode'!$C$2:$AE$44,0,MATCH($A30,'Durée formacode'!$C$1:$AE$1,0)),0)-IFERROR(1*INDEX('Durée formacode'!$C$2:$AE$44,0,MATCH(J$1,'Durée formacode'!$C$1:$AE$1,0)),0)))</f>
        <v>2427</v>
      </c>
      <c r="K30" cm="1">
        <f t="array" ref="K30">SUMPRODUCT((IFERROR(1*INDEX('Durée formacode'!$C$2:$AE$44,0,MATCH($A30,'Durée formacode'!$C$1:$AE$1,0)),0)&gt;
 IFERROR(1*INDEX('Durée formacode'!$C$2:$AE$44,0,MATCH(K$1,'Durée formacode'!$C$1:$AE$1,0)),0))*(IFERROR(1*INDEX('Durée formacode'!$C$2:$AE$44,0,MATCH($A30,'Durée formacode'!$C$1:$AE$1,0)),0)-IFERROR(1*INDEX('Durée formacode'!$C$2:$AE$44,0,MATCH(K$1,'Durée formacode'!$C$1:$AE$1,0)),0)))</f>
        <v>2507</v>
      </c>
      <c r="L30" cm="1">
        <f t="array" ref="L30">SUMPRODUCT((IFERROR(1*INDEX('Durée formacode'!$C$2:$AE$44,0,MATCH($A30,'Durée formacode'!$C$1:$AE$1,0)),0)&gt;
 IFERROR(1*INDEX('Durée formacode'!$C$2:$AE$44,0,MATCH(L$1,'Durée formacode'!$C$1:$AE$1,0)),0))*(IFERROR(1*INDEX('Durée formacode'!$C$2:$AE$44,0,MATCH($A30,'Durée formacode'!$C$1:$AE$1,0)),0)-IFERROR(1*INDEX('Durée formacode'!$C$2:$AE$44,0,MATCH(L$1,'Durée formacode'!$C$1:$AE$1,0)),0)))</f>
        <v>2540</v>
      </c>
      <c r="M30" cm="1">
        <f t="array" ref="M30">SUMPRODUCT((IFERROR(1*INDEX('Durée formacode'!$C$2:$AE$44,0,MATCH($A30,'Durée formacode'!$C$1:$AE$1,0)),0)&gt;
 IFERROR(1*INDEX('Durée formacode'!$C$2:$AE$44,0,MATCH(M$1,'Durée formacode'!$C$1:$AE$1,0)),0))*(IFERROR(1*INDEX('Durée formacode'!$C$2:$AE$44,0,MATCH($A30,'Durée formacode'!$C$1:$AE$1,0)),0)-IFERROR(1*INDEX('Durée formacode'!$C$2:$AE$44,0,MATCH(M$1,'Durée formacode'!$C$1:$AE$1,0)),0)))</f>
        <v>1867</v>
      </c>
      <c r="N30" cm="1">
        <f t="array" ref="N30">SUMPRODUCT((IFERROR(1*INDEX('Durée formacode'!$C$2:$AE$44,0,MATCH($A30,'Durée formacode'!$C$1:$AE$1,0)),0)&gt;
 IFERROR(1*INDEX('Durée formacode'!$C$2:$AE$44,0,MATCH(N$1,'Durée formacode'!$C$1:$AE$1,0)),0))*(IFERROR(1*INDEX('Durée formacode'!$C$2:$AE$44,0,MATCH($A30,'Durée formacode'!$C$1:$AE$1,0)),0)-IFERROR(1*INDEX('Durée formacode'!$C$2:$AE$44,0,MATCH(N$1,'Durée formacode'!$C$1:$AE$1,0)),0)))</f>
        <v>2182</v>
      </c>
      <c r="O30" cm="1">
        <f t="array" ref="O30">SUMPRODUCT((IFERROR(1*INDEX('Durée formacode'!$C$2:$AE$44,0,MATCH($A30,'Durée formacode'!$C$1:$AE$1,0)),0)&gt;
 IFERROR(1*INDEX('Durée formacode'!$C$2:$AE$44,0,MATCH(O$1,'Durée formacode'!$C$1:$AE$1,0)),0))*(IFERROR(1*INDEX('Durée formacode'!$C$2:$AE$44,0,MATCH($A30,'Durée formacode'!$C$1:$AE$1,0)),0)-IFERROR(1*INDEX('Durée formacode'!$C$2:$AE$44,0,MATCH(O$1,'Durée formacode'!$C$1:$AE$1,0)),0)))</f>
        <v>2460</v>
      </c>
      <c r="P30" cm="1">
        <f t="array" ref="P30">SUMPRODUCT((IFERROR(1*INDEX('Durée formacode'!$C$2:$AE$44,0,MATCH($A30,'Durée formacode'!$C$1:$AE$1,0)),0)&gt;
 IFERROR(1*INDEX('Durée formacode'!$C$2:$AE$44,0,MATCH(P$1,'Durée formacode'!$C$1:$AE$1,0)),0))*(IFERROR(1*INDEX('Durée formacode'!$C$2:$AE$44,0,MATCH($A30,'Durée formacode'!$C$1:$AE$1,0)),0)-IFERROR(1*INDEX('Durée formacode'!$C$2:$AE$44,0,MATCH(P$1,'Durée formacode'!$C$1:$AE$1,0)),0)))</f>
        <v>2001</v>
      </c>
      <c r="Q30" cm="1">
        <f t="array" ref="Q30">SUMPRODUCT((IFERROR(1*INDEX('Durée formacode'!$C$2:$AE$44,0,MATCH($A30,'Durée formacode'!$C$1:$AE$1,0)),0)&gt;
 IFERROR(1*INDEX('Durée formacode'!$C$2:$AE$44,0,MATCH(Q$1,'Durée formacode'!$C$1:$AE$1,0)),0))*(IFERROR(1*INDEX('Durée formacode'!$C$2:$AE$44,0,MATCH($A30,'Durée formacode'!$C$1:$AE$1,0)),0)-IFERROR(1*INDEX('Durée formacode'!$C$2:$AE$44,0,MATCH(Q$1,'Durée formacode'!$C$1:$AE$1,0)),0)))</f>
        <v>2145</v>
      </c>
      <c r="R30" cm="1">
        <f t="array" ref="R30">SUMPRODUCT((IFERROR(1*INDEX('Durée formacode'!$C$2:$AE$44,0,MATCH($A30,'Durée formacode'!$C$1:$AE$1,0)),0)&gt;
 IFERROR(1*INDEX('Durée formacode'!$C$2:$AE$44,0,MATCH(R$1,'Durée formacode'!$C$1:$AE$1,0)),0))*(IFERROR(1*INDEX('Durée formacode'!$C$2:$AE$44,0,MATCH($A30,'Durée formacode'!$C$1:$AE$1,0)),0)-IFERROR(1*INDEX('Durée formacode'!$C$2:$AE$44,0,MATCH(R$1,'Durée formacode'!$C$1:$AE$1,0)),0)))</f>
        <v>2536</v>
      </c>
      <c r="S30" cm="1">
        <f t="array" ref="S30">SUMPRODUCT((IFERROR(1*INDEX('Durée formacode'!$C$2:$AE$44,0,MATCH($A30,'Durée formacode'!$C$1:$AE$1,0)),0)&gt;
 IFERROR(1*INDEX('Durée formacode'!$C$2:$AE$44,0,MATCH(S$1,'Durée formacode'!$C$1:$AE$1,0)),0))*(IFERROR(1*INDEX('Durée formacode'!$C$2:$AE$44,0,MATCH($A30,'Durée formacode'!$C$1:$AE$1,0)),0)-IFERROR(1*INDEX('Durée formacode'!$C$2:$AE$44,0,MATCH(S$1,'Durée formacode'!$C$1:$AE$1,0)),0)))</f>
        <v>2215</v>
      </c>
      <c r="T30" cm="1">
        <f t="array" ref="T30">SUMPRODUCT((IFERROR(1*INDEX('Durée formacode'!$C$2:$AE$44,0,MATCH($A30,'Durée formacode'!$C$1:$AE$1,0)),0)&gt;
 IFERROR(1*INDEX('Durée formacode'!$C$2:$AE$44,0,MATCH(T$1,'Durée formacode'!$C$1:$AE$1,0)),0))*(IFERROR(1*INDEX('Durée formacode'!$C$2:$AE$44,0,MATCH($A30,'Durée formacode'!$C$1:$AE$1,0)),0)-IFERROR(1*INDEX('Durée formacode'!$C$2:$AE$44,0,MATCH(T$1,'Durée formacode'!$C$1:$AE$1,0)),0)))</f>
        <v>2001</v>
      </c>
      <c r="U30" cm="1">
        <f t="array" ref="U30">SUMPRODUCT((IFERROR(1*INDEX('Durée formacode'!$C$2:$AE$44,0,MATCH($A30,'Durée formacode'!$C$1:$AE$1,0)),0)&gt;
 IFERROR(1*INDEX('Durée formacode'!$C$2:$AE$44,0,MATCH(U$1,'Durée formacode'!$C$1:$AE$1,0)),0))*(IFERROR(1*INDEX('Durée formacode'!$C$2:$AE$44,0,MATCH($A30,'Durée formacode'!$C$1:$AE$1,0)),0)-IFERROR(1*INDEX('Durée formacode'!$C$2:$AE$44,0,MATCH(U$1,'Durée formacode'!$C$1:$AE$1,0)),0)))</f>
        <v>2215</v>
      </c>
      <c r="V30" cm="1">
        <f t="array" ref="V30">SUMPRODUCT((IFERROR(1*INDEX('Durée formacode'!$C$2:$AE$44,0,MATCH($A30,'Durée formacode'!$C$1:$AE$1,0)),0)&gt;
 IFERROR(1*INDEX('Durée formacode'!$C$2:$AE$44,0,MATCH(V$1,'Durée formacode'!$C$1:$AE$1,0)),0))*(IFERROR(1*INDEX('Durée formacode'!$C$2:$AE$44,0,MATCH($A30,'Durée formacode'!$C$1:$AE$1,0)),0)-IFERROR(1*INDEX('Durée formacode'!$C$2:$AE$44,0,MATCH(V$1,'Durée formacode'!$C$1:$AE$1,0)),0)))</f>
        <v>2001</v>
      </c>
      <c r="W30" cm="1">
        <f t="array" ref="W30">SUMPRODUCT((IFERROR(1*INDEX('Durée formacode'!$C$2:$AE$44,0,MATCH($A30,'Durée formacode'!$C$1:$AE$1,0)),0)&gt;
 IFERROR(1*INDEX('Durée formacode'!$C$2:$AE$44,0,MATCH(W$1,'Durée formacode'!$C$1:$AE$1,0)),0))*(IFERROR(1*INDEX('Durée formacode'!$C$2:$AE$44,0,MATCH($A30,'Durée formacode'!$C$1:$AE$1,0)),0)-IFERROR(1*INDEX('Durée formacode'!$C$2:$AE$44,0,MATCH(W$1,'Durée formacode'!$C$1:$AE$1,0)),0)))</f>
        <v>1968</v>
      </c>
      <c r="X30" cm="1">
        <f t="array" ref="X30">SUMPRODUCT((IFERROR(1*INDEX('Durée formacode'!$C$2:$AE$44,0,MATCH($A30,'Durée formacode'!$C$1:$AE$1,0)),0)&gt;
 IFERROR(1*INDEX('Durée formacode'!$C$2:$AE$44,0,MATCH(X$1,'Durée formacode'!$C$1:$AE$1,0)),0))*(IFERROR(1*INDEX('Durée formacode'!$C$2:$AE$44,0,MATCH($A30,'Durée formacode'!$C$1:$AE$1,0)),0)-IFERROR(1*INDEX('Durée formacode'!$C$2:$AE$44,0,MATCH(X$1,'Durée formacode'!$C$1:$AE$1,0)),0)))</f>
        <v>2427</v>
      </c>
      <c r="Y30" cm="1">
        <f t="array" ref="Y30">SUMPRODUCT((IFERROR(1*INDEX('Durée formacode'!$C$2:$AE$44,0,MATCH($A30,'Durée formacode'!$C$1:$AE$1,0)),0)&gt;
 IFERROR(1*INDEX('Durée formacode'!$C$2:$AE$44,0,MATCH(Y$1,'Durée formacode'!$C$1:$AE$1,0)),0))*(IFERROR(1*INDEX('Durée formacode'!$C$2:$AE$44,0,MATCH($A30,'Durée formacode'!$C$1:$AE$1,0)),0)-IFERROR(1*INDEX('Durée formacode'!$C$2:$AE$44,0,MATCH(Y$1,'Durée formacode'!$C$1:$AE$1,0)),0)))</f>
        <v>2215</v>
      </c>
      <c r="Z30" cm="1">
        <f t="array" ref="Z30">SUMPRODUCT((IFERROR(1*INDEX('Durée formacode'!$C$2:$AE$44,0,MATCH($A30,'Durée formacode'!$C$1:$AE$1,0)),0)&gt;
 IFERROR(1*INDEX('Durée formacode'!$C$2:$AE$44,0,MATCH(Z$1,'Durée formacode'!$C$1:$AE$1,0)),0))*(IFERROR(1*INDEX('Durée formacode'!$C$2:$AE$44,0,MATCH($A30,'Durée formacode'!$C$1:$AE$1,0)),0)-IFERROR(1*INDEX('Durée formacode'!$C$2:$AE$44,0,MATCH(Z$1,'Durée formacode'!$C$1:$AE$1,0)),0)))</f>
        <v>2215</v>
      </c>
      <c r="AA30" cm="1">
        <f t="array" ref="AA30">SUMPRODUCT((IFERROR(1*INDEX('Durée formacode'!$C$2:$AE$44,0,MATCH($A30,'Durée formacode'!$C$1:$AE$1,0)),0)&gt;
 IFERROR(1*INDEX('Durée formacode'!$C$2:$AE$44,0,MATCH(AA$1,'Durée formacode'!$C$1:$AE$1,0)),0))*(IFERROR(1*INDEX('Durée formacode'!$C$2:$AE$44,0,MATCH($A30,'Durée formacode'!$C$1:$AE$1,0)),0)-IFERROR(1*INDEX('Durée formacode'!$C$2:$AE$44,0,MATCH(AA$1,'Durée formacode'!$C$1:$AE$1,0)),0)))</f>
        <v>2215</v>
      </c>
      <c r="AB30" cm="1">
        <f t="array" ref="AB30">SUMPRODUCT((IFERROR(1*INDEX('Durée formacode'!$C$2:$AE$44,0,MATCH($A30,'Durée formacode'!$C$1:$AE$1,0)),0)&gt;
 IFERROR(1*INDEX('Durée formacode'!$C$2:$AE$44,0,MATCH(AB$1,'Durée formacode'!$C$1:$AE$1,0)),0))*(IFERROR(1*INDEX('Durée formacode'!$C$2:$AE$44,0,MATCH($A30,'Durée formacode'!$C$1:$AE$1,0)),0)-IFERROR(1*INDEX('Durée formacode'!$C$2:$AE$44,0,MATCH(AB$1,'Durée formacode'!$C$1:$AE$1,0)),0)))</f>
        <v>1262</v>
      </c>
      <c r="AC30" cm="1">
        <f t="array" ref="AC30">SUMPRODUCT((IFERROR(1*INDEX('Durée formacode'!$C$2:$AE$44,0,MATCH($A30,'Durée formacode'!$C$1:$AE$1,0)),0)&gt;
 IFERROR(1*INDEX('Durée formacode'!$C$2:$AE$44,0,MATCH(AC$1,'Durée formacode'!$C$1:$AE$1,0)),0))*(IFERROR(1*INDEX('Durée formacode'!$C$2:$AE$44,0,MATCH($A30,'Durée formacode'!$C$1:$AE$1,0)),0)-IFERROR(1*INDEX('Durée formacode'!$C$2:$AE$44,0,MATCH(AC$1,'Durée formacode'!$C$1:$AE$1,0)),0)))</f>
        <v>1262</v>
      </c>
      <c r="AD30" cm="1">
        <f t="array" ref="AD30">SUMPRODUCT((IFERROR(1*INDEX('Durée formacode'!$C$2:$AE$44,0,MATCH($A30,'Durée formacode'!$C$1:$AE$1,0)),0)&gt;
 IFERROR(1*INDEX('Durée formacode'!$C$2:$AE$44,0,MATCH(AD$1,'Durée formacode'!$C$1:$AE$1,0)),0))*(IFERROR(1*INDEX('Durée formacode'!$C$2:$AE$44,0,MATCH($A30,'Durée formacode'!$C$1:$AE$1,0)),0)-IFERROR(1*INDEX('Durée formacode'!$C$2:$AE$44,0,MATCH(AD$1,'Durée formacode'!$C$1:$AE$1,0)),0)))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A483C-5EB1-4888-A24C-7B27D3450ECA}">
  <sheetPr codeName="Feuil9">
    <tabColor theme="5"/>
  </sheetPr>
  <dimension ref="A1:AO44"/>
  <sheetViews>
    <sheetView topLeftCell="D1" zoomScale="87" zoomScaleNormal="130" workbookViewId="0">
      <selection activeCell="K6" sqref="K6"/>
    </sheetView>
  </sheetViews>
  <sheetFormatPr defaultColWidth="21.7109375" defaultRowHeight="15"/>
  <cols>
    <col min="2" max="2" width="12" style="2" customWidth="1"/>
    <col min="3" max="3" width="17" style="2" customWidth="1"/>
    <col min="4" max="4" width="19.140625" style="2" customWidth="1"/>
    <col min="5" max="5" width="7.85546875" style="2" customWidth="1"/>
    <col min="6" max="8" width="4.42578125" customWidth="1"/>
    <col min="9" max="9" width="8" style="2" customWidth="1"/>
    <col min="10" max="10" width="30.7109375" customWidth="1"/>
    <col min="11" max="11" width="16.28515625" customWidth="1"/>
    <col min="12" max="12" width="11.28515625" customWidth="1"/>
    <col min="13" max="13" width="7.42578125" customWidth="1"/>
    <col min="14" max="14" width="3.7109375" customWidth="1"/>
    <col min="15" max="15" width="6.28515625" customWidth="1"/>
    <col min="16" max="16" width="8.5703125" customWidth="1"/>
    <col min="17" max="17" width="10.7109375" customWidth="1"/>
    <col min="18" max="18" width="4.5703125" customWidth="1"/>
    <col min="19" max="19" width="5.28515625" customWidth="1"/>
    <col min="20" max="20" width="30.5703125" customWidth="1"/>
    <col min="21" max="21" width="9.85546875" customWidth="1"/>
    <col min="22" max="22" width="6.85546875" customWidth="1"/>
    <col min="23" max="23" width="29" customWidth="1"/>
    <col min="24" max="24" width="6.85546875" customWidth="1"/>
    <col min="25" max="25" width="7.42578125" customWidth="1"/>
    <col min="26" max="26" width="3.7109375" customWidth="1"/>
    <col min="27" max="27" width="4.28515625" customWidth="1"/>
    <col min="28" max="28" width="26.7109375" customWidth="1"/>
    <col min="29" max="29" width="10.7109375" customWidth="1"/>
    <col min="30" max="30" width="5.85546875" customWidth="1"/>
    <col min="31" max="31" width="26.85546875" customWidth="1"/>
    <col min="32" max="32" width="7.28515625" customWidth="1"/>
    <col min="33" max="33" width="5.85546875" customWidth="1"/>
    <col min="34" max="34" width="2.5703125" customWidth="1"/>
    <col min="35" max="35" width="5.42578125" customWidth="1"/>
    <col min="37" max="37" width="9.5703125" customWidth="1"/>
    <col min="38" max="38" width="7.5703125" style="16" customWidth="1"/>
    <col min="39" max="39" width="26.85546875" customWidth="1"/>
    <col min="40" max="40" width="9.85546875" customWidth="1"/>
    <col min="41" max="41" width="8.28515625" customWidth="1"/>
  </cols>
  <sheetData>
    <row r="1" spans="1:41" ht="15" customHeight="1">
      <c r="S1" s="42" t="s">
        <v>60</v>
      </c>
      <c r="T1" s="67" t="str">
        <f>'Métiers passerelles'!J8</f>
        <v>Chauffeur(se) livreur(se)</v>
      </c>
      <c r="U1" s="67"/>
      <c r="V1" s="67"/>
      <c r="W1" s="67"/>
      <c r="X1" s="67"/>
      <c r="Y1" s="39">
        <f>'Métiers passerelles'!L8</f>
        <v>689</v>
      </c>
      <c r="AA1" s="42" t="s">
        <v>61</v>
      </c>
      <c r="AB1" s="67" t="str">
        <f>'Métiers passerelles'!J9</f>
        <v>Conducteur(trice) de livraison et de collecte</v>
      </c>
      <c r="AC1" s="67"/>
      <c r="AD1" s="67"/>
      <c r="AE1" s="67"/>
      <c r="AF1" s="67"/>
      <c r="AG1" s="39">
        <f>'Métiers passerelles'!L9</f>
        <v>769</v>
      </c>
      <c r="AI1" s="42" t="s">
        <v>62</v>
      </c>
      <c r="AJ1" s="67" t="str">
        <f>'Métiers passerelles'!J10</f>
        <v>Régleur(se)</v>
      </c>
      <c r="AK1" s="67"/>
      <c r="AL1" s="67"/>
      <c r="AM1" s="67"/>
      <c r="AN1" s="67"/>
      <c r="AO1" s="39">
        <f>'Métiers passerelles'!L10</f>
        <v>924</v>
      </c>
    </row>
    <row r="2" spans="1:41">
      <c r="S2" s="71" t="s">
        <v>63</v>
      </c>
      <c r="T2" s="72"/>
      <c r="U2" s="72"/>
      <c r="V2" s="73"/>
      <c r="W2" s="68" t="s">
        <v>64</v>
      </c>
      <c r="X2" s="69"/>
      <c r="Y2" s="70"/>
      <c r="AA2" s="71" t="s">
        <v>63</v>
      </c>
      <c r="AB2" s="72"/>
      <c r="AC2" s="72"/>
      <c r="AD2" s="73"/>
      <c r="AE2" s="68" t="s">
        <v>64</v>
      </c>
      <c r="AF2" s="69"/>
      <c r="AG2" s="70"/>
      <c r="AI2" s="68" t="s">
        <v>63</v>
      </c>
      <c r="AJ2" s="69"/>
      <c r="AK2" s="69"/>
      <c r="AL2" s="70"/>
      <c r="AM2" s="68" t="s">
        <v>64</v>
      </c>
      <c r="AN2" s="69"/>
      <c r="AO2" s="70"/>
    </row>
    <row r="3" spans="1:41" ht="16.5" thickBot="1">
      <c r="A3" s="9" t="s">
        <v>65</v>
      </c>
      <c r="J3" s="4" t="s">
        <v>66</v>
      </c>
      <c r="K3" s="5">
        <v>1</v>
      </c>
      <c r="P3" s="45"/>
      <c r="S3" s="18"/>
      <c r="T3" s="26" t="str">
        <f>IF(U3="","",_xlfn.XLOOKUP(U3,Formacode!A:A,Formacode!B:B,0,1))</f>
        <v>Contrôle qualité</v>
      </c>
      <c r="U3" s="28" cm="1">
        <f t="array" ref="U3">IFERROR(INDEX('Durée formacode'!$B$2:$B$200,
SMALL(IF((ISNUMBER(INDEX('Durée formacode'!$C$2:$AA$200,,
MATCH('Métiers passerelles'!$B$4,'Durée formacode'!$C$1:$AA$1,0))))*(ISNUMBER(INDEX('Durée formacode'!$C$2:$AA$200,,
MATCH('Métiers passerelles'!$J$8,'Durée formacode'!$C$1:$AA$1,0)))),
ROW('Durée formacode'!$B$2:$B$200)-ROW('Durée formacode'!$B$2)+1),
ROWS($N$8:N8))),
"")</f>
        <v>31436</v>
      </c>
      <c r="V3" s="47">
        <f>IF(U3="","",MAX(INDEX('Durée formacode'!$C$2:$Z$200,
         MATCH(U3,'Durée formacode'!$B$2:$B$200,0),
         MATCH($J$8,'Durée formacode'!$C$1:$Z$1,0))-INDEX('Durée formacode'!$C$2:$Z$200,
         MATCH(U3,'Durée formacode'!$B$2:$B$200,0),
         MATCH($B$4,'Durée formacode'!$C$1:$Z$1,0)),0))</f>
        <v>0</v>
      </c>
      <c r="W3" s="30" t="str">
        <f>IF(X3="","",_xlfn.XLOOKUP(X3,Formacode!A:A,Formacode!B:B,0,1))</f>
        <v>Livraison</v>
      </c>
      <c r="X3" s="33" cm="1">
        <f t="array" ref="X3">IFERROR(INDEX('Durée formacode'!$B$2:$B$200,
SMALL(IF((NOT(ISNUMBER(INDEX('Durée formacode'!$C$2:$AA$200,,
MATCH('Métiers passerelles'!$B$4,'Durée formacode'!$C$1:$AA$1,0)))))*(ISNUMBER(INDEX('Durée formacode'!$C$2:$AA$200,,
MATCH('Métiers passerelles'!$J$8,'Durée formacode'!$C$1:$AA$1,0)))),
ROW('Durée formacode'!$B$2:$B$200)-ROW('Durée formacode'!$B$2)+1),
ROWS($N$8:N8))),
"")</f>
        <v>31807</v>
      </c>
      <c r="Y3" s="37">
        <f>IFERROR(IF(X3="","",
IF(INDEX('Durée formacode'!$C$2:$Z$200,
      MATCH(X3,'Durée formacode'!$B$2:$B$200,0),
      MATCH($B$4,'Durée formacode'!$C$1:$Z$1,0))="",
INDEX('Durée formacode'!$C$2:$Z$200,
      MATCH(X3,'Durée formacode'!$B$2:$B$200,0),
      MATCH($J$8,'Durée formacode'!$C$1:$Z$1,0)),
"")),
"")</f>
        <v>209</v>
      </c>
      <c r="AA3" s="18"/>
      <c r="AB3" s="26" t="str">
        <f>IF(AC3="","",_xlfn.XLOOKUP(AC3,Formacode!A:A,Formacode!B:B,0,1))</f>
        <v>Contrôle qualité</v>
      </c>
      <c r="AC3" s="28" cm="1">
        <f t="array" ref="AC3">IFERROR(INDEX('Durée formacode'!$B$2:$B$200,
SMALL(IF((ISNUMBER(INDEX('Durée formacode'!$C$2:$AA$200,,
MATCH('Métiers passerelles'!$B$4,'Durée formacode'!$C$1:$AA$1,0))))*(ISNUMBER(INDEX('Durée formacode'!$C$2:$AA$200,,
MATCH($J$9,'Durée formacode'!$C$1:$AA$1,0)))),
ROW('Durée formacode'!$B$2:$B$200)-ROW('Durée formacode'!$B$2)+1),
ROWS($N$9:N9))),
"")</f>
        <v>31436</v>
      </c>
      <c r="AD3" s="35">
        <f>IF(AC3="","",MAX(INDEX('Durée formacode'!$C$2:$Z$200,
         MATCH(AC3,'Durée formacode'!$B$2:$B$200,0),
         MATCH($J$9,'Durée formacode'!$C$1:$Z$1,0))-INDEX('Durée formacode'!$C$2:$Z$200,
         MATCH(AC3,'Durée formacode'!$B$2:$B$200,0),
         MATCH($B$4,'Durée formacode'!$C$1:$Z$1,0)),0))</f>
        <v>0</v>
      </c>
      <c r="AE3" s="30" t="str">
        <f>IF(AF3="","",_xlfn.XLOOKUP(AF3,Formacode!A:A,Formacode!B:B,0,1))</f>
        <v>Règlementation hygiène agroalimentaire</v>
      </c>
      <c r="AF3" s="33" cm="1">
        <f t="array" ref="AF3">IFERROR(INDEX('Durée formacode'!$B$2:$B$200,
SMALL(IF((NOT(ISNUMBER(INDEX('Durée formacode'!$C$2:$AA$200,,
MATCH('Métiers passerelles'!$B$4,'Durée formacode'!$C$1:$AA$1,0)))))*(ISNUMBER(INDEX('Durée formacode'!$C$2:$AA$200,,
MATCH('Métiers passerelles'!$J$9,'Durée formacode'!$C$1:$AA$1,0)))),
ROW('Durée formacode'!$B$2:$B$200)-ROW('Durée formacode'!$B$2)+1),
ROWS($N$9:N9))),
"")</f>
        <v>21572</v>
      </c>
      <c r="AG3" s="37">
        <f>IFERROR(IF(AF3="","",
IF(INDEX('Durée formacode'!$C$2:$Z$200,
      MATCH(AF3,'Durée formacode'!$B$2:$B$200,0),
      MATCH($B$4,'Durée formacode'!$C$1:$Z$1,0))="",
INDEX('Durée formacode'!$C$2:$Z$200,
      MATCH(AF3,'Durée formacode'!$B$2:$B$200,0),
      MATCH($J$9,'Durée formacode'!$C$1:$Z$1,0)),
"")),
"")</f>
        <v>80</v>
      </c>
      <c r="AI3" s="30"/>
      <c r="AJ3" s="33" t="str">
        <f>IF(AK3="","",_xlfn.XLOOKUP(AK3,Formacode!A:A,Formacode!B:B,0,1))</f>
        <v>Contrôle qualité</v>
      </c>
      <c r="AK3" s="37" cm="1">
        <f t="array" ref="AK3">IFERROR(INDEX('Durée formacode'!$B$2:$B$200,
SMALL(IF((ISNUMBER(INDEX('Durée formacode'!$C$2:$AA$200,,
MATCH('Métiers passerelles'!$B$4,'Durée formacode'!$C$1:$AA$1,0))))*(ISNUMBER(INDEX('Durée formacode'!$C$2:$AA$200,,
MATCH('Métiers passerelles'!$J$10,'Durée formacode'!$C$1:$AA$1,0)))),
ROW('Durée formacode'!$B$2:$B$200)-ROW('Durée formacode'!$B$2)+1),
ROWS($N$10:N10))),
"")</f>
        <v>31436</v>
      </c>
      <c r="AL3" s="44">
        <f>IF(AK3="","",MAX(INDEX('Durée formacode'!$C$2:$Z$200,
         MATCH(AK3,'Durée formacode'!$B$2:$B$200,0),
         MATCH($J$10,'Durée formacode'!$C$1:$Z$1,0))-INDEX('Durée formacode'!$C$2:$Z$200,
         MATCH(AK3,'Durée formacode'!$B$2:$B$200,0),
         MATCH($B$4,'Durée formacode'!$C$1:$Z$1,0)),0))</f>
        <v>175</v>
      </c>
      <c r="AM3" s="30" t="str">
        <f>IF(AN3="","",_xlfn.XLOOKUP(AN3,Formacode!A:A,Formacode!B:B,0,1))</f>
        <v>Bonnes pratiques hygiène agroalimentaire</v>
      </c>
      <c r="AN3" s="33" cm="1">
        <f t="array" ref="AN3">IFERROR(INDEX('Durée formacode'!$B$2:$B$200,
SMALL(IF((NOT(ISNUMBER(INDEX('Durée formacode'!$C$2:$AA$200,,
MATCH('Métiers passerelles'!$B$4,'Durée formacode'!$C$1:$AA$1,0)))))*(ISNUMBER(INDEX('Durée formacode'!$C$2:$AA$200,,
MATCH('Métiers passerelles'!$J$10,'Durée formacode'!$C$1:$AA$1,0)))),
ROW('Durée formacode'!$B$2:$B$200)-ROW('Durée formacode'!$B$2)+1),
ROWS($N$10:N10))),
"")</f>
        <v>21547</v>
      </c>
      <c r="AO3" s="37">
        <f>IFERROR(IF(AN3="","",
IF(INDEX('Durée formacode'!$C$2:$Z$200,
      MATCH(AN3,'Durée formacode'!$B$2:$B$200,0),
      MATCH($B$4,'Durée formacode'!$C$1:$Z$1,0))="",
INDEX('Durée formacode'!$C$2:$Z$200,
      MATCH(AN3,'Durée formacode'!$B$2:$B$200,0),
      MATCH($J$10,'Durée formacode'!$C$1:$Z$1,0)),
"")),
"")</f>
        <v>245</v>
      </c>
    </row>
    <row r="4" spans="1:41" ht="19.5" customHeight="1">
      <c r="B4" s="74" t="s">
        <v>32</v>
      </c>
      <c r="C4" s="75"/>
      <c r="J4" s="4" t="s">
        <v>67</v>
      </c>
      <c r="K4" s="5">
        <v>2000</v>
      </c>
      <c r="S4" s="18"/>
      <c r="T4" s="27" t="str">
        <f>IF(U4="","",_xlfn.XLOOKUP(U4,Formacode!A:A,Formacode!B:B,0,1))</f>
        <v>Manutention</v>
      </c>
      <c r="U4" s="28" cm="1">
        <f t="array" ref="U4">IFERROR(INDEX('Durée formacode'!$B$2:$B$200,
SMALL(IF((ISNUMBER(INDEX('Durée formacode'!$C$2:$AA$200,,
MATCH('Métiers passerelles'!$B$4,'Durée formacode'!$C$1:$AA$1,0))))*(ISNUMBER(INDEX('Durée formacode'!$C$2:$AA$200,,
MATCH('Métiers passerelles'!$J$8,'Durée formacode'!$C$1:$AA$1,0)))),
ROW('Durée formacode'!$B$2:$B$200)-ROW('Durée formacode'!$B$2)+1),
ROWS($N$8:N9))),
"")</f>
        <v>31754</v>
      </c>
      <c r="V4" s="48">
        <f>IF(U4="","",MAX(INDEX('Durée formacode'!$C$2:$Z$200,
         MATCH(U4,'Durée formacode'!$B$2:$B$200,0),
         MATCH($J$8,'Durée formacode'!$C$1:$Z$1,0))-INDEX('Durée formacode'!$C$2:$Z$200,
         MATCH(U4,'Durée formacode'!$B$2:$B$200,0),
         MATCH($B$4,'Durée formacode'!$C$1:$Z$1,0)),0))</f>
        <v>0</v>
      </c>
      <c r="W4" s="40" t="str">
        <f>IF(X4="","",_xlfn.XLOOKUP(X4,Formacode!A:A,Formacode!B:B,0,1))</f>
        <v>Transport routier</v>
      </c>
      <c r="X4" s="33" cm="1">
        <f t="array" ref="X4">IFERROR(INDEX('Durée formacode'!$B$2:$B$200,
SMALL(IF((NOT(ISNUMBER(INDEX('Durée formacode'!$C$2:$AA$200,,
MATCH('Métiers passerelles'!$B$4,'Durée formacode'!$C$1:$AA$1,0)))))*(ISNUMBER(INDEX('Durée formacode'!$C$2:$AA$200,,
MATCH('Métiers passerelles'!$J$8,'Durée formacode'!$C$1:$AA$1,0)))),
ROW('Durée formacode'!$B$2:$B$200)-ROW('Durée formacode'!$B$2)+1),
ROWS($N$8:N9))),
"")</f>
        <v>31833</v>
      </c>
      <c r="Y4" s="41">
        <f>IFERROR(IF(X4="","",
IF(INDEX('Durée formacode'!$C$2:$Z$200,
      MATCH(X4,'Durée formacode'!$B$2:$B$200,0),
      MATCH($B$4,'Durée formacode'!$C$1:$Z$1,0))="",
INDEX('Durée formacode'!$C$2:$Z$200,
      MATCH(X4,'Durée formacode'!$B$2:$B$200,0),
      MATCH($J$8,'Durée formacode'!$C$1:$Z$1,0)),
"")),
"")</f>
        <v>480</v>
      </c>
      <c r="AA4" s="18"/>
      <c r="AB4" s="27" t="str">
        <f>IF(AC4="","",_xlfn.XLOOKUP(AC4,Formacode!A:A,Formacode!B:B,0,1))</f>
        <v>Manutention</v>
      </c>
      <c r="AC4" s="28" cm="1">
        <f t="array" ref="AC4">IFERROR(INDEX('Durée formacode'!$B$2:$B$200,
SMALL(IF((ISNUMBER(INDEX('Durée formacode'!$C$2:$AA$200,,
MATCH('Métiers passerelles'!$B$4,'Durée formacode'!$C$1:$AA$1,0))))*(ISNUMBER(INDEX('Durée formacode'!$C$2:$AA$200,,
MATCH($J$9,'Durée formacode'!$C$1:$AA$1,0)))),
ROW('Durée formacode'!$B$2:$B$200)-ROW('Durée formacode'!$B$2)+1),
ROWS($N$9:N10))),
"")</f>
        <v>31754</v>
      </c>
      <c r="AD4" s="36">
        <f>IF(AC4="","",MAX(INDEX('Durée formacode'!$C$2:$Z$200,
         MATCH(AC4,'Durée formacode'!$B$2:$B$200,0),
         MATCH($J$9,'Durée formacode'!$C$1:$Z$1,0))-INDEX('Durée formacode'!$C$2:$Z$200,
         MATCH(AC4,'Durée formacode'!$B$2:$B$200,0),
         MATCH($B$4,'Durée formacode'!$C$1:$Z$1,0)),0))</f>
        <v>0</v>
      </c>
      <c r="AE4" s="40" t="str">
        <f>IF(AF4="","",_xlfn.XLOOKUP(AF4,Formacode!A:A,Formacode!B:B,0,1))</f>
        <v>Livraison</v>
      </c>
      <c r="AF4" s="33" cm="1">
        <f t="array" ref="AF4">IFERROR(INDEX('Durée formacode'!$B$2:$B$200,
SMALL(IF((NOT(ISNUMBER(INDEX('Durée formacode'!$C$2:$AA$200,,
MATCH('Métiers passerelles'!$B$4,'Durée formacode'!$C$1:$AA$1,0)))))*(ISNUMBER(INDEX('Durée formacode'!$C$2:$AA$200,,
MATCH('Métiers passerelles'!$J$9,'Durée formacode'!$C$1:$AA$1,0)))),
ROW('Durée formacode'!$B$2:$B$200)-ROW('Durée formacode'!$B$2)+1),
ROWS($N$9:N10))),
"")</f>
        <v>31807</v>
      </c>
      <c r="AG4" s="41">
        <f>IFERROR(IF(AF4="","",
IF(INDEX('Durée formacode'!$C$2:$Z$200,
      MATCH(AF4,'Durée formacode'!$B$2:$B$200,0),
      MATCH($B$4,'Durée formacode'!$C$1:$Z$1,0))="",
INDEX('Durée formacode'!$C$2:$Z$200,
      MATCH(AF4,'Durée formacode'!$B$2:$B$200,0),
      MATCH($J$9,'Durée formacode'!$C$1:$Z$1,0)),
"")),
"")</f>
        <v>209</v>
      </c>
      <c r="AI4" s="30"/>
      <c r="AJ4" s="33" t="str">
        <f>IF(AK4="","",_xlfn.XLOOKUP(AK4,Formacode!A:A,Formacode!B:B,0,1))</f>
        <v/>
      </c>
      <c r="AK4" s="37" t="str" cm="1">
        <f t="array" ref="AK4">IFERROR(INDEX('Durée formacode'!$B$2:$B$200,
SMALL(IF((ISNUMBER(INDEX('Durée formacode'!$C$2:$AA$200,,
MATCH('Métiers passerelles'!$B$4,'Durée formacode'!$C$1:$AA$1,0))))*(ISNUMBER(INDEX('Durée formacode'!$C$2:$AA$200,,
MATCH('Métiers passerelles'!$J$10,'Durée formacode'!$C$1:$AA$1,0)))),
ROW('Durée formacode'!$B$2:$B$200)-ROW('Durée formacode'!$B$2)+1),
ROWS($N$10:N11))),
"")</f>
        <v/>
      </c>
      <c r="AL4" s="44" t="str">
        <f>IF(AK4="","",MAX(INDEX('Durée formacode'!$C$2:$Z$200,
         MATCH(AK4,'Durée formacode'!$B$2:$B$200,0),
         MATCH($J$10,'Durée formacode'!$C$1:$Z$1,0))-INDEX('Durée formacode'!$C$2:$Z$200,
         MATCH(AK4,'Durée formacode'!$B$2:$B$200,0),
         MATCH($B$4,'Durée formacode'!$C$1:$Z$1,0)),0))</f>
        <v/>
      </c>
      <c r="AM4" s="30" t="str">
        <f>IF(AN4="","",_xlfn.XLOOKUP(AN4,Formacode!A:A,Formacode!B:B,0,1))</f>
        <v>Règlementation hygiène agroalimentaire</v>
      </c>
      <c r="AN4" s="33" cm="1">
        <f t="array" ref="AN4">IFERROR(INDEX('Durée formacode'!$B$2:$B$200,
SMALL(IF((NOT(ISNUMBER(INDEX('Durée formacode'!$C$2:$AA$200,,
MATCH('Métiers passerelles'!$B$4,'Durée formacode'!$C$1:$AA$1,0)))))*(ISNUMBER(INDEX('Durée formacode'!$C$2:$AA$200,,
MATCH('Métiers passerelles'!$J$10,'Durée formacode'!$C$1:$AA$1,0)))),
ROW('Durée formacode'!$B$2:$B$200)-ROW('Durée formacode'!$B$2)+1),
ROWS($N$10:N11))),
"")</f>
        <v>21572</v>
      </c>
      <c r="AO4" s="37">
        <f>IFERROR(IF(AN4="","",
IF(INDEX('Durée formacode'!$C$2:$Z$200,
      MATCH(AN4,'Durée formacode'!$B$2:$B$200,0),
      MATCH($B$4,'Durée formacode'!$C$1:$Z$1,0))="",
INDEX('Durée formacode'!$C$2:$Z$200,
      MATCH(AN4,'Durée formacode'!$B$2:$B$200,0),
      MATCH($J$10,'Durée formacode'!$C$1:$Z$1,0)),
"")),
"")</f>
        <v>80</v>
      </c>
    </row>
    <row r="5" spans="1:41" ht="15.75" thickBot="1">
      <c r="B5" s="76"/>
      <c r="C5" s="77"/>
      <c r="J5" s="4" t="s">
        <v>68</v>
      </c>
      <c r="K5" s="5">
        <v>0.1</v>
      </c>
      <c r="S5" s="18"/>
      <c r="T5" s="26" t="str">
        <f>IF(U5="","",_xlfn.XLOOKUP(U5,Formacode!A:A,Formacode!B:B,0,1))</f>
        <v/>
      </c>
      <c r="U5" s="28" t="str" cm="1">
        <f t="array" ref="U5">IFERROR(INDEX('Durée formacode'!$B$2:$B$200,
SMALL(IF((ISNUMBER(INDEX('Durée formacode'!$C$2:$AA$200,,
MATCH('Métiers passerelles'!$B$4,'Durée formacode'!$C$1:$AA$1,0))))*(ISNUMBER(INDEX('Durée formacode'!$C$2:$AA$200,,
MATCH('Métiers passerelles'!$J$8,'Durée formacode'!$C$1:$AA$1,0)))),
ROW('Durée formacode'!$B$2:$B$200)-ROW('Durée formacode'!$B$2)+1),
ROWS($N$8:N10))),
"")</f>
        <v/>
      </c>
      <c r="V5" s="48" t="str">
        <f>IF(U5="","",MAX(INDEX('Durée formacode'!$C$2:$Z$200,
         MATCH(U5,'Durée formacode'!$B$2:$B$200,0),
         MATCH($J$8,'Durée formacode'!$C$1:$Z$1,0))-INDEX('Durée formacode'!$C$2:$Z$200,
         MATCH(U5,'Durée formacode'!$B$2:$B$200,0),
         MATCH($B$4,'Durée formacode'!$C$1:$Z$1,0)),0))</f>
        <v/>
      </c>
      <c r="W5" s="31" t="str">
        <f>IF(X5="","",_xlfn.XLOOKUP(X5,Formacode!A:A,Formacode!B:B,0,1))</f>
        <v/>
      </c>
      <c r="X5" s="33" t="str" cm="1">
        <f t="array" ref="X5">IFERROR(INDEX('Durée formacode'!$B$2:$B$200,
SMALL(IF((NOT(ISNUMBER(INDEX('Durée formacode'!$C$2:$AA$200,,
MATCH('Métiers passerelles'!$B$4,'Durée formacode'!$C$1:$AA$1,0)))))*(ISNUMBER(INDEX('Durée formacode'!$C$2:$AA$200,,
MATCH('Métiers passerelles'!$J$8,'Durée formacode'!$C$1:$AA$1,0)))),
ROW('Durée formacode'!$B$2:$B$200)-ROW('Durée formacode'!$B$2)+1),
ROWS($N$8:N10))),
"")</f>
        <v/>
      </c>
      <c r="Y5" s="23" t="str">
        <f>IFERROR(IF(X5="","",
IF(INDEX('Durée formacode'!$C$2:$Z$200,
      MATCH(X5,'Durée formacode'!$B$2:$B$200,0),
      MATCH($B$4,'Durée formacode'!$C$1:$Z$1,0))="",
INDEX('Durée formacode'!$C$2:$Z$200,
      MATCH(X5,'Durée formacode'!$B$2:$B$200,0),
      MATCH($J$8,'Durée formacode'!$C$1:$Z$1,0)),
"")),
"")</f>
        <v/>
      </c>
      <c r="AA5" s="18"/>
      <c r="AB5" s="26" t="str">
        <f>IF(AC5="","",_xlfn.XLOOKUP(AC5,Formacode!A:A,Formacode!B:B,0,1))</f>
        <v/>
      </c>
      <c r="AC5" s="28" t="str" cm="1">
        <f t="array" ref="AC5">IFERROR(INDEX('Durée formacode'!$B$2:$B$200,
SMALL(IF((ISNUMBER(INDEX('Durée formacode'!$C$2:$AA$200,,
MATCH('Métiers passerelles'!$B$4,'Durée formacode'!$C$1:$AA$1,0))))*(ISNUMBER(INDEX('Durée formacode'!$C$2:$AA$200,,
MATCH($J$9,'Durée formacode'!$C$1:$AA$1,0)))),
ROW('Durée formacode'!$B$2:$B$200)-ROW('Durée formacode'!$B$2)+1),
ROWS($N$9:N11))),
"")</f>
        <v/>
      </c>
      <c r="AD5" s="36" t="str">
        <f>IF(AC5="","",MAX(INDEX('Durée formacode'!$C$2:$Z$200,
         MATCH(AC5,'Durée formacode'!$B$2:$B$200,0),
         MATCH($J$9,'Durée formacode'!$C$1:$Z$1,0))-INDEX('Durée formacode'!$C$2:$Z$200,
         MATCH(AC5,'Durée formacode'!$B$2:$B$200,0),
         MATCH($B$4,'Durée formacode'!$C$1:$Z$1,0)),0))</f>
        <v/>
      </c>
      <c r="AE5" s="31" t="str">
        <f>IF(AF5="","",_xlfn.XLOOKUP(AF5,Formacode!A:A,Formacode!B:B,0,1))</f>
        <v>Transport routier</v>
      </c>
      <c r="AF5" s="33" cm="1">
        <f t="array" ref="AF5">IFERROR(INDEX('Durée formacode'!$B$2:$B$200,
SMALL(IF((NOT(ISNUMBER(INDEX('Durée formacode'!$C$2:$AA$200,,
MATCH('Métiers passerelles'!$B$4,'Durée formacode'!$C$1:$AA$1,0)))))*(ISNUMBER(INDEX('Durée formacode'!$C$2:$AA$200,,
MATCH('Métiers passerelles'!$J$9,'Durée formacode'!$C$1:$AA$1,0)))),
ROW('Durée formacode'!$B$2:$B$200)-ROW('Durée formacode'!$B$2)+1),
ROWS($N$9:N11))),
"")</f>
        <v>31833</v>
      </c>
      <c r="AG5" s="38">
        <f>IFERROR(IF(AF5="","",
IF(INDEX('Durée formacode'!$C$2:$Z$200,
      MATCH(AF5,'Durée formacode'!$B$2:$B$200,0),
      MATCH($B$4,'Durée formacode'!$C$1:$Z$1,0))="",
INDEX('Durée formacode'!$C$2:$Z$200,
      MATCH(AF5,'Durée formacode'!$B$2:$B$200,0),
      MATCH($J$9,'Durée formacode'!$C$1:$Z$1,0)),
"")),
"")</f>
        <v>480</v>
      </c>
      <c r="AI5" s="30"/>
      <c r="AJ5" s="33" t="str">
        <f>IF(AK5="","",_xlfn.XLOOKUP(AK5,Formacode!A:A,Formacode!B:B,0,1))</f>
        <v/>
      </c>
      <c r="AK5" s="37" t="str" cm="1">
        <f t="array" ref="AK5">IFERROR(INDEX('Durée formacode'!$B$2:$B$200,
SMALL(IF((ISNUMBER(INDEX('Durée formacode'!$C$2:$AA$200,,
MATCH('Métiers passerelles'!$B$4,'Durée formacode'!$C$1:$AA$1,0))))*(ISNUMBER(INDEX('Durée formacode'!$C$2:$AA$200,,
MATCH('Métiers passerelles'!$J$10,'Durée formacode'!$C$1:$AA$1,0)))),
ROW('Durée formacode'!$B$2:$B$200)-ROW('Durée formacode'!$B$2)+1),
ROWS($N$10:N12))),
"")</f>
        <v/>
      </c>
      <c r="AL5" s="44" t="str">
        <f>IF(AK5="","",MAX(INDEX('Durée formacode'!$C$2:$Z$200,
         MATCH(AK5,'Durée formacode'!$B$2:$B$200,0),
         MATCH($J$10,'Durée formacode'!$C$1:$Z$1,0))-INDEX('Durée formacode'!$C$2:$Z$200,
         MATCH(AK5,'Durée formacode'!$B$2:$B$200,0),
         MATCH($B$4,'Durée formacode'!$C$1:$Z$1,0)),0))</f>
        <v/>
      </c>
      <c r="AM5" s="30" t="str">
        <f>IF(AN5="","",_xlfn.XLOOKUP(AN5,Formacode!A:A,Formacode!B:B,0,1))</f>
        <v>Maintenance industrielle</v>
      </c>
      <c r="AN5" s="33" cm="1">
        <f t="array" ref="AN5">IFERROR(INDEX('Durée formacode'!$B$2:$B$200,
SMALL(IF((NOT(ISNUMBER(INDEX('Durée formacode'!$C$2:$AA$200,,
MATCH('Métiers passerelles'!$B$4,'Durée formacode'!$C$1:$AA$1,0)))))*(ISNUMBER(INDEX('Durée formacode'!$C$2:$AA$200,,
MATCH('Métiers passerelles'!$J$10,'Durée formacode'!$C$1:$AA$1,0)))),
ROW('Durée formacode'!$B$2:$B$200)-ROW('Durée formacode'!$B$2)+1),
ROWS($N$10:N12))),
"")</f>
        <v>31624</v>
      </c>
      <c r="AO5" s="37">
        <f>IFERROR(IF(AN5="","",
IF(INDEX('Durée formacode'!$C$2:$Z$200,
      MATCH(AN5,'Durée formacode'!$B$2:$B$200,0),
      MATCH($B$4,'Durée formacode'!$C$1:$Z$1,0))="",
INDEX('Durée formacode'!$C$2:$Z$200,
      MATCH(AN5,'Durée formacode'!$B$2:$B$200,0),
      MATCH($J$10,'Durée formacode'!$C$1:$Z$1,0)),
"")),
"")</f>
        <v>70</v>
      </c>
    </row>
    <row r="6" spans="1:41">
      <c r="S6" s="18"/>
      <c r="T6" s="26" t="str">
        <f>IF(U6="","",_xlfn.XLOOKUP(U6,Formacode!A:A,Formacode!B:B,0,1))</f>
        <v/>
      </c>
      <c r="U6" s="28" t="str" cm="1">
        <f t="array" ref="U6">IFERROR(INDEX('Durée formacode'!$B$2:$B$200,
SMALL(IF((ISNUMBER(INDEX('Durée formacode'!$C$2:$AA$200,,
MATCH('Métiers passerelles'!$B$4,'Durée formacode'!$C$1:$AA$1,0))))*(ISNUMBER(INDEX('Durée formacode'!$C$2:$AA$200,,
MATCH('Métiers passerelles'!$J$8,'Durée formacode'!$C$1:$AA$1,0)))),
ROW('Durée formacode'!$B$2:$B$200)-ROW('Durée formacode'!$B$2)+1),
ROWS($N$8:N11))),
"")</f>
        <v/>
      </c>
      <c r="V6" s="48" t="str">
        <f>IF(U6="","",MAX(INDEX('Durée formacode'!$C$2:$Z$200,
         MATCH(U6,'Durée formacode'!$B$2:$B$200,0),
         MATCH($J$8,'Durée formacode'!$C$1:$Z$1,0))-INDEX('Durée formacode'!$C$2:$Z$200,
         MATCH(U6,'Durée formacode'!$B$2:$B$200,0),
         MATCH($B$4,'Durée formacode'!$C$1:$Z$1,0)),0))</f>
        <v/>
      </c>
      <c r="W6" s="31" t="str">
        <f>IF(X6="","",_xlfn.XLOOKUP(X6,Formacode!A:A,Formacode!B:B,0,1))</f>
        <v/>
      </c>
      <c r="X6" s="33" t="str" cm="1">
        <f t="array" ref="X6">IFERROR(INDEX('Durée formacode'!$B$2:$B$200,
SMALL(IF((NOT(ISNUMBER(INDEX('Durée formacode'!$C$2:$AA$200,,
MATCH('Métiers passerelles'!$B$4,'Durée formacode'!$C$1:$AA$1,0)))))*(ISNUMBER(INDEX('Durée formacode'!$C$2:$AA$200,,
MATCH('Métiers passerelles'!$J$8,'Durée formacode'!$C$1:$AA$1,0)))),
ROW('Durée formacode'!$B$2:$B$200)-ROW('Durée formacode'!$B$2)+1),
ROWS($N$8:N11))),
"")</f>
        <v/>
      </c>
      <c r="Y6" s="23" t="str">
        <f>IFERROR(IF(X6="","",
IF(INDEX('Durée formacode'!$C$2:$Z$200,
      MATCH(X6,'Durée formacode'!$B$2:$B$200,0),
      MATCH($B$4,'Durée formacode'!$C$1:$Z$1,0))="",
INDEX('Durée formacode'!$C$2:$Z$200,
      MATCH(X6,'Durée formacode'!$B$2:$B$200,0),
      MATCH($J$8,'Durée formacode'!$C$1:$Z$1,0)),
"")),
"")</f>
        <v/>
      </c>
      <c r="AA6" s="18"/>
      <c r="AB6" s="26" t="str">
        <f>IF(AC6="","",_xlfn.XLOOKUP(AC6,Formacode!A:A,Formacode!B:B,0,1))</f>
        <v/>
      </c>
      <c r="AC6" s="28" t="str" cm="1">
        <f t="array" ref="AC6">IFERROR(INDEX('Durée formacode'!$B$2:$B$200,
SMALL(IF((ISNUMBER(INDEX('Durée formacode'!$C$2:$AA$200,,
MATCH('Métiers passerelles'!$B$4,'Durée formacode'!$C$1:$AA$1,0))))*(ISNUMBER(INDEX('Durée formacode'!$C$2:$AA$200,,
MATCH($J$9,'Durée formacode'!$C$1:$AA$1,0)))),
ROW('Durée formacode'!$B$2:$B$200)-ROW('Durée formacode'!$B$2)+1),
ROWS($N$9:N12))),
"")</f>
        <v/>
      </c>
      <c r="AD6" s="36" t="str">
        <f>IF(AC6="","",MAX(INDEX('Durée formacode'!$C$2:$Z$200,
         MATCH(AC6,'Durée formacode'!$B$2:$B$200,0),
         MATCH($J$9,'Durée formacode'!$C$1:$Z$1,0))-INDEX('Durée formacode'!$C$2:$Z$200,
         MATCH(AC6,'Durée formacode'!$B$2:$B$200,0),
         MATCH($B$4,'Durée formacode'!$C$1:$Z$1,0)),0))</f>
        <v/>
      </c>
      <c r="AE6" s="31" t="str">
        <f>IF(AF6="","",_xlfn.XLOOKUP(AF6,Formacode!A:A,Formacode!B:B,0,1))</f>
        <v/>
      </c>
      <c r="AF6" s="33" t="str" cm="1">
        <f t="array" ref="AF6">IFERROR(INDEX('Durée formacode'!$B$2:$B$200,
SMALL(IF((NOT(ISNUMBER(INDEX('Durée formacode'!$C$2:$AA$200,,
MATCH('Métiers passerelles'!$B$4,'Durée formacode'!$C$1:$AA$1,0)))))*(ISNUMBER(INDEX('Durée formacode'!$C$2:$AA$200,,
MATCH('Métiers passerelles'!$J$9,'Durée formacode'!$C$1:$AA$1,0)))),
ROW('Durée formacode'!$B$2:$B$200)-ROW('Durée formacode'!$B$2)+1),
ROWS($N$9:N12))),
"")</f>
        <v/>
      </c>
      <c r="AG6" s="38" t="str">
        <f>IFERROR(IF(AF6="","",
IF(INDEX('Durée formacode'!$C$2:$Z$200,
      MATCH(AF6,'Durée formacode'!$B$2:$B$200,0),
      MATCH($B$4,'Durée formacode'!$C$1:$Z$1,0))="",
INDEX('Durée formacode'!$C$2:$Z$200,
      MATCH(AF6,'Durée formacode'!$B$2:$B$200,0),
      MATCH($J$9,'Durée formacode'!$C$1:$Z$1,0)),
"")),
"")</f>
        <v/>
      </c>
      <c r="AI6" s="30"/>
      <c r="AJ6" s="33" t="str">
        <f>IF(AK6="","",_xlfn.XLOOKUP(AK6,Formacode!A:A,Formacode!B:B,0,1))</f>
        <v/>
      </c>
      <c r="AK6" s="37" t="str" cm="1">
        <f t="array" ref="AK6">IFERROR(INDEX('Durée formacode'!$B$2:$B$200,
SMALL(IF((ISNUMBER(INDEX('Durée formacode'!$C$2:$AA$200,,
MATCH('Métiers passerelles'!$B$4,'Durée formacode'!$C$1:$AA$1,0))))*(ISNUMBER(INDEX('Durée formacode'!$C$2:$AA$200,,
MATCH('Métiers passerelles'!$J$10,'Durée formacode'!$C$1:$AA$1,0)))),
ROW('Durée formacode'!$B$2:$B$200)-ROW('Durée formacode'!$B$2)+1),
ROWS($N$10:N13))),
"")</f>
        <v/>
      </c>
      <c r="AL6" s="44" t="str">
        <f>IF(AK6="","",MAX(INDEX('Durée formacode'!$C$2:$Z$200,
         MATCH(AK6,'Durée formacode'!$B$2:$B$200,0),
         MATCH($J$10,'Durée formacode'!$C$1:$Z$1,0))-INDEX('Durée formacode'!$C$2:$Z$200,
         MATCH(AK6,'Durée formacode'!$B$2:$B$200,0),
         MATCH($B$4,'Durée formacode'!$C$1:$Z$1,0)),0))</f>
        <v/>
      </c>
      <c r="AM6" s="30" t="str">
        <f>IF(AN6="","",_xlfn.XLOOKUP(AN6,Formacode!A:A,Formacode!B:B,0,1))</f>
        <v>Entretien mecanique</v>
      </c>
      <c r="AN6" s="33" cm="1">
        <f t="array" ref="AN6">IFERROR(INDEX('Durée formacode'!$B$2:$B$200,
SMALL(IF((NOT(ISNUMBER(INDEX('Durée formacode'!$C$2:$AA$200,,
MATCH('Métiers passerelles'!$B$4,'Durée formacode'!$C$1:$AA$1,0)))))*(ISNUMBER(INDEX('Durée formacode'!$C$2:$AA$200,,
MATCH('Métiers passerelles'!$J$10,'Durée formacode'!$C$1:$AA$1,0)))),
ROW('Durée formacode'!$B$2:$B$200)-ROW('Durée formacode'!$B$2)+1),
ROWS($N$10:N13))),
"")</f>
        <v>23684</v>
      </c>
      <c r="AO6" s="37">
        <f>IFERROR(IF(AN6="","",
IF(INDEX('Durée formacode'!$C$2:$Z$200,
      MATCH(AN6,'Durée formacode'!$B$2:$B$200,0),
      MATCH($B$4,'Durée formacode'!$C$1:$Z$1,0))="",
INDEX('Durée formacode'!$C$2:$Z$200,
      MATCH(AN6,'Durée formacode'!$B$2:$B$200,0),
      MATCH($J$10,'Durée formacode'!$C$1:$Z$1,0)),
"")),
"")</f>
        <v>354</v>
      </c>
    </row>
    <row r="7" spans="1:41">
      <c r="J7" s="7" t="s">
        <v>69</v>
      </c>
      <c r="K7" s="7" t="s">
        <v>70</v>
      </c>
      <c r="L7" s="7" t="s">
        <v>71</v>
      </c>
      <c r="M7" s="7" t="s">
        <v>72</v>
      </c>
      <c r="S7" s="18"/>
      <c r="T7" s="26" t="str">
        <f>IF(U7="","",_xlfn.XLOOKUP(U7,Formacode!A:A,Formacode!B:B,0,1))</f>
        <v/>
      </c>
      <c r="U7" s="28" t="str" cm="1">
        <f t="array" ref="U7">IFERROR(INDEX('Durée formacode'!$B$2:$B$200,
SMALL(IF((ISNUMBER(INDEX('Durée formacode'!$C$2:$AA$200,,
MATCH('Métiers passerelles'!$B$4,'Durée formacode'!$C$1:$AA$1,0))))*(ISNUMBER(INDEX('Durée formacode'!$C$2:$AA$200,,
MATCH('Métiers passerelles'!$J$8,'Durée formacode'!$C$1:$AA$1,0)))),
ROW('Durée formacode'!$B$2:$B$200)-ROW('Durée formacode'!$B$2)+1),
ROWS($N$8:N12))),
"")</f>
        <v/>
      </c>
      <c r="V7" s="48" t="str">
        <f>IF(U7="","",MAX(INDEX('Durée formacode'!$C$2:$Z$200,
         MATCH(U7,'Durée formacode'!$B$2:$B$200,0),
         MATCH($J$8,'Durée formacode'!$C$1:$Z$1,0))-INDEX('Durée formacode'!$C$2:$Z$200,
         MATCH(U7,'Durée formacode'!$B$2:$B$200,0),
         MATCH($B$4,'Durée formacode'!$C$1:$Z$1,0)),0))</f>
        <v/>
      </c>
      <c r="W7" s="31" t="str">
        <f>IF(X7="","",_xlfn.XLOOKUP(X7,Formacode!A:A,Formacode!B:B,0,1))</f>
        <v/>
      </c>
      <c r="X7" s="33" t="str" cm="1">
        <f t="array" ref="X7">IFERROR(INDEX('Durée formacode'!$B$2:$B$200,
SMALL(IF((NOT(ISNUMBER(INDEX('Durée formacode'!$C$2:$AA$200,,
MATCH('Métiers passerelles'!$B$4,'Durée formacode'!$C$1:$AA$1,0)))))*(ISNUMBER(INDEX('Durée formacode'!$C$2:$AA$200,,
MATCH('Métiers passerelles'!$J$8,'Durée formacode'!$C$1:$AA$1,0)))),
ROW('Durée formacode'!$B$2:$B$200)-ROW('Durée formacode'!$B$2)+1),
ROWS($N$8:N12))),
"")</f>
        <v/>
      </c>
      <c r="Y7" s="23" t="str">
        <f>IFERROR(IF(X7="","",
IF(INDEX('Durée formacode'!$C$2:$Z$200,
      MATCH(X7,'Durée formacode'!$B$2:$B$200,0),
      MATCH($B$4,'Durée formacode'!$C$1:$Z$1,0))="",
INDEX('Durée formacode'!$C$2:$Z$200,
      MATCH(X7,'Durée formacode'!$B$2:$B$200,0),
      MATCH($J$8,'Durée formacode'!$C$1:$Z$1,0)),
"")),
"")</f>
        <v/>
      </c>
      <c r="AA7" s="18"/>
      <c r="AB7" s="26" t="str">
        <f>IF(AC7="","",_xlfn.XLOOKUP(AC7,Formacode!A:A,Formacode!B:B,0,1))</f>
        <v/>
      </c>
      <c r="AC7" s="28" t="str" cm="1">
        <f t="array" ref="AC7">IFERROR(INDEX('Durée formacode'!$B$2:$B$200,
SMALL(IF((ISNUMBER(INDEX('Durée formacode'!$C$2:$AA$200,,
MATCH('Métiers passerelles'!$B$4,'Durée formacode'!$C$1:$AA$1,0))))*(ISNUMBER(INDEX('Durée formacode'!$C$2:$AA$200,,
MATCH($J$9,'Durée formacode'!$C$1:$AA$1,0)))),
ROW('Durée formacode'!$B$2:$B$200)-ROW('Durée formacode'!$B$2)+1),
ROWS($N$9:N13))),
"")</f>
        <v/>
      </c>
      <c r="AD7" s="36" t="str">
        <f>IF(AC7="","",MAX(INDEX('Durée formacode'!$C$2:$Z$200,
         MATCH(AC7,'Durée formacode'!$B$2:$B$200,0),
         MATCH($J$9,'Durée formacode'!$C$1:$Z$1,0))-INDEX('Durée formacode'!$C$2:$Z$200,
         MATCH(AC7,'Durée formacode'!$B$2:$B$200,0),
         MATCH($B$4,'Durée formacode'!$C$1:$Z$1,0)),0))</f>
        <v/>
      </c>
      <c r="AE7" s="31" t="str">
        <f>IF(AF7="","",_xlfn.XLOOKUP(AF7,Formacode!A:A,Formacode!B:B,0,1))</f>
        <v/>
      </c>
      <c r="AF7" s="33" t="str" cm="1">
        <f t="array" ref="AF7">IFERROR(INDEX('Durée formacode'!$B$2:$B$200,
SMALL(IF((NOT(ISNUMBER(INDEX('Durée formacode'!$C$2:$AA$200,,
MATCH('Métiers passerelles'!$B$4,'Durée formacode'!$C$1:$AA$1,0)))))*(ISNUMBER(INDEX('Durée formacode'!$C$2:$AA$200,,
MATCH('Métiers passerelles'!$J$9,'Durée formacode'!$C$1:$AA$1,0)))),
ROW('Durée formacode'!$B$2:$B$200)-ROW('Durée formacode'!$B$2)+1),
ROWS($N$9:N13))),
"")</f>
        <v/>
      </c>
      <c r="AG7" s="23" t="str">
        <f>IFERROR(IF(AF7="","",
IF(INDEX('Durée formacode'!$C$2:$Z$200,
      MATCH(AF7,'Durée formacode'!$B$2:$B$200,0),
      MATCH($B$4,'Durée formacode'!$C$1:$Z$1,0))="",
INDEX('Durée formacode'!$C$2:$Z$200,
      MATCH(AF7,'Durée formacode'!$B$2:$B$200,0),
      MATCH($J$9,'Durée formacode'!$C$1:$Z$1,0)),
"")),
"")</f>
        <v/>
      </c>
      <c r="AI7" s="30"/>
      <c r="AJ7" s="33" t="str">
        <f>IF(AK7="","",_xlfn.XLOOKUP(AK7,Formacode!A:A,Formacode!B:B,0,1))</f>
        <v/>
      </c>
      <c r="AK7" s="37" t="str" cm="1">
        <f t="array" ref="AK7">IFERROR(INDEX('Durée formacode'!$B$2:$B$200,
SMALL(IF((ISNUMBER(INDEX('Durée formacode'!$C$2:$AA$200,,
MATCH('Métiers passerelles'!$B$4,'Durée formacode'!$C$1:$AA$1,0))))*(ISNUMBER(INDEX('Durée formacode'!$C$2:$AA$200,,
MATCH('Métiers passerelles'!$J$10,'Durée formacode'!$C$1:$AA$1,0)))),
ROW('Durée formacode'!$B$2:$B$200)-ROW('Durée formacode'!$B$2)+1),
ROWS($N$10:N14))),
"")</f>
        <v/>
      </c>
      <c r="AL7" s="44" t="str">
        <f>IF(AK7="","",MAX(INDEX('Durée formacode'!$C$2:$Z$200,
         MATCH(AK7,'Durée formacode'!$B$2:$B$200,0),
         MATCH($J$10,'Durée formacode'!$C$1:$Z$1,0))-INDEX('Durée formacode'!$C$2:$Z$200,
         MATCH(AK7,'Durée formacode'!$B$2:$B$200,0),
         MATCH($B$4,'Durée formacode'!$C$1:$Z$1,0)),0))</f>
        <v/>
      </c>
      <c r="AM7" s="30" t="str">
        <f>IF(AN7="","",_xlfn.XLOOKUP(AN7,Formacode!A:A,Formacode!B:B,0,1))</f>
        <v/>
      </c>
      <c r="AN7" s="33" t="str" cm="1">
        <f t="array" ref="AN7">IFERROR(INDEX('Durée formacode'!$B$2:$B$200,
SMALL(IF((NOT(ISNUMBER(INDEX('Durée formacode'!$C$2:$AA$200,,
MATCH('Métiers passerelles'!$B$4,'Durée formacode'!$C$1:$AA$1,0)))))*(ISNUMBER(INDEX('Durée formacode'!$C$2:$AA$200,,
MATCH('Métiers passerelles'!$J$10,'Durée formacode'!$C$1:$AA$1,0)))),
ROW('Durée formacode'!$B$2:$B$200)-ROW('Durée formacode'!$B$2)+1),
ROWS($N$10:N14))),
"")</f>
        <v/>
      </c>
      <c r="AO7" s="37" t="str">
        <f>IFERROR(IF(AN7="","",
IF(INDEX('Durée formacode'!$C$2:$Z$200,
      MATCH(AN7,'Durée formacode'!$B$2:$B$200,0),
      MATCH($B$4,'Durée formacode'!$C$1:$Z$1,0))="",
INDEX('Durée formacode'!$C$2:$Z$200,
      MATCH(AN7,'Durée formacode'!$B$2:$B$200,0),
      MATCH($J$10,'Durée formacode'!$C$1:$Z$1,0)),
"")),
"")</f>
        <v/>
      </c>
    </row>
    <row r="8" spans="1:41" ht="30" customHeight="1">
      <c r="A8" s="59" t="s">
        <v>69</v>
      </c>
      <c r="B8" s="60" t="s">
        <v>73</v>
      </c>
      <c r="C8" s="60" t="s">
        <v>74</v>
      </c>
      <c r="D8" s="60" t="s">
        <v>75</v>
      </c>
      <c r="E8" s="60" t="s">
        <v>76</v>
      </c>
      <c r="I8" s="7" t="s">
        <v>77</v>
      </c>
      <c r="J8" s="10" t="str" cm="1">
        <f t="array" ref="J8:M18">_xlfn.LET(_xlpm.data,_xlfn._xlws.FILTER(A9:D101,E9:E101=1),
_xlfn.SORTBY(_xlpm.data,
INDEX(_xlpm.data,,3),1,
INDEX(_xlpm.data,,4),1))</f>
        <v>Chauffeur(se) livreur(se)</v>
      </c>
      <c r="K8" s="6">
        <v>2</v>
      </c>
      <c r="L8" s="6">
        <v>689</v>
      </c>
      <c r="M8" s="6">
        <v>0.5</v>
      </c>
      <c r="S8" s="18"/>
      <c r="T8" s="27" t="str">
        <f>IF(U8="","",_xlfn.XLOOKUP(U8,Formacode!A:A,Formacode!B:B,0,1))</f>
        <v/>
      </c>
      <c r="U8" s="28" t="str" cm="1">
        <f t="array" ref="U8">IFERROR(INDEX('Durée formacode'!$B$2:$B$200,
SMALL(IF((ISNUMBER(INDEX('Durée formacode'!$C$2:$AA$200,,
MATCH('Métiers passerelles'!$B$4,'Durée formacode'!$C$1:$AA$1,0))))*(ISNUMBER(INDEX('Durée formacode'!$C$2:$AA$200,,
MATCH('Métiers passerelles'!$J$8,'Durée formacode'!$C$1:$AA$1,0)))),
ROW('Durée formacode'!$B$2:$B$200)-ROW('Durée formacode'!$B$2)+1),
ROWS($N$8:N13))),
"")</f>
        <v/>
      </c>
      <c r="V8" s="48" t="str">
        <f>IF(U8="","",MAX(INDEX('Durée formacode'!$C$2:$Z$200,
         MATCH(U8,'Durée formacode'!$B$2:$B$200,0),
         MATCH($J$8,'Durée formacode'!$C$1:$Z$1,0))-INDEX('Durée formacode'!$C$2:$Z$200,
         MATCH(U8,'Durée formacode'!$B$2:$B$200,0),
         MATCH($B$4,'Durée formacode'!$C$1:$Z$1,0)),0))</f>
        <v/>
      </c>
      <c r="W8" s="31" t="str">
        <f>IF(X8="","",_xlfn.XLOOKUP(X8,Formacode!A:A,Formacode!B:B,0,1))</f>
        <v/>
      </c>
      <c r="X8" s="33" t="str" cm="1">
        <f t="array" ref="X8">IFERROR(INDEX('Durée formacode'!$B$2:$B$200,
SMALL(IF((NOT(ISNUMBER(INDEX('Durée formacode'!$C$2:$AA$200,,
MATCH('Métiers passerelles'!$B$4,'Durée formacode'!$C$1:$AA$1,0)))))*(ISNUMBER(INDEX('Durée formacode'!$C$2:$AA$200,,
MATCH('Métiers passerelles'!$J$8,'Durée formacode'!$C$1:$AA$1,0)))),
ROW('Durée formacode'!$B$2:$B$200)-ROW('Durée formacode'!$B$2)+1),
ROWS($N$8:N13))),
"")</f>
        <v/>
      </c>
      <c r="Y8" s="23" t="str">
        <f>IFERROR(IF(X8="","",
IF(INDEX('Durée formacode'!$C$2:$Z$200,
      MATCH(X8,'Durée formacode'!$B$2:$B$200,0),
      MATCH($B$4,'Durée formacode'!$C$1:$Z$1,0))="",
INDEX('Durée formacode'!$C$2:$Z$200,
      MATCH(X8,'Durée formacode'!$B$2:$B$200,0),
      MATCH($J$8,'Durée formacode'!$C$1:$Z$1,0)),
"")),
"")</f>
        <v/>
      </c>
      <c r="AA8" s="18"/>
      <c r="AB8" s="27" t="str">
        <f>IF(AC8="","",_xlfn.XLOOKUP(AC8,Formacode!A:A,Formacode!B:B,0,1))</f>
        <v/>
      </c>
      <c r="AC8" s="28" t="str" cm="1">
        <f t="array" ref="AC8">IFERROR(INDEX('Durée formacode'!$B$2:$B$200,
SMALL(IF((ISNUMBER(INDEX('Durée formacode'!$C$2:$AA$200,,
MATCH('Métiers passerelles'!$B$4,'Durée formacode'!$C$1:$AA$1,0))))*(ISNUMBER(INDEX('Durée formacode'!$C$2:$AA$200,,
MATCH($J$9,'Durée formacode'!$C$1:$AA$1,0)))),
ROW('Durée formacode'!$B$2:$B$200)-ROW('Durée formacode'!$B$2)+1),
ROWS($N$9:N14))),
"")</f>
        <v/>
      </c>
      <c r="AD8" s="19" t="str">
        <f>IF(AC8="","",MAX(INDEX('Durée formacode'!$C$2:$Z$200,
         MATCH(AC8,'Durée formacode'!$B$2:$B$200,0),
         MATCH($J$9,'Durée formacode'!$C$1:$Z$1,0))-INDEX('Durée formacode'!$C$2:$Z$200,
         MATCH(AC8,'Durée formacode'!$B$2:$B$200,0),
         MATCH($B$4,'Durée formacode'!$C$1:$Z$1,0)),0))</f>
        <v/>
      </c>
      <c r="AE8" s="31" t="str">
        <f>IF(AF8="","",_xlfn.XLOOKUP(AF8,Formacode!A:A,Formacode!B:B,0,1))</f>
        <v/>
      </c>
      <c r="AF8" s="33" t="str" cm="1">
        <f t="array" ref="AF8">IFERROR(INDEX('Durée formacode'!$B$2:$B$200,
SMALL(IF((NOT(ISNUMBER(INDEX('Durée formacode'!$C$2:$AA$200,,
MATCH('Métiers passerelles'!$B$4,'Durée formacode'!$C$1:$AA$1,0)))))*(ISNUMBER(INDEX('Durée formacode'!$C$2:$AA$200,,
MATCH('Métiers passerelles'!$J$9,'Durée formacode'!$C$1:$AA$1,0)))),
ROW('Durée formacode'!$B$2:$B$200)-ROW('Durée formacode'!$B$2)+1),
ROWS($N$9:N14))),
"")</f>
        <v/>
      </c>
      <c r="AG8" s="23" t="str">
        <f>IFERROR(IF(AF8="","",
IF(INDEX('Durée formacode'!$C$2:$Z$200,
      MATCH(AF8,'Durée formacode'!$B$2:$B$200,0),
      MATCH($B$4,'Durée formacode'!$C$1:$Z$1,0))="",
INDEX('Durée formacode'!$C$2:$Z$200,
      MATCH(AF8,'Durée formacode'!$B$2:$B$200,0),
      MATCH($J$9,'Durée formacode'!$C$1:$Z$1,0)),
"")),
"")</f>
        <v/>
      </c>
      <c r="AI8" s="30"/>
      <c r="AJ8" s="33" t="str">
        <f>IF(AK8="","",_xlfn.XLOOKUP(AK8,Formacode!A:A,Formacode!B:B,0,1))</f>
        <v/>
      </c>
      <c r="AK8" s="37" t="str" cm="1">
        <f t="array" ref="AK8">IFERROR(INDEX('Durée formacode'!$B$2:$B$200,
SMALL(IF((ISNUMBER(INDEX('Durée formacode'!$C$2:$AA$200,,
MATCH('Métiers passerelles'!$B$4,'Durée formacode'!$C$1:$AA$1,0))))*(ISNUMBER(INDEX('Durée formacode'!$C$2:$AA$200,,
MATCH('Métiers passerelles'!$J$10,'Durée formacode'!$C$1:$AA$1,0)))),
ROW('Durée formacode'!$B$2:$B$200)-ROW('Durée formacode'!$B$2)+1),
ROWS($N$10:N15))),
"")</f>
        <v/>
      </c>
      <c r="AL8" s="30" t="str">
        <f>IF(AK8="","",MAX(INDEX('Durée formacode'!$C$2:$Z$200,
         MATCH(AK8,'Durée formacode'!$B$2:$B$200,0),
         MATCH($J$10,'Durée formacode'!$C$1:$Z$1,0))-INDEX('Durée formacode'!$C$2:$Z$200,
         MATCH(AK8,'Durée formacode'!$B$2:$B$200,0),
         MATCH($B$4,'Durée formacode'!$C$1:$Z$1,0)),0))</f>
        <v/>
      </c>
      <c r="AM8" s="30" t="str">
        <f>IF(AN8="","",_xlfn.XLOOKUP(AN8,Formacode!A:A,Formacode!B:B,0,1))</f>
        <v/>
      </c>
      <c r="AN8" s="33" t="str" cm="1">
        <f t="array" ref="AN8">IFERROR(INDEX('Durée formacode'!$B$2:$B$200,
SMALL(IF((NOT(ISNUMBER(INDEX('Durée formacode'!$C$2:$AA$200,,
MATCH('Métiers passerelles'!$B$4,'Durée formacode'!$C$1:$AA$1,0)))))*(ISNUMBER(INDEX('Durée formacode'!$C$2:$AA$200,,
MATCH('Métiers passerelles'!$J$10,'Durée formacode'!$C$1:$AA$1,0)))),
ROW('Durée formacode'!$B$2:$B$200)-ROW('Durée formacode'!$B$2)+1),
ROWS($N$10:N15))),
"")</f>
        <v/>
      </c>
      <c r="AO8" s="37" t="str">
        <f>IFERROR(IF(AN8="","",
IF(INDEX('Durée formacode'!$C$2:$Z$200,
      MATCH(AN8,'Durée formacode'!$B$2:$B$200,0),
      MATCH($B$4,'Durée formacode'!$C$1:$Z$1,0))="",
INDEX('Durée formacode'!$C$2:$Z$200,
      MATCH(AN8,'Durée formacode'!$B$2:$B$200,0),
      MATCH($J$10,'Durée formacode'!$C$1:$Z$1,0)),
"")),
"")</f>
        <v/>
      </c>
    </row>
    <row r="9" spans="1:41" ht="30">
      <c r="A9" s="64" t="str" cm="1">
        <f t="array" ref="A9:A37">Tableau1[INT_METIER]</f>
        <v>Caviste</v>
      </c>
      <c r="B9" s="65" cm="1">
        <f t="array" ref="B9">SUMPRODUCT((IFERROR(1*INDEX('Durée formacode'!$C$2:$AE$44,0,MATCH($B$4,'Durée formacode'!$C$1:$AE$1,0)),0)&gt;0)*(IFERROR(1*INDEX('Durée formacode'!$C$2:$AE$44,0,MATCH($A9,'Durée formacode'!$C$1:$AE$1,0)),0)&gt;0))</f>
        <v>2</v>
      </c>
      <c r="C9" s="65">
        <f>IFERROR(INDEX('Différence formation'!$B$2:$AC$199,
MATCH($A9,'Différence formation'!$A$2:$A$99,0),
MATCH($B$4,'Différence formation'!$B$1:$AD$1,0)),
"")</f>
        <v>1306</v>
      </c>
      <c r="D9" s="66">
        <f>IFERROR(INDEX('Degré élargissement'!$B$2:$AC$199,
MATCH($A9,'Degré élargissement'!$A$2:$A$199,0),
MATCH($B$4,'Degré élargissement'!$B$1:$AC$1,0)),
"")</f>
        <v>1.5</v>
      </c>
      <c r="E9" s="63">
        <f>IF(AND(B9&gt;=$K$3,C9&lt;=$K$4,D9&gt;=$K$5),1,0)</f>
        <v>1</v>
      </c>
      <c r="I9" s="7" t="s">
        <v>61</v>
      </c>
      <c r="J9" s="10" t="str">
        <v>Conducteur(trice) de livraison et de collecte</v>
      </c>
      <c r="K9" s="6">
        <v>2</v>
      </c>
      <c r="L9" s="6">
        <v>769</v>
      </c>
      <c r="M9" s="6">
        <v>0.5</v>
      </c>
      <c r="S9" s="18"/>
      <c r="T9" s="11" t="str">
        <f>IF(U9="","",_xlfn.XLOOKUP(U9,Formacode!A:A,Formacode!B:B,0,1))</f>
        <v/>
      </c>
      <c r="U9" s="28" t="str" cm="1">
        <f t="array" ref="U9">IFERROR(INDEX('Durée formacode'!$B$2:$B$200,
SMALL(IF((ISNUMBER(INDEX('Durée formacode'!$C$2:$AA$200,,
MATCH('Métiers passerelles'!$B$4,'Durée formacode'!$C$1:$AA$1,0))))*(ISNUMBER(INDEX('Durée formacode'!$C$2:$AA$200,,
MATCH('Métiers passerelles'!$J$8,'Durée formacode'!$C$1:$AA$1,0)))),
ROW('Durée formacode'!$B$2:$B$200)-ROW('Durée formacode'!$B$2)+1),
ROWS($N$8:N14))),
"")</f>
        <v/>
      </c>
      <c r="V9" s="48" t="str">
        <f>IF(U9="","",MAX(INDEX('Durée formacode'!$C$2:$Z$200,
         MATCH(U9,'Durée formacode'!$B$2:$B$200,0),
         MATCH($J$8,'Durée formacode'!$C$1:$Z$1,0))-INDEX('Durée formacode'!$C$2:$Z$200,
         MATCH(U9,'Durée formacode'!$B$2:$B$200,0),
         MATCH($B$4,'Durée formacode'!$C$1:$Z$1,0)),0))</f>
        <v/>
      </c>
      <c r="W9" s="31" t="str">
        <f>IF(X9="","",_xlfn.XLOOKUP(X9,Formacode!A:A,Formacode!B:B,0,1))</f>
        <v/>
      </c>
      <c r="X9" s="33" t="str" cm="1">
        <f t="array" ref="X9">IFERROR(INDEX('Durée formacode'!$B$2:$B$200,
SMALL(IF((NOT(ISNUMBER(INDEX('Durée formacode'!$C$2:$AA$200,,
MATCH('Métiers passerelles'!$B$4,'Durée formacode'!$C$1:$AA$1,0)))))*(ISNUMBER(INDEX('Durée formacode'!$C$2:$AA$200,,
MATCH('Métiers passerelles'!$J$8,'Durée formacode'!$C$1:$AA$1,0)))),
ROW('Durée formacode'!$B$2:$B$200)-ROW('Durée formacode'!$B$2)+1),
ROWS($N$8:N14))),
"")</f>
        <v/>
      </c>
      <c r="Y9" s="23" t="str">
        <f>IFERROR(IF(X9="","",
IF(INDEX('Durée formacode'!$C$2:$Z$200,
      MATCH(X9,'Durée formacode'!$B$2:$B$200,0),
      MATCH($B$4,'Durée formacode'!$C$1:$Z$1,0))="",
INDEX('Durée formacode'!$C$2:$Z$200,
      MATCH(X9,'Durée formacode'!$B$2:$B$200,0),
      MATCH($J$8,'Durée formacode'!$C$1:$Z$1,0)),
"")),
"")</f>
        <v/>
      </c>
      <c r="AA9" s="18"/>
      <c r="AB9" s="11" t="str">
        <f>IF(AC9="","",_xlfn.XLOOKUP(AC9,Formacode!A:A,Formacode!B:B,0,1))</f>
        <v/>
      </c>
      <c r="AC9" s="28" t="str" cm="1">
        <f t="array" ref="AC9">IFERROR(INDEX('Durée formacode'!$B$2:$B$200,
SMALL(IF((ISNUMBER(INDEX('Durée formacode'!$C$2:$AA$200,,
MATCH('Métiers passerelles'!$B$4,'Durée formacode'!$C$1:$AA$1,0))))*(ISNUMBER(INDEX('Durée formacode'!$C$2:$AA$200,,
MATCH($J$9,'Durée formacode'!$C$1:$AA$1,0)))),
ROW('Durée formacode'!$B$2:$B$200)-ROW('Durée formacode'!$B$2)+1),
ROWS($N$9:N15))),
"")</f>
        <v/>
      </c>
      <c r="AD9" s="29" t="str">
        <f>IF(AC9="","",MAX(INDEX('Durée formacode'!$C$2:$Z$200,
         MATCH(AC9,'Durée formacode'!$B$2:$B$200,0),
         MATCH($J$9,'Durée formacode'!$C$1:$Z$1,0))-INDEX('Durée formacode'!$C$2:$Z$200,
         MATCH(AC9,'Durée formacode'!$B$2:$B$200,0),
         MATCH($B$4,'Durée formacode'!$C$1:$Z$1,0)),0))</f>
        <v/>
      </c>
      <c r="AE9" s="31" t="str">
        <f>IF(AF9="","",_xlfn.XLOOKUP(AF9,Formacode!A:A,Formacode!B:B,0,1))</f>
        <v/>
      </c>
      <c r="AF9" s="33" t="str" cm="1">
        <f t="array" ref="AF9">IFERROR(INDEX('Durée formacode'!$B$2:$B$200,
SMALL(IF((NOT(ISNUMBER(INDEX('Durée formacode'!$C$2:$AA$200,,
MATCH('Métiers passerelles'!$B$4,'Durée formacode'!$C$1:$AA$1,0)))))*(ISNUMBER(INDEX('Durée formacode'!$C$2:$AA$200,,
MATCH('Métiers passerelles'!$J$9,'Durée formacode'!$C$1:$AA$1,0)))),
ROW('Durée formacode'!$B$2:$B$200)-ROW('Durée formacode'!$B$2)+1),
ROWS($N$9:N15))),
"")</f>
        <v/>
      </c>
      <c r="AG9" s="23" t="str">
        <f>IFERROR(IF(AF9="","",
IF(INDEX('Durée formacode'!$C$2:$Z$200,
      MATCH(AF9,'Durée formacode'!$B$2:$B$200,0),
      MATCH($B$4,'Durée formacode'!$C$1:$Z$1,0))="",
INDEX('Durée formacode'!$C$2:$Z$200,
      MATCH(AF9,'Durée formacode'!$B$2:$B$200,0),
      MATCH($J$9,'Durée formacode'!$C$1:$Z$1,0)),
"")),
"")</f>
        <v/>
      </c>
      <c r="AI9" s="30"/>
      <c r="AJ9" s="33" t="str">
        <f>IF(AK9="","",_xlfn.XLOOKUP(AK9,Formacode!A:A,Formacode!B:B,0,1))</f>
        <v/>
      </c>
      <c r="AK9" s="37" t="str" cm="1">
        <f t="array" ref="AK9">IFERROR(INDEX('Durée formacode'!$B$2:$B$200,
SMALL(IF((ISNUMBER(INDEX('Durée formacode'!$C$2:$AA$200,,
MATCH('Métiers passerelles'!$B$4,'Durée formacode'!$C$1:$AA$1,0))))*(ISNUMBER(INDEX('Durée formacode'!$C$2:$AA$200,,
MATCH('Métiers passerelles'!$J$10,'Durée formacode'!$C$1:$AA$1,0)))),
ROW('Durée formacode'!$B$2:$B$200)-ROW('Durée formacode'!$B$2)+1),
ROWS($N$10:N16))),
"")</f>
        <v/>
      </c>
      <c r="AL9" s="30" t="str">
        <f>IF(AK9="","",MAX(INDEX('Durée formacode'!$C$2:$Z$200,
         MATCH(AK9,'Durée formacode'!$B$2:$B$200,0),
         MATCH($J$10,'Durée formacode'!$C$1:$Z$1,0))-INDEX('Durée formacode'!$C$2:$Z$200,
         MATCH(AK9,'Durée formacode'!$B$2:$B$200,0),
         MATCH($B$4,'Durée formacode'!$C$1:$Z$1,0)),0))</f>
        <v/>
      </c>
      <c r="AM9" s="30" t="str">
        <f>IF(AN9="","",_xlfn.XLOOKUP(AN9,Formacode!A:A,Formacode!B:B,0,1))</f>
        <v/>
      </c>
      <c r="AN9" s="33" t="str" cm="1">
        <f t="array" ref="AN9">IFERROR(INDEX('Durée formacode'!$B$2:$B$200,
SMALL(IF((NOT(ISNUMBER(INDEX('Durée formacode'!$C$2:$AA$200,,
MATCH('Métiers passerelles'!$B$4,'Durée formacode'!$C$1:$AA$1,0)))))*(ISNUMBER(INDEX('Durée formacode'!$C$2:$AA$200,,
MATCH('Métiers passerelles'!$J$10,'Durée formacode'!$C$1:$AA$1,0)))),
ROW('Durée formacode'!$B$2:$B$200)-ROW('Durée formacode'!$B$2)+1),
ROWS($N$10:N16))),
"")</f>
        <v/>
      </c>
      <c r="AO9" s="37" t="str">
        <f>IFERROR(IF(AN9="","",
IF(INDEX('Durée formacode'!$C$2:$Z$200,
      MATCH(AN9,'Durée formacode'!$B$2:$B$200,0),
      MATCH($B$4,'Durée formacode'!$C$1:$Z$1,0))="",
INDEX('Durée formacode'!$C$2:$Z$200,
      MATCH(AN9,'Durée formacode'!$B$2:$B$200,0),
      MATCH($J$10,'Durée formacode'!$C$1:$Z$1,0)),
"")),
"")</f>
        <v/>
      </c>
    </row>
    <row r="10" spans="1:41">
      <c r="A10" s="64" t="str">
        <v>Agent de silo</v>
      </c>
      <c r="B10" s="65" cm="1">
        <f t="array" ref="B10">SUMPRODUCT((IFERROR(1*INDEX('Durée formacode'!$C$2:$AE$44,0,MATCH($B$4,'Durée formacode'!$C$1:$AE$1,0)),0)&gt;0)*(IFERROR(1*INDEX('Durée formacode'!$C$2:$AE$44,0,MATCH($A10,'Durée formacode'!$C$1:$AE$1,0)),0)&gt;0))</f>
        <v>3</v>
      </c>
      <c r="C10" s="65">
        <f>IFERROR(INDEX('Différence formation'!$B$2:$AC$199,
MATCH($A10,'Différence formation'!$A$2:$A$99,0),
MATCH($B$4,'Différence formation'!$B$1:$AD$1,0)),
"")</f>
        <v>1185</v>
      </c>
      <c r="D10" s="66">
        <f>IFERROR(INDEX('Degré élargissement'!$B$2:$AC$199,
MATCH($A10,'Degré élargissement'!$A$2:$A$199,0),
MATCH($B$4,'Degré élargissement'!$B$1:$AC$1,0)),
"")</f>
        <v>1.3333333333333335</v>
      </c>
      <c r="E10" s="63">
        <f t="shared" ref="E10:E37" si="0">IF(AND(B10&gt;=$K$3,C10&lt;=$K$4,D10&gt;=$K$5),1,0)</f>
        <v>1</v>
      </c>
      <c r="I10" s="7" t="s">
        <v>62</v>
      </c>
      <c r="J10" s="10" t="str">
        <v>Régleur(se)</v>
      </c>
      <c r="K10" s="6">
        <v>1</v>
      </c>
      <c r="L10" s="6">
        <v>924</v>
      </c>
      <c r="M10" s="6">
        <v>1.1666666666666667</v>
      </c>
      <c r="P10" s="46"/>
      <c r="S10" s="18"/>
      <c r="T10" s="11" t="str">
        <f>IF(U10="","",_xlfn.XLOOKUP(U10,Formacode!A:A,Formacode!B:B,0,1))</f>
        <v/>
      </c>
      <c r="U10" s="28" t="str" cm="1">
        <f t="array" ref="U10">IFERROR(INDEX('Durée formacode'!$B$2:$B$200,
SMALL(IF((ISNUMBER(INDEX('Durée formacode'!$C$2:$AA$200,,
MATCH('Métiers passerelles'!$B$4,'Durée formacode'!$C$1:$AA$1,0))))*(ISNUMBER(INDEX('Durée formacode'!$C$2:$AA$200,,
MATCH('Métiers passerelles'!$J$8,'Durée formacode'!$C$1:$AA$1,0)))),
ROW('Durée formacode'!$B$2:$B$200)-ROW('Durée formacode'!$B$2)+1),
ROWS($N$8:N15))),
"")</f>
        <v/>
      </c>
      <c r="V10" s="48" t="str">
        <f>IF(U10="","",MAX(INDEX('Durée formacode'!$C$2:$Z$200,
         MATCH(U10,'Durée formacode'!$B$2:$B$200,0),
         MATCH($J$8,'Durée formacode'!$C$1:$Z$1,0))-INDEX('Durée formacode'!$C$2:$Z$200,
         MATCH(U10,'Durée formacode'!$B$2:$B$200,0),
         MATCH($B$4,'Durée formacode'!$C$1:$Z$1,0)),0))</f>
        <v/>
      </c>
      <c r="W10" s="31" t="str">
        <f>IF(X10="","",_xlfn.XLOOKUP(X10,Formacode!A:A,Formacode!B:B,0,1))</f>
        <v/>
      </c>
      <c r="X10" s="33" t="str" cm="1">
        <f t="array" ref="X10">IFERROR(INDEX('Durée formacode'!$B$2:$B$200,
SMALL(IF((NOT(ISNUMBER(INDEX('Durée formacode'!$C$2:$AA$200,,
MATCH('Métiers passerelles'!$B$4,'Durée formacode'!$C$1:$AA$1,0)))))*(ISNUMBER(INDEX('Durée formacode'!$C$2:$AA$200,,
MATCH('Métiers passerelles'!$J$8,'Durée formacode'!$C$1:$AA$1,0)))),
ROW('Durée formacode'!$B$2:$B$200)-ROW('Durée formacode'!$B$2)+1),
ROWS($N$8:N15))),
"")</f>
        <v/>
      </c>
      <c r="Y10" s="23" t="str">
        <f>IFERROR(IF(X10="","",
IF(INDEX('Durée formacode'!$C$2:$Z$200,
      MATCH(X10,'Durée formacode'!$B$2:$B$200,0),
      MATCH($B$4,'Durée formacode'!$C$1:$Z$1,0))="",
INDEX('Durée formacode'!$C$2:$Z$200,
      MATCH(X10,'Durée formacode'!$B$2:$B$200,0),
      MATCH($J$8,'Durée formacode'!$C$1:$Z$1,0)),
"")),
"")</f>
        <v/>
      </c>
      <c r="AA10" s="18"/>
      <c r="AB10" s="11" t="str">
        <f>IF(AC10="","",_xlfn.XLOOKUP(AC10,Formacode!A:A,Formacode!B:B,0,1))</f>
        <v/>
      </c>
      <c r="AC10" s="28" t="str" cm="1">
        <f t="array" ref="AC10">IFERROR(INDEX('Durée formacode'!$B$2:$B$200,
SMALL(IF((ISNUMBER(INDEX('Durée formacode'!$C$2:$AA$200,,
MATCH('Métiers passerelles'!$B$4,'Durée formacode'!$C$1:$AA$1,0))))*(ISNUMBER(INDEX('Durée formacode'!$C$2:$AA$200,,
MATCH($J$9,'Durée formacode'!$C$1:$AA$1,0)))),
ROW('Durée formacode'!$B$2:$B$200)-ROW('Durée formacode'!$B$2)+1),
ROWS($N$9:N16))),
"")</f>
        <v/>
      </c>
      <c r="AD10" s="19" t="str">
        <f>IF(AC10="","",MAX(INDEX('Durée formacode'!$C$2:$Z$200,
         MATCH(AC10,'Durée formacode'!$B$2:$B$200,0),
         MATCH($J$9,'Durée formacode'!$C$1:$Z$1,0))-INDEX('Durée formacode'!$C$2:$Z$200,
         MATCH(AC10,'Durée formacode'!$B$2:$B$200,0),
         MATCH($B$4,'Durée formacode'!$C$1:$Z$1,0)),0))</f>
        <v/>
      </c>
      <c r="AE10" s="31" t="str">
        <f>IF(AF10="","",_xlfn.XLOOKUP(AF10,Formacode!A:A,Formacode!B:B,0,1))</f>
        <v/>
      </c>
      <c r="AF10" s="33" t="str" cm="1">
        <f t="array" ref="AF10">IFERROR(INDEX('Durée formacode'!$B$2:$B$200,
SMALL(IF((NOT(ISNUMBER(INDEX('Durée formacode'!$C$2:$AA$200,,
MATCH('Métiers passerelles'!$B$4,'Durée formacode'!$C$1:$AA$1,0)))))*(ISNUMBER(INDEX('Durée formacode'!$C$2:$AA$200,,
MATCH('Métiers passerelles'!$J$9,'Durée formacode'!$C$1:$AA$1,0)))),
ROW('Durée formacode'!$B$2:$B$200)-ROW('Durée formacode'!$B$2)+1),
ROWS($N$9:N16))),
"")</f>
        <v/>
      </c>
      <c r="AG10" s="23" t="str">
        <f>IFERROR(IF(AF10="","",
IF(INDEX('Durée formacode'!$C$2:$Z$200,
      MATCH(AF10,'Durée formacode'!$B$2:$B$200,0),
      MATCH($B$4,'Durée formacode'!$C$1:$Z$1,0))="",
INDEX('Durée formacode'!$C$2:$Z$200,
      MATCH(AF10,'Durée formacode'!$B$2:$B$200,0),
      MATCH($J$9,'Durée formacode'!$C$1:$Z$1,0)),
"")),
"")</f>
        <v/>
      </c>
      <c r="AI10" s="30"/>
      <c r="AJ10" s="33" t="str">
        <f>IF(AK10="","",_xlfn.XLOOKUP(AK10,Formacode!A:A,Formacode!B:B,0,1))</f>
        <v/>
      </c>
      <c r="AK10" s="37" t="str" cm="1">
        <f t="array" ref="AK10">IFERROR(INDEX('Durée formacode'!$B$2:$B$200,
SMALL(IF((ISNUMBER(INDEX('Durée formacode'!$C$2:$AA$200,,
MATCH('Métiers passerelles'!$B$4,'Durée formacode'!$C$1:$AA$1,0))))*(ISNUMBER(INDEX('Durée formacode'!$C$2:$AA$200,,
MATCH('Métiers passerelles'!$J$10,'Durée formacode'!$C$1:$AA$1,0)))),
ROW('Durée formacode'!$B$2:$B$200)-ROW('Durée formacode'!$B$2)+1),
ROWS($N$10:N17))),
"")</f>
        <v/>
      </c>
      <c r="AL10" s="30" t="str">
        <f>IF(AK10="","",MAX(INDEX('Durée formacode'!$C$2:$Z$200,
         MATCH(AK10,'Durée formacode'!$B$2:$B$200,0),
         MATCH($J$10,'Durée formacode'!$C$1:$Z$1,0))-INDEX('Durée formacode'!$C$2:$Z$200,
         MATCH(AK10,'Durée formacode'!$B$2:$B$200,0),
         MATCH($B$4,'Durée formacode'!$C$1:$Z$1,0)),0))</f>
        <v/>
      </c>
      <c r="AM10" s="30" t="str">
        <f>IF(AN10="","",_xlfn.XLOOKUP(AN10,Formacode!A:A,Formacode!B:B,0,1))</f>
        <v/>
      </c>
      <c r="AN10" s="33" t="str" cm="1">
        <f t="array" ref="AN10">IFERROR(INDEX('Durée formacode'!$B$2:$B$200,
SMALL(IF((NOT(ISNUMBER(INDEX('Durée formacode'!$C$2:$AA$200,,
MATCH('Métiers passerelles'!$B$4,'Durée formacode'!$C$1:$AA$1,0)))))*(ISNUMBER(INDEX('Durée formacode'!$C$2:$AA$200,,
MATCH('Métiers passerelles'!$J$10,'Durée formacode'!$C$1:$AA$1,0)))),
ROW('Durée formacode'!$B$2:$B$200)-ROW('Durée formacode'!$B$2)+1),
ROWS($N$10:N17))),
"")</f>
        <v/>
      </c>
      <c r="AO10" s="37" t="str">
        <f>IFERROR(IF(AN10="","",
IF(INDEX('Durée formacode'!$C$2:$Z$200,
      MATCH(AN10,'Durée formacode'!$B$2:$B$200,0),
      MATCH($B$4,'Durée formacode'!$C$1:$Z$1,0))="",
INDEX('Durée formacode'!$C$2:$Z$200,
      MATCH(AN10,'Durée formacode'!$B$2:$B$200,0),
      MATCH($J$10,'Durée formacode'!$C$1:$Z$1,0)),
"")),
"")</f>
        <v/>
      </c>
    </row>
    <row r="11" spans="1:41">
      <c r="A11" s="64" t="str">
        <v>Opérateur(trice) logistique</v>
      </c>
      <c r="B11" s="65" cm="1">
        <f t="array" ref="B11">SUMPRODUCT((IFERROR(1*INDEX('Durée formacode'!$C$2:$AE$44,0,MATCH($B$4,'Durée formacode'!$C$1:$AE$1,0)),0)&gt;0)*(IFERROR(1*INDEX('Durée formacode'!$C$2:$AE$44,0,MATCH($A11,'Durée formacode'!$C$1:$AE$1,0)),0)&gt;0))</f>
        <v>6</v>
      </c>
      <c r="C11" s="65">
        <f>IFERROR(INDEX('Différence formation'!$B$2:$AC$199,
MATCH($A11,'Différence formation'!$A$2:$A$99,0),
MATCH($B$4,'Différence formation'!$B$1:$AD$1,0)),
"")</f>
        <v>0</v>
      </c>
      <c r="D11" s="66">
        <f>IFERROR(INDEX('Degré élargissement'!$B$2:$AC$199,
MATCH($A11,'Degré élargissement'!$A$2:$A$199,0),
MATCH($B$4,'Degré élargissement'!$B$1:$AC$1,0)),
"")</f>
        <v>0</v>
      </c>
      <c r="E11" s="63">
        <f t="shared" si="0"/>
        <v>0</v>
      </c>
      <c r="I11" s="7" t="s">
        <v>78</v>
      </c>
      <c r="J11" s="10" t="str">
        <v>Conducteur(trice) de machine(s) de production alimentaire (fabrication / conditionnement)</v>
      </c>
      <c r="K11" s="6">
        <v>2</v>
      </c>
      <c r="L11" s="6">
        <v>1008</v>
      </c>
      <c r="M11" s="6">
        <v>0.16666666666666666</v>
      </c>
      <c r="S11" s="18"/>
      <c r="T11" s="11" t="str">
        <f>IF(U11="","",_xlfn.XLOOKUP(U11,Formacode!A:A,Formacode!B:B,0,1))</f>
        <v/>
      </c>
      <c r="U11" s="28" t="str" cm="1">
        <f t="array" ref="U11">IFERROR(INDEX('Durée formacode'!$B$2:$B$200,
SMALL(IF((ISNUMBER(INDEX('Durée formacode'!$C$2:$AA$200,,
MATCH('Métiers passerelles'!$B$4,'Durée formacode'!$C$1:$AA$1,0))))*(ISNUMBER(INDEX('Durée formacode'!$C$2:$AA$200,,
MATCH('Métiers passerelles'!$J$8,'Durée formacode'!$C$1:$AA$1,0)))),
ROW('Durée formacode'!$B$2:$B$200)-ROW('Durée formacode'!$B$2)+1),
ROWS($N$8:N16))),
"")</f>
        <v/>
      </c>
      <c r="V11" s="48" t="str">
        <f>IF(U11="","",MAX(INDEX('Durée formacode'!$C$2:$Z$200,
         MATCH(U11,'Durée formacode'!$B$2:$B$200,0),
         MATCH($J$8,'Durée formacode'!$C$1:$Z$1,0))-INDEX('Durée formacode'!$C$2:$Z$200,
         MATCH(U11,'Durée formacode'!$B$2:$B$200,0),
         MATCH($B$4,'Durée formacode'!$C$1:$Z$1,0)),0))</f>
        <v/>
      </c>
      <c r="W11" s="31" t="str">
        <f>IF(X11="","",_xlfn.XLOOKUP(X11,Formacode!A:A,Formacode!B:B,0,1))</f>
        <v/>
      </c>
      <c r="X11" s="33" t="str" cm="1">
        <f t="array" ref="X11">IFERROR(INDEX('Durée formacode'!$B$2:$B$200,
SMALL(IF((NOT(ISNUMBER(INDEX('Durée formacode'!$C$2:$AA$200,,
MATCH('Métiers passerelles'!$B$4,'Durée formacode'!$C$1:$AA$1,0)))))*(ISNUMBER(INDEX('Durée formacode'!$C$2:$AA$200,,
MATCH('Métiers passerelles'!$J$8,'Durée formacode'!$C$1:$AA$1,0)))),
ROW('Durée formacode'!$B$2:$B$200)-ROW('Durée formacode'!$B$2)+1),
ROWS($N$8:N16))),
"")</f>
        <v/>
      </c>
      <c r="Y11" s="23" t="str">
        <f>IFERROR(IF(X11="","",
IF(INDEX('Durée formacode'!$C$2:$Z$200,
      MATCH(X11,'Durée formacode'!$B$2:$B$200,0),
      MATCH($B$4,'Durée formacode'!$C$1:$Z$1,0))="",
INDEX('Durée formacode'!$C$2:$Z$200,
      MATCH(X11,'Durée formacode'!$B$2:$B$200,0),
      MATCH($J$8,'Durée formacode'!$C$1:$Z$1,0)),
"")),
"")</f>
        <v/>
      </c>
      <c r="AA11" s="18"/>
      <c r="AB11" s="11" t="str">
        <f>IF(AC11="","",_xlfn.XLOOKUP(AC11,Formacode!A:A,Formacode!B:B,0,1))</f>
        <v/>
      </c>
      <c r="AC11" s="28" t="str" cm="1">
        <f t="array" ref="AC11">IFERROR(INDEX('Durée formacode'!$B$2:$B$200,
SMALL(IF((ISNUMBER(INDEX('Durée formacode'!$C$2:$AA$200,,
MATCH('Métiers passerelles'!$B$4,'Durée formacode'!$C$1:$AA$1,0))))*(ISNUMBER(INDEX('Durée formacode'!$C$2:$AA$200,,
MATCH($J$9,'Durée formacode'!$C$1:$AA$1,0)))),
ROW('Durée formacode'!$B$2:$B$200)-ROW('Durée formacode'!$B$2)+1),
ROWS($N$9:N17))),
"")</f>
        <v/>
      </c>
      <c r="AD11" s="19" t="str">
        <f>IF(AC11="","",MAX(INDEX('Durée formacode'!$C$2:$Z$200,
         MATCH(AC11,'Durée formacode'!$B$2:$B$200,0),
         MATCH($J$9,'Durée formacode'!$C$1:$Z$1,0))-INDEX('Durée formacode'!$C$2:$Z$200,
         MATCH(AC11,'Durée formacode'!$B$2:$B$200,0),
         MATCH($B$4,'Durée formacode'!$C$1:$Z$1,0)),0))</f>
        <v/>
      </c>
      <c r="AE11" s="31" t="str">
        <f>IF(AF11="","",_xlfn.XLOOKUP(AF11,Formacode!A:A,Formacode!B:B,0,1))</f>
        <v/>
      </c>
      <c r="AF11" s="33" t="str" cm="1">
        <f t="array" ref="AF11">IFERROR(INDEX('Durée formacode'!$B$2:$B$200,
SMALL(IF((NOT(ISNUMBER(INDEX('Durée formacode'!$C$2:$AA$200,,
MATCH('Métiers passerelles'!$B$4,'Durée formacode'!$C$1:$AA$1,0)))))*(ISNUMBER(INDEX('Durée formacode'!$C$2:$AA$200,,
MATCH('Métiers passerelles'!$J$9,'Durée formacode'!$C$1:$AA$1,0)))),
ROW('Durée formacode'!$B$2:$B$200)-ROW('Durée formacode'!$B$2)+1),
ROWS($N$9:N17))),
"")</f>
        <v/>
      </c>
      <c r="AG11" s="23" t="str">
        <f>IFERROR(IF(AF11="","",
IF(INDEX('Durée formacode'!$C$2:$Z$200,
      MATCH(AF11,'Durée formacode'!$B$2:$B$200,0),
      MATCH($B$4,'Durée formacode'!$C$1:$Z$1,0))="",
INDEX('Durée formacode'!$C$2:$Z$200,
      MATCH(AF11,'Durée formacode'!$B$2:$B$200,0),
      MATCH($J$9,'Durée formacode'!$C$1:$Z$1,0)),
"")),
"")</f>
        <v/>
      </c>
      <c r="AI11" s="30"/>
      <c r="AJ11" s="33" t="str">
        <f>IF(AK11="","",_xlfn.XLOOKUP(AK11,Formacode!A:A,Formacode!B:B,0,1))</f>
        <v/>
      </c>
      <c r="AK11" s="37" t="str" cm="1">
        <f t="array" ref="AK11">IFERROR(INDEX('Durée formacode'!$B$2:$B$200,
SMALL(IF((ISNUMBER(INDEX('Durée formacode'!$C$2:$AA$200,,
MATCH('Métiers passerelles'!$B$4,'Durée formacode'!$C$1:$AA$1,0))))*(ISNUMBER(INDEX('Durée formacode'!$C$2:$AA$200,,
MATCH('Métiers passerelles'!$J$10,'Durée formacode'!$C$1:$AA$1,0)))),
ROW('Durée formacode'!$B$2:$B$200)-ROW('Durée formacode'!$B$2)+1),
ROWS($N$10:N18))),
"")</f>
        <v/>
      </c>
      <c r="AL11" s="30" t="str">
        <f>IF(AK11="","",MAX(INDEX('Durée formacode'!$C$2:$Z$200,
         MATCH(AK11,'Durée formacode'!$B$2:$B$200,0),
         MATCH($J$10,'Durée formacode'!$C$1:$Z$1,0))-INDEX('Durée formacode'!$C$2:$Z$200,
         MATCH(AK11,'Durée formacode'!$B$2:$B$200,0),
         MATCH($B$4,'Durée formacode'!$C$1:$Z$1,0)),0))</f>
        <v/>
      </c>
      <c r="AM11" s="30" t="str">
        <f>IF(AN11="","",_xlfn.XLOOKUP(AN11,Formacode!A:A,Formacode!B:B,0,1))</f>
        <v/>
      </c>
      <c r="AN11" s="33" t="str" cm="1">
        <f t="array" ref="AN11">IFERROR(INDEX('Durée formacode'!$B$2:$B$200,
SMALL(IF((NOT(ISNUMBER(INDEX('Durée formacode'!$C$2:$AA$200,,
MATCH('Métiers passerelles'!$B$4,'Durée formacode'!$C$1:$AA$1,0)))))*(ISNUMBER(INDEX('Durée formacode'!$C$2:$AA$200,,
MATCH('Métiers passerelles'!$J$10,'Durée formacode'!$C$1:$AA$1,0)))),
ROW('Durée formacode'!$B$2:$B$200)-ROW('Durée formacode'!$B$2)+1),
ROWS($N$10:N18))),
"")</f>
        <v/>
      </c>
      <c r="AO11" s="37" t="str">
        <f>IFERROR(IF(AN11="","",
IF(INDEX('Durée formacode'!$C$2:$Z$200,
      MATCH(AN11,'Durée formacode'!$B$2:$B$200,0),
      MATCH($B$4,'Durée formacode'!$C$1:$Z$1,0))="",
INDEX('Durée formacode'!$C$2:$Z$200,
      MATCH(AN11,'Durée formacode'!$B$2:$B$200,0),
      MATCH($J$10,'Durée formacode'!$C$1:$Z$1,0)),
"")),
"")</f>
        <v/>
      </c>
    </row>
    <row r="12" spans="1:41">
      <c r="A12" s="64" t="str">
        <v>Manager(euse) logistique</v>
      </c>
      <c r="B12" s="65" cm="1">
        <f t="array" ref="B12">SUMPRODUCT((IFERROR(1*INDEX('Durée formacode'!$C$2:$AE$44,0,MATCH($B$4,'Durée formacode'!$C$1:$AE$1,0)),0)&gt;0)*(IFERROR(1*INDEX('Durée formacode'!$C$2:$AE$44,0,MATCH($A12,'Durée formacode'!$C$1:$AE$1,0)),0)&gt;0))</f>
        <v>4</v>
      </c>
      <c r="C12" s="65">
        <f>IFERROR(INDEX('Différence formation'!$B$2:$AC$199,
MATCH($A12,'Différence formation'!$A$2:$A$99,0),
MATCH($B$4,'Différence formation'!$B$1:$AD$1,0)),
"")</f>
        <v>2274</v>
      </c>
      <c r="D12" s="66">
        <f>IFERROR(INDEX('Degré élargissement'!$B$2:$AC$199,
MATCH($A12,'Degré élargissement'!$A$2:$A$199,0),
MATCH($B$4,'Degré élargissement'!$B$1:$AC$1,0)),
"")</f>
        <v>3.9999999999999996</v>
      </c>
      <c r="E12" s="63">
        <f t="shared" si="0"/>
        <v>0</v>
      </c>
      <c r="I12" s="7" t="s">
        <v>79</v>
      </c>
      <c r="J12" s="10" t="str">
        <v>Conducteur(trice) de ligne(s)de production alimentaire (fabrication/conditionnement)</v>
      </c>
      <c r="K12" s="6">
        <v>2</v>
      </c>
      <c r="L12" s="6">
        <v>1114</v>
      </c>
      <c r="M12" s="6">
        <v>2</v>
      </c>
      <c r="S12" s="18"/>
      <c r="T12" s="11" t="str">
        <f>IF(U12="","",_xlfn.XLOOKUP(U12,Formacode!A:A,Formacode!B:B,0,1))</f>
        <v/>
      </c>
      <c r="U12" s="28" t="str" cm="1">
        <f t="array" ref="U12">IFERROR(INDEX('Durée formacode'!$B$2:$B$200,
SMALL(IF((ISNUMBER(INDEX('Durée formacode'!$C$2:$AA$200,,
MATCH('Métiers passerelles'!$B$4,'Durée formacode'!$C$1:$AA$1,0))))*(ISNUMBER(INDEX('Durée formacode'!$C$2:$AA$200,,
MATCH('Métiers passerelles'!$J$8,'Durée formacode'!$C$1:$AA$1,0)))),
ROW('Durée formacode'!$B$2:$B$200)-ROW('Durée formacode'!$B$2)+1),
ROWS($N$8:N17))),
"")</f>
        <v/>
      </c>
      <c r="V12" s="48" t="str">
        <f>IF(U12="","",MAX(INDEX('Durée formacode'!$C$2:$Z$200,
         MATCH(U12,'Durée formacode'!$B$2:$B$200,0),
         MATCH($J$8,'Durée formacode'!$C$1:$Z$1,0))-INDEX('Durée formacode'!$C$2:$Z$200,
         MATCH(U12,'Durée formacode'!$B$2:$B$200,0),
         MATCH($B$4,'Durée formacode'!$C$1:$Z$1,0)),0))</f>
        <v/>
      </c>
      <c r="W12" s="31" t="str">
        <f>IF(X12="","",_xlfn.XLOOKUP(X12,Formacode!A:A,Formacode!B:B,0,1))</f>
        <v/>
      </c>
      <c r="X12" s="33" t="str" cm="1">
        <f t="array" ref="X12">IFERROR(INDEX('Durée formacode'!$B$2:$B$200,
SMALL(IF((NOT(ISNUMBER(INDEX('Durée formacode'!$C$2:$AA$200,,
MATCH('Métiers passerelles'!$B$4,'Durée formacode'!$C$1:$AA$1,0)))))*(ISNUMBER(INDEX('Durée formacode'!$C$2:$AA$200,,
MATCH('Métiers passerelles'!$J$8,'Durée formacode'!$C$1:$AA$1,0)))),
ROW('Durée formacode'!$B$2:$B$200)-ROW('Durée formacode'!$B$2)+1),
ROWS($N$8:N17))),
"")</f>
        <v/>
      </c>
      <c r="Y12" s="23" t="str">
        <f>IFERROR(IF(X12="","",
IF(INDEX('Durée formacode'!$C$2:$Z$200,
      MATCH(X12,'Durée formacode'!$B$2:$B$200,0),
      MATCH($B$4,'Durée formacode'!$C$1:$Z$1,0))="",
INDEX('Durée formacode'!$C$2:$Z$200,
      MATCH(X12,'Durée formacode'!$B$2:$B$200,0),
      MATCH($J$8,'Durée formacode'!$C$1:$Z$1,0)),
"")),
"")</f>
        <v/>
      </c>
      <c r="AA12" s="18"/>
      <c r="AB12" s="11" t="str">
        <f>IF(AC12="","",_xlfn.XLOOKUP(AC12,Formacode!A:A,Formacode!B:B,0,1))</f>
        <v/>
      </c>
      <c r="AC12" s="28" t="str" cm="1">
        <f t="array" ref="AC12">IFERROR(INDEX('Durée formacode'!$B$2:$B$200,
SMALL(IF((ISNUMBER(INDEX('Durée formacode'!$C$2:$AA$200,,
MATCH('Métiers passerelles'!$B$4,'Durée formacode'!$C$1:$AA$1,0))))*(ISNUMBER(INDEX('Durée formacode'!$C$2:$AA$200,,
MATCH($J$9,'Durée formacode'!$C$1:$AA$1,0)))),
ROW('Durée formacode'!$B$2:$B$200)-ROW('Durée formacode'!$B$2)+1),
ROWS($N$9:N18))),
"")</f>
        <v/>
      </c>
      <c r="AD12" s="19" t="str">
        <f>IF(AC12="","",MAX(INDEX('Durée formacode'!$C$2:$Z$200,
         MATCH(AC12,'Durée formacode'!$B$2:$B$200,0),
         MATCH($J$9,'Durée formacode'!$C$1:$Z$1,0))-INDEX('Durée formacode'!$C$2:$Z$200,
         MATCH(AC12,'Durée formacode'!$B$2:$B$200,0),
         MATCH($B$4,'Durée formacode'!$C$1:$Z$1,0)),0))</f>
        <v/>
      </c>
      <c r="AE12" s="31" t="str">
        <f>IF(AF12="","",_xlfn.XLOOKUP(AF12,Formacode!A:A,Formacode!B:B,0,1))</f>
        <v/>
      </c>
      <c r="AF12" s="33" t="str" cm="1">
        <f t="array" ref="AF12">IFERROR(INDEX('Durée formacode'!$B$2:$B$200,
SMALL(IF((NOT(ISNUMBER(INDEX('Durée formacode'!$C$2:$AA$200,,
MATCH('Métiers passerelles'!$B$4,'Durée formacode'!$C$1:$AA$1,0)))))*(ISNUMBER(INDEX('Durée formacode'!$C$2:$AA$200,,
MATCH('Métiers passerelles'!$J$9,'Durée formacode'!$C$1:$AA$1,0)))),
ROW('Durée formacode'!$B$2:$B$200)-ROW('Durée formacode'!$B$2)+1),
ROWS($N$9:N18))),
"")</f>
        <v/>
      </c>
      <c r="AG12" s="23" t="str">
        <f>IFERROR(IF(AF12="","",
IF(INDEX('Durée formacode'!$C$2:$Z$200,
      MATCH(AF12,'Durée formacode'!$B$2:$B$200,0),
      MATCH($B$4,'Durée formacode'!$C$1:$Z$1,0))="",
INDEX('Durée formacode'!$C$2:$Z$200,
      MATCH(AF12,'Durée formacode'!$B$2:$B$200,0),
      MATCH($J$9,'Durée formacode'!$C$1:$Z$1,0)),
"")),
"")</f>
        <v/>
      </c>
      <c r="AI12" s="30"/>
      <c r="AJ12" s="33" t="str">
        <f>IF(AK12="","",_xlfn.XLOOKUP(AK12,Formacode!A:A,Formacode!B:B,0,1))</f>
        <v/>
      </c>
      <c r="AK12" s="37" t="str" cm="1">
        <f t="array" ref="AK12">IFERROR(INDEX('Durée formacode'!$B$2:$B$200,
SMALL(IF((ISNUMBER(INDEX('Durée formacode'!$C$2:$AA$200,,
MATCH('Métiers passerelles'!$B$4,'Durée formacode'!$C$1:$AA$1,0))))*(ISNUMBER(INDEX('Durée formacode'!$C$2:$AA$200,,
MATCH('Métiers passerelles'!$J$10,'Durée formacode'!$C$1:$AA$1,0)))),
ROW('Durée formacode'!$B$2:$B$200)-ROW('Durée formacode'!$B$2)+1),
ROWS($N$10:N19))),
"")</f>
        <v/>
      </c>
      <c r="AL12" s="30" t="str">
        <f>IF(AK12="","",MAX(INDEX('Durée formacode'!$C$2:$Z$200,
         MATCH(AK12,'Durée formacode'!$B$2:$B$200,0),
         MATCH($J$10,'Durée formacode'!$C$1:$Z$1,0))-INDEX('Durée formacode'!$C$2:$Z$200,
         MATCH(AK12,'Durée formacode'!$B$2:$B$200,0),
         MATCH($B$4,'Durée formacode'!$C$1:$Z$1,0)),0))</f>
        <v/>
      </c>
      <c r="AM12" s="30" t="str">
        <f>IF(AN12="","",_xlfn.XLOOKUP(AN12,Formacode!A:A,Formacode!B:B,0,1))</f>
        <v/>
      </c>
      <c r="AN12" s="33" t="str" cm="1">
        <f t="array" ref="AN12">IFERROR(INDEX('Durée formacode'!$B$2:$B$200,
SMALL(IF((NOT(ISNUMBER(INDEX('Durée formacode'!$C$2:$AA$200,,
MATCH('Métiers passerelles'!$B$4,'Durée formacode'!$C$1:$AA$1,0)))))*(ISNUMBER(INDEX('Durée formacode'!$C$2:$AA$200,,
MATCH('Métiers passerelles'!$J$10,'Durée formacode'!$C$1:$AA$1,0)))),
ROW('Durée formacode'!$B$2:$B$200)-ROW('Durée formacode'!$B$2)+1),
ROWS($N$10:N19))),
"")</f>
        <v/>
      </c>
      <c r="AO12" s="37" t="str">
        <f>IFERROR(IF(AN12="","",
IF(INDEX('Durée formacode'!$C$2:$Z$200,
      MATCH(AN12,'Durée formacode'!$B$2:$B$200,0),
      MATCH($B$4,'Durée formacode'!$C$1:$Z$1,0))="",
INDEX('Durée formacode'!$C$2:$Z$200,
      MATCH(AN12,'Durée formacode'!$B$2:$B$200,0),
      MATCH($J$10,'Durée formacode'!$C$1:$Z$1,0)),
"")),
"")</f>
        <v/>
      </c>
    </row>
    <row r="13" spans="1:41">
      <c r="A13" s="64" t="str">
        <v>Maître(sse) de chai</v>
      </c>
      <c r="B13" s="65" cm="1">
        <f t="array" ref="B13">SUMPRODUCT((IFERROR(1*INDEX('Durée formacode'!$C$2:$AE$44,0,MATCH($B$4,'Durée formacode'!$C$1:$AE$1,0)),0)&gt;0)*(IFERROR(1*INDEX('Durée formacode'!$C$2:$AE$44,0,MATCH($A13,'Durée formacode'!$C$1:$AE$1,0)),0)&gt;0))</f>
        <v>1</v>
      </c>
      <c r="C13" s="65">
        <f>IFERROR(INDEX('Différence formation'!$B$2:$AC$199,
MATCH($A13,'Différence formation'!$A$2:$A$99,0),
MATCH($B$4,'Différence formation'!$B$1:$AD$1,0)),
"")</f>
        <v>2599</v>
      </c>
      <c r="D13" s="66">
        <f>IFERROR(INDEX('Degré élargissement'!$B$2:$AC$199,
MATCH($A13,'Degré élargissement'!$A$2:$A$199,0),
MATCH($B$4,'Degré élargissement'!$B$1:$AC$1,0)),
"")</f>
        <v>3.4999999999999996</v>
      </c>
      <c r="E13" s="63">
        <f t="shared" si="0"/>
        <v>0</v>
      </c>
      <c r="I13" s="7" t="s">
        <v>80</v>
      </c>
      <c r="J13" s="10" t="str">
        <v>Agent de silo</v>
      </c>
      <c r="K13" s="6">
        <v>3</v>
      </c>
      <c r="L13" s="6">
        <v>1185</v>
      </c>
      <c r="M13" s="6">
        <v>1.3333333333333335</v>
      </c>
      <c r="S13" s="18"/>
      <c r="T13" s="11" t="str">
        <f>IF(U13="","",_xlfn.XLOOKUP(U13,Formacode!A:A,Formacode!B:B,0,1))</f>
        <v/>
      </c>
      <c r="U13" s="28" t="str" cm="1">
        <f t="array" ref="U13">IFERROR(INDEX('Durée formacode'!$B$2:$B$200,
SMALL(IF((ISNUMBER(INDEX('Durée formacode'!$C$2:$AA$200,,
MATCH('Métiers passerelles'!$B$4,'Durée formacode'!$C$1:$AA$1,0))))*(ISNUMBER(INDEX('Durée formacode'!$C$2:$AA$200,,
MATCH('Métiers passerelles'!$J$8,'Durée formacode'!$C$1:$AA$1,0)))),
ROW('Durée formacode'!$B$2:$B$200)-ROW('Durée formacode'!$B$2)+1),
ROWS($N$8:N18))),
"")</f>
        <v/>
      </c>
      <c r="V13" s="48" t="str">
        <f>IF(U13="","",MAX(INDEX('Durée formacode'!$C$2:$Z$200,
         MATCH(U13,'Durée formacode'!$B$2:$B$200,0),
         MATCH($J$8,'Durée formacode'!$C$1:$Z$1,0))-INDEX('Durée formacode'!$C$2:$Z$200,
         MATCH(U13,'Durée formacode'!$B$2:$B$200,0),
         MATCH($B$4,'Durée formacode'!$C$1:$Z$1,0)),0))</f>
        <v/>
      </c>
      <c r="W13" s="31" t="str">
        <f>IF(X13="","",_xlfn.XLOOKUP(X13,Formacode!A:A,Formacode!B:B,0,1))</f>
        <v/>
      </c>
      <c r="X13" s="33" t="str" cm="1">
        <f t="array" ref="X13">IFERROR(INDEX('Durée formacode'!$B$2:$B$200,
SMALL(IF((NOT(ISNUMBER(INDEX('Durée formacode'!$C$2:$AA$200,,
MATCH('Métiers passerelles'!$B$4,'Durée formacode'!$C$1:$AA$1,0)))))*(ISNUMBER(INDEX('Durée formacode'!$C$2:$AA$200,,
MATCH('Métiers passerelles'!$J$8,'Durée formacode'!$C$1:$AA$1,0)))),
ROW('Durée formacode'!$B$2:$B$200)-ROW('Durée formacode'!$B$2)+1),
ROWS($N$8:N18))),
"")</f>
        <v/>
      </c>
      <c r="Y13" s="23" t="str">
        <f>IFERROR(IF(X13="","",
IF(INDEX('Durée formacode'!$C$2:$Z$200,
      MATCH(X13,'Durée formacode'!$B$2:$B$200,0),
      MATCH($B$4,'Durée formacode'!$C$1:$Z$1,0))="",
INDEX('Durée formacode'!$C$2:$Z$200,
      MATCH(X13,'Durée formacode'!$B$2:$B$200,0),
      MATCH($J$8,'Durée formacode'!$C$1:$Z$1,0)),
"")),
"")</f>
        <v/>
      </c>
      <c r="AA13" s="18"/>
      <c r="AB13" s="11" t="str">
        <f>IF(AC13="","",_xlfn.XLOOKUP(AC13,Formacode!A:A,Formacode!B:B,0,1))</f>
        <v/>
      </c>
      <c r="AC13" s="28" t="str" cm="1">
        <f t="array" ref="AC13">IFERROR(INDEX('Durée formacode'!$B$2:$B$200,
SMALL(IF((ISNUMBER(INDEX('Durée formacode'!$C$2:$AA$200,,
MATCH('Métiers passerelles'!$B$4,'Durée formacode'!$C$1:$AA$1,0))))*(ISNUMBER(INDEX('Durée formacode'!$C$2:$AA$200,,
MATCH($J$9,'Durée formacode'!$C$1:$AA$1,0)))),
ROW('Durée formacode'!$B$2:$B$200)-ROW('Durée formacode'!$B$2)+1),
ROWS($N$9:N19))),
"")</f>
        <v/>
      </c>
      <c r="AD13" s="19" t="str">
        <f>IF(AC13="","",MAX(INDEX('Durée formacode'!$C$2:$Z$200,
         MATCH(AC13,'Durée formacode'!$B$2:$B$200,0),
         MATCH($J$9,'Durée formacode'!$C$1:$Z$1,0))-INDEX('Durée formacode'!$C$2:$Z$200,
         MATCH(AC13,'Durée formacode'!$B$2:$B$200,0),
         MATCH($B$4,'Durée formacode'!$C$1:$Z$1,0)),0))</f>
        <v/>
      </c>
      <c r="AE13" s="31" t="str">
        <f>IF(AF13="","",_xlfn.XLOOKUP(AF13,Formacode!A:A,Formacode!B:B,0,1))</f>
        <v/>
      </c>
      <c r="AF13" s="33" t="str" cm="1">
        <f t="array" ref="AF13">IFERROR(INDEX('Durée formacode'!$B$2:$B$200,
SMALL(IF((NOT(ISNUMBER(INDEX('Durée formacode'!$C$2:$AA$200,,
MATCH('Métiers passerelles'!$B$4,'Durée formacode'!$C$1:$AA$1,0)))))*(ISNUMBER(INDEX('Durée formacode'!$C$2:$AA$200,,
MATCH('Métiers passerelles'!$J$9,'Durée formacode'!$C$1:$AA$1,0)))),
ROW('Durée formacode'!$B$2:$B$200)-ROW('Durée formacode'!$B$2)+1),
ROWS($N$9:N19))),
"")</f>
        <v/>
      </c>
      <c r="AG13" s="23" t="str">
        <f>IFERROR(IF(AF13="","",
IF(INDEX('Durée formacode'!$C$2:$Z$200,
      MATCH(AF13,'Durée formacode'!$B$2:$B$200,0),
      MATCH($B$4,'Durée formacode'!$C$1:$Z$1,0))="",
INDEX('Durée formacode'!$C$2:$Z$200,
      MATCH(AF13,'Durée formacode'!$B$2:$B$200,0),
      MATCH($J$9,'Durée formacode'!$C$1:$Z$1,0)),
"")),
"")</f>
        <v/>
      </c>
      <c r="AI13" s="30"/>
      <c r="AJ13" s="33" t="str">
        <f>IF(AK13="","",_xlfn.XLOOKUP(AK13,Formacode!A:A,Formacode!B:B,0,1))</f>
        <v/>
      </c>
      <c r="AK13" s="37" t="str" cm="1">
        <f t="array" ref="AK13">IFERROR(INDEX('Durée formacode'!$B$2:$B$200,
SMALL(IF((ISNUMBER(INDEX('Durée formacode'!$C$2:$AA$200,,
MATCH('Métiers passerelles'!$B$4,'Durée formacode'!$C$1:$AA$1,0))))*(ISNUMBER(INDEX('Durée formacode'!$C$2:$AA$200,,
MATCH('Métiers passerelles'!$J$10,'Durée formacode'!$C$1:$AA$1,0)))),
ROW('Durée formacode'!$B$2:$B$200)-ROW('Durée formacode'!$B$2)+1),
ROWS($N$10:N20))),
"")</f>
        <v/>
      </c>
      <c r="AL13" s="30" t="str">
        <f>IF(AK13="","",MAX(INDEX('Durée formacode'!$C$2:$Z$200,
         MATCH(AK13,'Durée formacode'!$B$2:$B$200,0),
         MATCH($J$10,'Durée formacode'!$C$1:$Z$1,0))-INDEX('Durée formacode'!$C$2:$Z$200,
         MATCH(AK13,'Durée formacode'!$B$2:$B$200,0),
         MATCH($B$4,'Durée formacode'!$C$1:$Z$1,0)),0))</f>
        <v/>
      </c>
      <c r="AM13" s="30" t="str">
        <f>IF(AN13="","",_xlfn.XLOOKUP(AN13,Formacode!A:A,Formacode!B:B,0,1))</f>
        <v/>
      </c>
      <c r="AN13" s="33" t="str" cm="1">
        <f t="array" ref="AN13">IFERROR(INDEX('Durée formacode'!$B$2:$B$200,
SMALL(IF((NOT(ISNUMBER(INDEX('Durée formacode'!$C$2:$AA$200,,
MATCH('Métiers passerelles'!$B$4,'Durée formacode'!$C$1:$AA$1,0)))))*(ISNUMBER(INDEX('Durée formacode'!$C$2:$AA$200,,
MATCH('Métiers passerelles'!$J$10,'Durée formacode'!$C$1:$AA$1,0)))),
ROW('Durée formacode'!$B$2:$B$200)-ROW('Durée formacode'!$B$2)+1),
ROWS($N$10:N20))),
"")</f>
        <v/>
      </c>
      <c r="AO13" s="37" t="str">
        <f>IFERROR(IF(AN13="","",
IF(INDEX('Durée formacode'!$C$2:$Z$200,
      MATCH(AN13,'Durée formacode'!$B$2:$B$200,0),
      MATCH($B$4,'Durée formacode'!$C$1:$Z$1,0))="",
INDEX('Durée formacode'!$C$2:$Z$200,
      MATCH(AN13,'Durée formacode'!$B$2:$B$200,0),
      MATCH($J$10,'Durée formacode'!$C$1:$Z$1,0)),
"")),
"")</f>
        <v/>
      </c>
    </row>
    <row r="14" spans="1:41">
      <c r="A14" s="64" t="str">
        <v>Superviseur(se) de production (fabrication / conditionnement)</v>
      </c>
      <c r="B14" s="65" cm="1">
        <f t="array" ref="B14">SUMPRODUCT((IFERROR(1*INDEX('Durée formacode'!$C$2:$AE$44,0,MATCH($B$4,'Durée formacode'!$C$1:$AE$1,0)),0)&gt;0)*(IFERROR(1*INDEX('Durée formacode'!$C$2:$AE$44,0,MATCH($A14,'Durée formacode'!$C$1:$AE$1,0)),0)&gt;0))</f>
        <v>1</v>
      </c>
      <c r="C14" s="65">
        <f>IFERROR(INDEX('Différence formation'!$B$2:$AC$199,
MATCH($A14,'Différence formation'!$A$2:$A$99,0),
MATCH($B$4,'Différence formation'!$B$1:$AD$1,0)),
"")</f>
        <v>2126</v>
      </c>
      <c r="D14" s="66">
        <f>IFERROR(INDEX('Degré élargissement'!$B$2:$AC$199,
MATCH($A14,'Degré élargissement'!$A$2:$A$199,0),
MATCH($B$4,'Degré élargissement'!$B$1:$AC$1,0)),
"")</f>
        <v>3.4999999999999996</v>
      </c>
      <c r="E14" s="63">
        <f t="shared" si="0"/>
        <v>0</v>
      </c>
      <c r="I14" s="7" t="s">
        <v>81</v>
      </c>
      <c r="J14" s="10" t="str">
        <v>Caviste</v>
      </c>
      <c r="K14" s="6">
        <v>2</v>
      </c>
      <c r="L14" s="6">
        <v>1306</v>
      </c>
      <c r="M14" s="6">
        <v>1.5</v>
      </c>
      <c r="S14" s="20"/>
      <c r="T14" s="11" t="str">
        <f>IF(U14="","",_xlfn.XLOOKUP(U14,Formacode!A:A,Formacode!B:B,0,1))</f>
        <v/>
      </c>
      <c r="U14" s="28" t="str" cm="1">
        <f t="array" ref="U14">IFERROR(INDEX('Durée formacode'!$B$2:$B$200,
SMALL(IF((ISNUMBER(INDEX('Durée formacode'!$C$2:$AA$200,,
MATCH('Métiers passerelles'!$B$4,'Durée formacode'!$C$1:$AA$1,0))))*(ISNUMBER(INDEX('Durée formacode'!$C$2:$AA$200,,
MATCH('Métiers passerelles'!$J$8,'Durée formacode'!$C$1:$AA$1,0)))),
ROW('Durée formacode'!$B$2:$B$200)-ROW('Durée formacode'!$B$2)+1),
ROWS($N$8:N19))),
"")</f>
        <v/>
      </c>
      <c r="V14" s="48" t="str">
        <f>IF(U14="","",MAX(INDEX('Durée formacode'!$C$2:$Z$200,
         MATCH(U14,'Durée formacode'!$B$2:$B$200,0),
         MATCH($J$8,'Durée formacode'!$C$1:$Z$1,0))-INDEX('Durée formacode'!$C$2:$Z$200,
         MATCH(U14,'Durée formacode'!$B$2:$B$200,0),
         MATCH($B$4,'Durée formacode'!$C$1:$Z$1,0)),0))</f>
        <v/>
      </c>
      <c r="W14" s="31" t="str">
        <f>IF(X14="","",_xlfn.XLOOKUP(X14,Formacode!A:A,Formacode!B:B,0,1))</f>
        <v/>
      </c>
      <c r="X14" s="33" t="str" cm="1">
        <f t="array" ref="X14">IFERROR(INDEX('Durée formacode'!$B$2:$B$200,
SMALL(IF((NOT(ISNUMBER(INDEX('Durée formacode'!$C$2:$AA$200,,
MATCH('Métiers passerelles'!$B$4,'Durée formacode'!$C$1:$AA$1,0)))))*(ISNUMBER(INDEX('Durée formacode'!$C$2:$AA$200,,
MATCH('Métiers passerelles'!$J$8,'Durée formacode'!$C$1:$AA$1,0)))),
ROW('Durée formacode'!$B$2:$B$200)-ROW('Durée formacode'!$B$2)+1),
ROWS($N$8:N19))),
"")</f>
        <v/>
      </c>
      <c r="Y14" s="23" t="str">
        <f>IFERROR(IF(X14="","",
IF(INDEX('Durée formacode'!$C$2:$Z$200,
      MATCH(X14,'Durée formacode'!$B$2:$B$200,0),
      MATCH($B$4,'Durée formacode'!$C$1:$Z$1,0))="",
INDEX('Durée formacode'!$C$2:$Z$200,
      MATCH(X14,'Durée formacode'!$B$2:$B$200,0),
      MATCH($J$8,'Durée formacode'!$C$1:$Z$1,0)),
"")),
"")</f>
        <v/>
      </c>
      <c r="AA14" s="20"/>
      <c r="AB14" s="11" t="str">
        <f>IF(AC14="","",_xlfn.XLOOKUP(AC14,Formacode!A:A,Formacode!B:B,0,1))</f>
        <v/>
      </c>
      <c r="AC14" s="28" t="str" cm="1">
        <f t="array" ref="AC14">IFERROR(INDEX('Durée formacode'!$B$2:$B$200,
SMALL(IF((ISNUMBER(INDEX('Durée formacode'!$C$2:$AA$200,,
MATCH('Métiers passerelles'!$B$4,'Durée formacode'!$C$1:$AA$1,0))))*(ISNUMBER(INDEX('Durée formacode'!$C$2:$AA$200,,
MATCH($J$9,'Durée formacode'!$C$1:$AA$1,0)))),
ROW('Durée formacode'!$B$2:$B$200)-ROW('Durée formacode'!$B$2)+1),
ROWS($N$9:N20))),
"")</f>
        <v/>
      </c>
      <c r="AD14" s="19" t="str">
        <f>IF(AC14="","",MAX(INDEX('Durée formacode'!$C$2:$Z$200,
         MATCH(AC14,'Durée formacode'!$B$2:$B$200,0),
         MATCH($J$9,'Durée formacode'!$C$1:$Z$1,0))-INDEX('Durée formacode'!$C$2:$Z$200,
         MATCH(AC14,'Durée formacode'!$B$2:$B$200,0),
         MATCH($B$4,'Durée formacode'!$C$1:$Z$1,0)),0))</f>
        <v/>
      </c>
      <c r="AE14" s="31" t="str">
        <f>IF(AF14="","",_xlfn.XLOOKUP(AF14,Formacode!A:A,Formacode!B:B,0,1))</f>
        <v/>
      </c>
      <c r="AF14" s="33" t="str" cm="1">
        <f t="array" ref="AF14">IFERROR(INDEX('Durée formacode'!$B$2:$B$200,
SMALL(IF((NOT(ISNUMBER(INDEX('Durée formacode'!$C$2:$AA$200,,
MATCH('Métiers passerelles'!$B$4,'Durée formacode'!$C$1:$AA$1,0)))))*(ISNUMBER(INDEX('Durée formacode'!$C$2:$AA$200,,
MATCH('Métiers passerelles'!$J$9,'Durée formacode'!$C$1:$AA$1,0)))),
ROW('Durée formacode'!$B$2:$B$200)-ROW('Durée formacode'!$B$2)+1),
ROWS($N$9:N20))),
"")</f>
        <v/>
      </c>
      <c r="AG14" s="23" t="str">
        <f>IFERROR(IF(AF14="","",
IF(INDEX('Durée formacode'!$C$2:$Z$200,
      MATCH(AF14,'Durée formacode'!$B$2:$B$200,0),
      MATCH($B$4,'Durée formacode'!$C$1:$Z$1,0))="",
INDEX('Durée formacode'!$C$2:$Z$200,
      MATCH(AF14,'Durée formacode'!$B$2:$B$200,0),
      MATCH($J$9,'Durée formacode'!$C$1:$Z$1,0)),
"")),
"")</f>
        <v/>
      </c>
      <c r="AI14" s="30"/>
      <c r="AJ14" s="33" t="str">
        <f>IF(AK14="","",_xlfn.XLOOKUP(AK14,Formacode!A:A,Formacode!B:B,0,1))</f>
        <v/>
      </c>
      <c r="AK14" s="37" t="str" cm="1">
        <f t="array" ref="AK14">IFERROR(INDEX('Durée formacode'!$B$2:$B$200,
SMALL(IF((ISNUMBER(INDEX('Durée formacode'!$C$2:$AA$200,,
MATCH('Métiers passerelles'!$B$4,'Durée formacode'!$C$1:$AA$1,0))))*(ISNUMBER(INDEX('Durée formacode'!$C$2:$AA$200,,
MATCH('Métiers passerelles'!$J$10,'Durée formacode'!$C$1:$AA$1,0)))),
ROW('Durée formacode'!$B$2:$B$200)-ROW('Durée formacode'!$B$2)+1),
ROWS($N$10:N21))),
"")</f>
        <v/>
      </c>
      <c r="AL14" s="30" t="str">
        <f>IF(AK14="","",MAX(INDEX('Durée formacode'!$C$2:$Z$200,
         MATCH(AK14,'Durée formacode'!$B$2:$B$200,0),
         MATCH($J$10,'Durée formacode'!$C$1:$Z$1,0))-INDEX('Durée formacode'!$C$2:$Z$200,
         MATCH(AK14,'Durée formacode'!$B$2:$B$200,0),
         MATCH($B$4,'Durée formacode'!$C$1:$Z$1,0)),0))</f>
        <v/>
      </c>
      <c r="AM14" s="30" t="str">
        <f>IF(AN14="","",_xlfn.XLOOKUP(AN14,Formacode!A:A,Formacode!B:B,0,1))</f>
        <v/>
      </c>
      <c r="AN14" s="33" t="str" cm="1">
        <f t="array" ref="AN14">IFERROR(INDEX('Durée formacode'!$B$2:$B$200,
SMALL(IF((NOT(ISNUMBER(INDEX('Durée formacode'!$C$2:$AA$200,,
MATCH('Métiers passerelles'!$B$4,'Durée formacode'!$C$1:$AA$1,0)))))*(ISNUMBER(INDEX('Durée formacode'!$C$2:$AA$200,,
MATCH('Métiers passerelles'!$J$10,'Durée formacode'!$C$1:$AA$1,0)))),
ROW('Durée formacode'!$B$2:$B$200)-ROW('Durée formacode'!$B$2)+1),
ROWS($N$10:N21))),
"")</f>
        <v/>
      </c>
      <c r="AO14" s="37" t="str">
        <f>IFERROR(IF(AN14="","",
IF(INDEX('Durée formacode'!$C$2:$Z$200,
      MATCH(AN14,'Durée formacode'!$B$2:$B$200,0),
      MATCH($B$4,'Durée formacode'!$C$1:$Z$1,0))="",
INDEX('Durée formacode'!$C$2:$Z$200,
      MATCH(AN14,'Durée formacode'!$B$2:$B$200,0),
      MATCH($J$10,'Durée formacode'!$C$1:$Z$1,0)),
"")),
"")</f>
        <v/>
      </c>
    </row>
    <row r="15" spans="1:41">
      <c r="A15" s="64" t="str">
        <v>Spécialiste planning / ordonnancement</v>
      </c>
      <c r="B15" s="65" cm="1">
        <f t="array" ref="B15">SUMPRODUCT((IFERROR(1*INDEX('Durée formacode'!$C$2:$AE$44,0,MATCH($B$4,'Durée formacode'!$C$1:$AE$1,0)),0)&gt;0)*(IFERROR(1*INDEX('Durée formacode'!$C$2:$AE$44,0,MATCH($A15,'Durée formacode'!$C$1:$AE$1,0)),0)&gt;0))</f>
        <v>0</v>
      </c>
      <c r="C15" s="65">
        <f>IFERROR(INDEX('Différence formation'!$B$2:$AC$199,
MATCH($A15,'Différence formation'!$A$2:$A$99,0),
MATCH($B$4,'Différence formation'!$B$1:$AD$1,0)),
"")</f>
        <v>2017</v>
      </c>
      <c r="D15" s="66">
        <f>IFERROR(INDEX('Degré élargissement'!$B$2:$AC$199,
MATCH($A15,'Degré élargissement'!$A$2:$A$199,0),
MATCH($B$4,'Degré élargissement'!$B$1:$AC$1,0)),
"")</f>
        <v>3.9999999999999996</v>
      </c>
      <c r="E15" s="63">
        <f t="shared" si="0"/>
        <v>0</v>
      </c>
      <c r="I15" s="7" t="s">
        <v>82</v>
      </c>
      <c r="J15" s="10" t="str">
        <v>Conducteur(trice) de process de production alimentaire</v>
      </c>
      <c r="K15" s="6">
        <v>1</v>
      </c>
      <c r="L15" s="6">
        <v>1458</v>
      </c>
      <c r="M15" s="6">
        <v>2.5</v>
      </c>
      <c r="S15" s="20"/>
      <c r="T15" s="11" t="str">
        <f>IF(U15="","",_xlfn.XLOOKUP(U15,Formacode!A:A,Formacode!B:B,0,1))</f>
        <v/>
      </c>
      <c r="U15" s="28" t="str" cm="1">
        <f t="array" ref="U15">IFERROR(INDEX('Durée formacode'!$B$2:$B$200,
SMALL(IF((ISNUMBER(INDEX('Durée formacode'!$C$2:$AA$200,,
MATCH('Métiers passerelles'!$B$4,'Durée formacode'!$C$1:$AA$1,0))))*(ISNUMBER(INDEX('Durée formacode'!$C$2:$AA$200,,
MATCH('Métiers passerelles'!$J$8,'Durée formacode'!$C$1:$AA$1,0)))),
ROW('Durée formacode'!$B$2:$B$200)-ROW('Durée formacode'!$B$2)+1),
ROWS($N$8:N20))),
"")</f>
        <v/>
      </c>
      <c r="V15" s="48" t="str">
        <f>IF(U15="","",MAX(INDEX('Durée formacode'!$C$2:$Z$200,
         MATCH(U15,'Durée formacode'!$B$2:$B$200,0),
         MATCH($J$8,'Durée formacode'!$C$1:$Z$1,0))-INDEX('Durée formacode'!$C$2:$Z$200,
         MATCH(U15,'Durée formacode'!$B$2:$B$200,0),
         MATCH($B$4,'Durée formacode'!$C$1:$Z$1,0)),0))</f>
        <v/>
      </c>
      <c r="W15" s="31" t="str">
        <f>IF(X15="","",_xlfn.XLOOKUP(X15,Formacode!A:A,Formacode!B:B,0,1))</f>
        <v/>
      </c>
      <c r="X15" s="33" t="str" cm="1">
        <f t="array" ref="X15">IFERROR(INDEX('Durée formacode'!$B$2:$B$200,
SMALL(IF((NOT(ISNUMBER(INDEX('Durée formacode'!$C$2:$AA$200,,
MATCH('Métiers passerelles'!$B$4,'Durée formacode'!$C$1:$AA$1,0)))))*(ISNUMBER(INDEX('Durée formacode'!$C$2:$AA$200,,
MATCH('Métiers passerelles'!$J$8,'Durée formacode'!$C$1:$AA$1,0)))),
ROW('Durée formacode'!$B$2:$B$200)-ROW('Durée formacode'!$B$2)+1),
ROWS($N$8:N20))),
"")</f>
        <v/>
      </c>
      <c r="Y15" s="23" t="str">
        <f>IFERROR(IF(X15="","",
IF(INDEX('Durée formacode'!$C$2:$Z$200,
      MATCH(X15,'Durée formacode'!$B$2:$B$200,0),
      MATCH($B$4,'Durée formacode'!$C$1:$Z$1,0))="",
INDEX('Durée formacode'!$C$2:$Z$200,
      MATCH(X15,'Durée formacode'!$B$2:$B$200,0),
      MATCH($J$8,'Durée formacode'!$C$1:$Z$1,0)),
"")),
"")</f>
        <v/>
      </c>
      <c r="AA15" s="20"/>
      <c r="AB15" s="11" t="str">
        <f>IF(AC15="","",_xlfn.XLOOKUP(AC15,Formacode!A:A,Formacode!B:B,0,1))</f>
        <v/>
      </c>
      <c r="AC15" s="28" t="str" cm="1">
        <f t="array" ref="AC15">IFERROR(INDEX('Durée formacode'!$B$2:$B$200,
SMALL(IF((ISNUMBER(INDEX('Durée formacode'!$C$2:$AA$200,,
MATCH('Métiers passerelles'!$B$4,'Durée formacode'!$C$1:$AA$1,0))))*(ISNUMBER(INDEX('Durée formacode'!$C$2:$AA$200,,
MATCH($J$9,'Durée formacode'!$C$1:$AA$1,0)))),
ROW('Durée formacode'!$B$2:$B$200)-ROW('Durée formacode'!$B$2)+1),
ROWS($N$9:N21))),
"")</f>
        <v/>
      </c>
      <c r="AD15" s="19" t="str">
        <f>IF(AC15="","",MAX(INDEX('Durée formacode'!$C$2:$Z$200,
         MATCH(AC15,'Durée formacode'!$B$2:$B$200,0),
         MATCH($J$9,'Durée formacode'!$C$1:$Z$1,0))-INDEX('Durée formacode'!$C$2:$Z$200,
         MATCH(AC15,'Durée formacode'!$B$2:$B$200,0),
         MATCH($B$4,'Durée formacode'!$C$1:$Z$1,0)),0))</f>
        <v/>
      </c>
      <c r="AE15" s="31" t="str">
        <f>IF(AF15="","",_xlfn.XLOOKUP(AF15,Formacode!A:A,Formacode!B:B,0,1))</f>
        <v/>
      </c>
      <c r="AF15" s="33" t="str" cm="1">
        <f t="array" ref="AF15">IFERROR(INDEX('Durée formacode'!$B$2:$B$200,
SMALL(IF((NOT(ISNUMBER(INDEX('Durée formacode'!$C$2:$AA$200,,
MATCH('Métiers passerelles'!$B$4,'Durée formacode'!$C$1:$AA$1,0)))))*(ISNUMBER(INDEX('Durée formacode'!$C$2:$AA$200,,
MATCH('Métiers passerelles'!$J$9,'Durée formacode'!$C$1:$AA$1,0)))),
ROW('Durée formacode'!$B$2:$B$200)-ROW('Durée formacode'!$B$2)+1),
ROWS($N$9:N21))),
"")</f>
        <v/>
      </c>
      <c r="AG15" s="23" t="str">
        <f>IFERROR(IF(AF15="","",
IF(INDEX('Durée formacode'!$C$2:$Z$200,
      MATCH(AF15,'Durée formacode'!$B$2:$B$200,0),
      MATCH($B$4,'Durée formacode'!$C$1:$Z$1,0))="",
INDEX('Durée formacode'!$C$2:$Z$200,
      MATCH(AF15,'Durée formacode'!$B$2:$B$200,0),
      MATCH($J$9,'Durée formacode'!$C$1:$Z$1,0)),
"")),
"")</f>
        <v/>
      </c>
      <c r="AI15" s="30"/>
      <c r="AJ15" s="33" t="str">
        <f>IF(AK15="","",_xlfn.XLOOKUP(AK15,Formacode!A:A,Formacode!B:B,0,1))</f>
        <v/>
      </c>
      <c r="AK15" s="37" t="str" cm="1">
        <f t="array" ref="AK15">IFERROR(INDEX('Durée formacode'!$B$2:$B$200,
SMALL(IF((ISNUMBER(INDEX('Durée formacode'!$C$2:$AA$200,,
MATCH('Métiers passerelles'!$B$4,'Durée formacode'!$C$1:$AA$1,0))))*(ISNUMBER(INDEX('Durée formacode'!$C$2:$AA$200,,
MATCH('Métiers passerelles'!$J$10,'Durée formacode'!$C$1:$AA$1,0)))),
ROW('Durée formacode'!$B$2:$B$200)-ROW('Durée formacode'!$B$2)+1),
ROWS($N$10:N22))),
"")</f>
        <v/>
      </c>
      <c r="AL15" s="30" t="str">
        <f>IF(AK15="","",MAX(INDEX('Durée formacode'!$C$2:$Z$200,
         MATCH(AK15,'Durée formacode'!$B$2:$B$200,0),
         MATCH($J$10,'Durée formacode'!$C$1:$Z$1,0))-INDEX('Durée formacode'!$C$2:$Z$200,
         MATCH(AK15,'Durée formacode'!$B$2:$B$200,0),
         MATCH($B$4,'Durée formacode'!$C$1:$Z$1,0)),0))</f>
        <v/>
      </c>
      <c r="AM15" s="30" t="str">
        <f>IF(AN15="","",_xlfn.XLOOKUP(AN15,Formacode!A:A,Formacode!B:B,0,1))</f>
        <v/>
      </c>
      <c r="AN15" s="33" t="str" cm="1">
        <f t="array" ref="AN15">IFERROR(INDEX('Durée formacode'!$B$2:$B$200,
SMALL(IF((NOT(ISNUMBER(INDEX('Durée formacode'!$C$2:$AA$200,,
MATCH('Métiers passerelles'!$B$4,'Durée formacode'!$C$1:$AA$1,0)))))*(ISNUMBER(INDEX('Durée formacode'!$C$2:$AA$200,,
MATCH('Métiers passerelles'!$J$10,'Durée formacode'!$C$1:$AA$1,0)))),
ROW('Durée formacode'!$B$2:$B$200)-ROW('Durée formacode'!$B$2)+1),
ROWS($N$10:N22))),
"")</f>
        <v/>
      </c>
      <c r="AO15" s="37" t="str">
        <f>IFERROR(IF(AN15="","",
IF(INDEX('Durée formacode'!$C$2:$Z$200,
      MATCH(AN15,'Durée formacode'!$B$2:$B$200,0),
      MATCH($B$4,'Durée formacode'!$C$1:$Z$1,0))="",
INDEX('Durée formacode'!$C$2:$Z$200,
      MATCH(AN15,'Durée formacode'!$B$2:$B$200,0),
      MATCH($J$10,'Durée formacode'!$C$1:$Z$1,0)),
"")),
"")</f>
        <v/>
      </c>
    </row>
    <row r="16" spans="1:41">
      <c r="A16" s="64" t="str">
        <v>Opérateur(trice) logistique</v>
      </c>
      <c r="B16" s="65" cm="1">
        <f t="array" ref="B16">SUMPRODUCT((IFERROR(1*INDEX('Durée formacode'!$C$2:$AE$44,0,MATCH($B$4,'Durée formacode'!$C$1:$AE$1,0)),0)&gt;0)*(IFERROR(1*INDEX('Durée formacode'!$C$2:$AE$44,0,MATCH($A16,'Durée formacode'!$C$1:$AE$1,0)),0)&gt;0))</f>
        <v>6</v>
      </c>
      <c r="C16" s="65">
        <f>IFERROR(INDEX('Différence formation'!$B$2:$AC$199,
MATCH($A16,'Différence formation'!$A$2:$A$99,0),
MATCH($B$4,'Différence formation'!$B$1:$AD$1,0)),
"")</f>
        <v>0</v>
      </c>
      <c r="D16" s="66">
        <f>IFERROR(INDEX('Degré élargissement'!$B$2:$AC$199,
MATCH($A16,'Degré élargissement'!$A$2:$A$199,0),
MATCH($B$4,'Degré élargissement'!$B$1:$AC$1,0)),
"")</f>
        <v>0</v>
      </c>
      <c r="E16" s="63">
        <f t="shared" si="0"/>
        <v>0</v>
      </c>
      <c r="I16" s="7" t="s">
        <v>83</v>
      </c>
      <c r="J16" s="10" t="str">
        <v>Mécanicien(ne) de maintenance industrielle</v>
      </c>
      <c r="K16" s="6">
        <v>1</v>
      </c>
      <c r="L16" s="6">
        <v>1540</v>
      </c>
      <c r="M16" s="6">
        <v>1.8333333333333335</v>
      </c>
      <c r="S16" s="20"/>
      <c r="T16" s="11" t="str">
        <f>IF(U16="","",_xlfn.XLOOKUP(U16,Formacode!A:A,Formacode!B:B,0,1))</f>
        <v/>
      </c>
      <c r="U16" s="28" t="str" cm="1">
        <f t="array" ref="U16">IFERROR(INDEX('Durée formacode'!$B$2:$B$200,
SMALL(IF((ISNUMBER(INDEX('Durée formacode'!$C$2:$AA$200,,
MATCH('Métiers passerelles'!$B$4,'Durée formacode'!$C$1:$AA$1,0))))*(ISNUMBER(INDEX('Durée formacode'!$C$2:$AA$200,,
MATCH('Métiers passerelles'!$J$8,'Durée formacode'!$C$1:$AA$1,0)))),
ROW('Durée formacode'!$B$2:$B$200)-ROW('Durée formacode'!$B$2)+1),
ROWS($N$8:N21))),
"")</f>
        <v/>
      </c>
      <c r="V16" s="48" t="str">
        <f>IF(U16="","",MAX(INDEX('Durée formacode'!$C$2:$Z$200,
         MATCH(U16,'Durée formacode'!$B$2:$B$200,0),
         MATCH($J$8,'Durée formacode'!$C$1:$Z$1,0))-INDEX('Durée formacode'!$C$2:$Z$200,
         MATCH(U16,'Durée formacode'!$B$2:$B$200,0),
         MATCH($B$4,'Durée formacode'!$C$1:$Z$1,0)),0))</f>
        <v/>
      </c>
      <c r="W16" s="31" t="str">
        <f>IF(X16="","",_xlfn.XLOOKUP(X16,Formacode!A:A,Formacode!B:B,0,1))</f>
        <v/>
      </c>
      <c r="X16" s="33" t="str" cm="1">
        <f t="array" ref="X16">IFERROR(INDEX('Durée formacode'!$B$2:$B$200,
SMALL(IF((NOT(ISNUMBER(INDEX('Durée formacode'!$C$2:$AA$200,,
MATCH('Métiers passerelles'!$B$4,'Durée formacode'!$C$1:$AA$1,0)))))*(ISNUMBER(INDEX('Durée formacode'!$C$2:$AA$200,,
MATCH('Métiers passerelles'!$J$8,'Durée formacode'!$C$1:$AA$1,0)))),
ROW('Durée formacode'!$B$2:$B$200)-ROW('Durée formacode'!$B$2)+1),
ROWS($N$8:N21))),
"")</f>
        <v/>
      </c>
      <c r="Y16" s="23" t="str">
        <f>IFERROR(IF(X16="","",
IF(INDEX('Durée formacode'!$C$2:$Z$200,
      MATCH(X16,'Durée formacode'!$B$2:$B$200,0),
      MATCH($B$4,'Durée formacode'!$C$1:$Z$1,0))="",
INDEX('Durée formacode'!$C$2:$Z$200,
      MATCH(X16,'Durée formacode'!$B$2:$B$200,0),
      MATCH($J$8,'Durée formacode'!$C$1:$Z$1,0)),
"")),
"")</f>
        <v/>
      </c>
      <c r="AA16" s="20"/>
      <c r="AB16" s="11" t="str">
        <f>IF(AC16="","",_xlfn.XLOOKUP(AC16,Formacode!A:A,Formacode!B:B,0,1))</f>
        <v/>
      </c>
      <c r="AC16" s="28" t="str" cm="1">
        <f t="array" ref="AC16">IFERROR(INDEX('Durée formacode'!$B$2:$B$200,
SMALL(IF((ISNUMBER(INDEX('Durée formacode'!$C$2:$AA$200,,
MATCH('Métiers passerelles'!$B$4,'Durée formacode'!$C$1:$AA$1,0))))*(ISNUMBER(INDEX('Durée formacode'!$C$2:$AA$200,,
MATCH($J$9,'Durée formacode'!$C$1:$AA$1,0)))),
ROW('Durée formacode'!$B$2:$B$200)-ROW('Durée formacode'!$B$2)+1),
ROWS($N$9:N22))),
"")</f>
        <v/>
      </c>
      <c r="AD16" s="19" t="str">
        <f>IF(AC16="","",MAX(INDEX('Durée formacode'!$C$2:$Z$200,
         MATCH(AC16,'Durée formacode'!$B$2:$B$200,0),
         MATCH($J$9,'Durée formacode'!$C$1:$Z$1,0))-INDEX('Durée formacode'!$C$2:$Z$200,
         MATCH(AC16,'Durée formacode'!$B$2:$B$200,0),
         MATCH($B$4,'Durée formacode'!$C$1:$Z$1,0)),0))</f>
        <v/>
      </c>
      <c r="AE16" s="31" t="str">
        <f>IF(AF16="","",_xlfn.XLOOKUP(AF16,Formacode!A:A,Formacode!B:B,0,1))</f>
        <v/>
      </c>
      <c r="AF16" s="33" t="str" cm="1">
        <f t="array" ref="AF16">IFERROR(INDEX('Durée formacode'!$B$2:$B$200,
SMALL(IF((NOT(ISNUMBER(INDEX('Durée formacode'!$C$2:$AA$200,,
MATCH('Métiers passerelles'!$B$4,'Durée formacode'!$C$1:$AA$1,0)))))*(ISNUMBER(INDEX('Durée formacode'!$C$2:$AA$200,,
MATCH('Métiers passerelles'!$J$9,'Durée formacode'!$C$1:$AA$1,0)))),
ROW('Durée formacode'!$B$2:$B$200)-ROW('Durée formacode'!$B$2)+1),
ROWS($N$9:N22))),
"")</f>
        <v/>
      </c>
      <c r="AG16" s="23" t="str">
        <f>IFERROR(IF(AF16="","",
IF(INDEX('Durée formacode'!$C$2:$Z$200,
      MATCH(AF16,'Durée formacode'!$B$2:$B$200,0),
      MATCH($B$4,'Durée formacode'!$C$1:$Z$1,0))="",
INDEX('Durée formacode'!$C$2:$Z$200,
      MATCH(AF16,'Durée formacode'!$B$2:$B$200,0),
      MATCH($J$9,'Durée formacode'!$C$1:$Z$1,0)),
"")),
"")</f>
        <v/>
      </c>
      <c r="AI16" s="30"/>
      <c r="AJ16" s="33" t="str">
        <f>IF(AK16="","",_xlfn.XLOOKUP(AK16,Formacode!A:A,Formacode!B:B,0,1))</f>
        <v/>
      </c>
      <c r="AK16" s="37" t="str" cm="1">
        <f t="array" ref="AK16">IFERROR(INDEX('Durée formacode'!$B$2:$B$200,
SMALL(IF((ISNUMBER(INDEX('Durée formacode'!$C$2:$AA$200,,
MATCH('Métiers passerelles'!$B$4,'Durée formacode'!$C$1:$AA$1,0))))*(ISNUMBER(INDEX('Durée formacode'!$C$2:$AA$200,,
MATCH('Métiers passerelles'!$J$10,'Durée formacode'!$C$1:$AA$1,0)))),
ROW('Durée formacode'!$B$2:$B$200)-ROW('Durée formacode'!$B$2)+1),
ROWS($N$10:N23))),
"")</f>
        <v/>
      </c>
      <c r="AL16" s="30" t="str">
        <f>IF(AK16="","",MAX(INDEX('Durée formacode'!$C$2:$Z$200,
         MATCH(AK16,'Durée formacode'!$B$2:$B$200,0),
         MATCH($J$10,'Durée formacode'!$C$1:$Z$1,0))-INDEX('Durée formacode'!$C$2:$Z$200,
         MATCH(AK16,'Durée formacode'!$B$2:$B$200,0),
         MATCH($B$4,'Durée formacode'!$C$1:$Z$1,0)),0))</f>
        <v/>
      </c>
      <c r="AM16" s="30" t="str">
        <f>IF(AN16="","",_xlfn.XLOOKUP(AN16,Formacode!A:A,Formacode!B:B,0,1))</f>
        <v/>
      </c>
      <c r="AN16" s="33" t="str" cm="1">
        <f t="array" ref="AN16">IFERROR(INDEX('Durée formacode'!$B$2:$B$200,
SMALL(IF((NOT(ISNUMBER(INDEX('Durée formacode'!$C$2:$AA$200,,
MATCH('Métiers passerelles'!$B$4,'Durée formacode'!$C$1:$AA$1,0)))))*(ISNUMBER(INDEX('Durée formacode'!$C$2:$AA$200,,
MATCH('Métiers passerelles'!$J$10,'Durée formacode'!$C$1:$AA$1,0)))),
ROW('Durée formacode'!$B$2:$B$200)-ROW('Durée formacode'!$B$2)+1),
ROWS($N$10:N23))),
"")</f>
        <v/>
      </c>
      <c r="AO16" s="37" t="str">
        <f>IFERROR(IF(AN16="","",
IF(INDEX('Durée formacode'!$C$2:$Z$200,
      MATCH(AN16,'Durée formacode'!$B$2:$B$200,0),
      MATCH($B$4,'Durée formacode'!$C$1:$Z$1,0))="",
INDEX('Durée formacode'!$C$2:$Z$200,
      MATCH(AN16,'Durée formacode'!$B$2:$B$200,0),
      MATCH($J$10,'Durée formacode'!$C$1:$Z$1,0)),
"")),
"")</f>
        <v/>
      </c>
    </row>
    <row r="17" spans="1:41">
      <c r="A17" s="64" t="str">
        <v>Logisticien(ne) approvisionneur(se)</v>
      </c>
      <c r="B17" s="65" cm="1">
        <f t="array" ref="B17">SUMPRODUCT((IFERROR(1*INDEX('Durée formacode'!$C$2:$AE$44,0,MATCH($B$4,'Durée formacode'!$C$1:$AE$1,0)),0)&gt;0)*(IFERROR(1*INDEX('Durée formacode'!$C$2:$AE$44,0,MATCH($A17,'Durée formacode'!$C$1:$AE$1,0)),0)&gt;0))</f>
        <v>1</v>
      </c>
      <c r="C17" s="65">
        <f>IFERROR(INDEX('Différence formation'!$B$2:$AC$199,
MATCH($A17,'Différence formation'!$A$2:$A$99,0),
MATCH($B$4,'Différence formation'!$B$1:$AD$1,0)),
"")</f>
        <v>2402</v>
      </c>
      <c r="D17" s="66">
        <f>IFERROR(INDEX('Degré élargissement'!$B$2:$AC$199,
MATCH($A17,'Degré élargissement'!$A$2:$A$199,0),
MATCH($B$4,'Degré élargissement'!$B$1:$AC$1,0)),
"")</f>
        <v>2.9999999999999996</v>
      </c>
      <c r="E17" s="63">
        <f t="shared" si="0"/>
        <v>0</v>
      </c>
      <c r="I17" s="7" t="s">
        <v>84</v>
      </c>
      <c r="J17" s="10" t="str">
        <v>Mécanicien(ne)-sertisseur(euse)</v>
      </c>
      <c r="K17" s="6">
        <v>1</v>
      </c>
      <c r="L17" s="6">
        <v>1610</v>
      </c>
      <c r="M17" s="6">
        <v>1.8333333333333335</v>
      </c>
      <c r="S17" s="21"/>
      <c r="T17" s="25" t="str">
        <f>IF(U17="","",_xlfn.XLOOKUP(U17,Formacode!A:A,Formacode!B:B,0,1))</f>
        <v/>
      </c>
      <c r="U17" s="28" t="str" cm="1">
        <f t="array" ref="U17">IFERROR(INDEX('Durée formacode'!$B$2:$B$200,
SMALL(IF((ISNUMBER(INDEX('Durée formacode'!$C$2:$AA$200,,
MATCH('Métiers passerelles'!$B$4,'Durée formacode'!$C$1:$AA$1,0))))*(ISNUMBER(INDEX('Durée formacode'!$C$2:$AA$200,,
MATCH('Métiers passerelles'!$J$8,'Durée formacode'!$C$1:$AA$1,0)))),
ROW('Durée formacode'!$B$2:$B$200)-ROW('Durée formacode'!$B$2)+1),
ROWS($N$8:N22))),
"")</f>
        <v/>
      </c>
      <c r="V17" s="49" t="str">
        <f>IF(U17="","",MAX(INDEX('Durée formacode'!$C$2:$Z$200,
         MATCH(U17,'Durée formacode'!$B$2:$B$200,0),
         MATCH($J$8,'Durée formacode'!$C$1:$Z$1,0))-INDEX('Durée formacode'!$C$2:$Z$200,
         MATCH(U17,'Durée formacode'!$B$2:$B$200,0),
         MATCH($B$4,'Durée formacode'!$C$1:$Z$1,0)),0))</f>
        <v/>
      </c>
      <c r="W17" s="32" t="str">
        <f>IF(X17="","",_xlfn.XLOOKUP(X17,Formacode!A:A,Formacode!B:B,0,1))</f>
        <v/>
      </c>
      <c r="X17" s="33" t="str" cm="1">
        <f t="array" ref="X17">IFERROR(INDEX('Durée formacode'!$B$2:$B$200,
SMALL(IF((NOT(ISNUMBER(INDEX('Durée formacode'!$C$2:$AA$200,,
MATCH('Métiers passerelles'!$B$4,'Durée formacode'!$C$1:$AA$1,0)))))*(ISNUMBER(INDEX('Durée formacode'!$C$2:$AA$200,,
MATCH('Métiers passerelles'!$J$8,'Durée formacode'!$C$1:$AA$1,0)))),
ROW('Durée formacode'!$B$2:$B$200)-ROW('Durée formacode'!$B$2)+1),
ROWS($N$8:N22))),
"")</f>
        <v/>
      </c>
      <c r="Y17" s="24" t="str">
        <f>IFERROR(IF(X17="","",
IF(INDEX('Durée formacode'!$C$2:$Z$200,
      MATCH(X17,'Durée formacode'!$B$2:$B$200,0),
      MATCH($B$4,'Durée formacode'!$C$1:$Z$1,0))="",
INDEX('Durée formacode'!$C$2:$Z$200,
      MATCH(X17,'Durée formacode'!$B$2:$B$200,0),
      MATCH($J$8,'Durée formacode'!$C$1:$Z$1,0)),
"")),
"")</f>
        <v/>
      </c>
      <c r="AA17" s="21"/>
      <c r="AB17" s="25" t="str">
        <f>IF(AC17="","",_xlfn.XLOOKUP(AC17,Formacode!A:A,Formacode!B:B,0,1))</f>
        <v/>
      </c>
      <c r="AC17" s="28" t="str" cm="1">
        <f t="array" ref="AC17">IFERROR(INDEX('Durée formacode'!$B$2:$B$200,
SMALL(IF((ISNUMBER(INDEX('Durée formacode'!$C$2:$AA$200,,
MATCH('Métiers passerelles'!$B$4,'Durée formacode'!$C$1:$AA$1,0))))*(ISNUMBER(INDEX('Durée formacode'!$C$2:$AA$200,,
MATCH($J$9,'Durée formacode'!$C$1:$AA$1,0)))),
ROW('Durée formacode'!$B$2:$B$200)-ROW('Durée formacode'!$B$2)+1),
ROWS($N$9:N23))),
"")</f>
        <v/>
      </c>
      <c r="AD17" s="22" t="str">
        <f>IF(AC17="","",MAX(INDEX('Durée formacode'!$C$2:$Z$200,
         MATCH(AC17,'Durée formacode'!$B$2:$B$200,0),
         MATCH($J$9,'Durée formacode'!$C$1:$Z$1,0))-INDEX('Durée formacode'!$C$2:$Z$200,
         MATCH(AC17,'Durée formacode'!$B$2:$B$200,0),
         MATCH($B$4,'Durée formacode'!$C$1:$Z$1,0)),0))</f>
        <v/>
      </c>
      <c r="AE17" s="32" t="str">
        <f>IF(AF17="","",_xlfn.XLOOKUP(AF17,Formacode!A:A,Formacode!B:B,0,1))</f>
        <v/>
      </c>
      <c r="AF17" s="33" t="str" cm="1">
        <f t="array" ref="AF17">IFERROR(INDEX('Durée formacode'!$B$2:$B$200,
SMALL(IF((NOT(ISNUMBER(INDEX('Durée formacode'!$C$2:$AA$200,,
MATCH('Métiers passerelles'!$B$4,'Durée formacode'!$C$1:$AA$1,0)))))*(ISNUMBER(INDEX('Durée formacode'!$C$2:$AA$200,,
MATCH('Métiers passerelles'!$J$9,'Durée formacode'!$C$1:$AA$1,0)))),
ROW('Durée formacode'!$B$2:$B$200)-ROW('Durée formacode'!$B$2)+1),
ROWS($N$9:N23))),
"")</f>
        <v/>
      </c>
      <c r="AG17" s="24" t="str">
        <f>IFERROR(IF(AF17="","",
IF(INDEX('Durée formacode'!$C$2:$Z$200,
      MATCH(AF17,'Durée formacode'!$B$2:$B$200,0),
      MATCH($B$4,'Durée formacode'!$C$1:$Z$1,0))="",
INDEX('Durée formacode'!$C$2:$Z$200,
      MATCH(AF17,'Durée formacode'!$B$2:$B$200,0),
      MATCH($J$9,'Durée formacode'!$C$1:$Z$1,0)),
"")),
"")</f>
        <v/>
      </c>
      <c r="AI17" s="32"/>
      <c r="AJ17" s="34" t="str">
        <f>IF(AK17="","",_xlfn.XLOOKUP(AK17,Formacode!A:A,Formacode!B:B,0,1))</f>
        <v/>
      </c>
      <c r="AK17" s="37" t="str" cm="1">
        <f t="array" ref="AK17">IFERROR(INDEX('Durée formacode'!$B$2:$B$200,
SMALL(IF((ISNUMBER(INDEX('Durée formacode'!$C$2:$AA$200,,
MATCH('Métiers passerelles'!$B$4,'Durée formacode'!$C$1:$AA$1,0))))*(ISNUMBER(INDEX('Durée formacode'!$C$2:$AA$200,,
MATCH('Métiers passerelles'!$J$10,'Durée formacode'!$C$1:$AA$1,0)))),
ROW('Durée formacode'!$B$2:$B$200)-ROW('Durée formacode'!$B$2)+1),
ROWS($N$10:N24))),
"")</f>
        <v/>
      </c>
      <c r="AL17" s="32" t="str">
        <f>IF(AK17="","",MAX(INDEX('Durée formacode'!$C$2:$Z$200,
         MATCH(AK17,'Durée formacode'!$B$2:$B$200,0),
         MATCH($J$10,'Durée formacode'!$C$1:$Z$1,0))-INDEX('Durée formacode'!$C$2:$Z$200,
         MATCH(AK17,'Durée formacode'!$B$2:$B$200,0),
         MATCH($B$4,'Durée formacode'!$C$1:$Z$1,0)),0))</f>
        <v/>
      </c>
      <c r="AM17" s="32" t="str">
        <f>IF(AN17="","",_xlfn.XLOOKUP(AN17,Formacode!A:A,Formacode!B:B,0,1))</f>
        <v/>
      </c>
      <c r="AN17" s="33" t="str" cm="1">
        <f t="array" ref="AN17">IFERROR(INDEX('Durée formacode'!$B$2:$B$200,
SMALL(IF((NOT(ISNUMBER(INDEX('Durée formacode'!$C$2:$AA$200,,
MATCH('Métiers passerelles'!$B$4,'Durée formacode'!$C$1:$AA$1,0)))))*(ISNUMBER(INDEX('Durée formacode'!$C$2:$AA$200,,
MATCH('Métiers passerelles'!$J$10,'Durée formacode'!$C$1:$AA$1,0)))),
ROW('Durée formacode'!$B$2:$B$200)-ROW('Durée formacode'!$B$2)+1),
ROWS($N$10:N24))),
"")</f>
        <v/>
      </c>
      <c r="AO17" s="43" t="str">
        <f>IFERROR(IF(AN17="","",
IF(INDEX('Durée formacode'!$C$2:$Z$200,
      MATCH(AN17,'Durée formacode'!$B$2:$B$200,0),
      MATCH($B$4,'Durée formacode'!$C$1:$Z$1,0))="",
INDEX('Durée formacode'!$C$2:$Z$200,
      MATCH(AN17,'Durée formacode'!$B$2:$B$200,0),
      MATCH($J$10,'Durée formacode'!$C$1:$Z$1,0)),
"")),
"")</f>
        <v/>
      </c>
    </row>
    <row r="18" spans="1:41">
      <c r="A18" s="64" t="str">
        <v>Responsable de production de produits alimentaires (fabrication / conditionnement)</v>
      </c>
      <c r="B18" s="65" cm="1">
        <f t="array" ref="B18">SUMPRODUCT((IFERROR(1*INDEX('Durée formacode'!$C$2:$AE$44,0,MATCH($B$4,'Durée formacode'!$C$1:$AE$1,0)),0)&gt;0)*(IFERROR(1*INDEX('Durée formacode'!$C$2:$AE$44,0,MATCH($A18,'Durée formacode'!$C$1:$AE$1,0)),0)&gt;0))</f>
        <v>1</v>
      </c>
      <c r="C18" s="65">
        <f>IFERROR(INDEX('Différence formation'!$B$2:$AC$199,
MATCH($A18,'Différence formation'!$A$2:$A$99,0),
MATCH($B$4,'Différence formation'!$B$1:$AD$1,0)),
"")</f>
        <v>4251</v>
      </c>
      <c r="D18" s="66">
        <f>IFERROR(INDEX('Degré élargissement'!$B$2:$AC$199,
MATCH($A18,'Degré élargissement'!$A$2:$A$199,0),
MATCH($B$4,'Degré élargissement'!$B$1:$AC$1,0)),
"")</f>
        <v>3.9999999999999996</v>
      </c>
      <c r="E18" s="63">
        <f t="shared" si="0"/>
        <v>0</v>
      </c>
      <c r="I18" s="7" t="s">
        <v>85</v>
      </c>
      <c r="J18" s="10" t="str">
        <v>Chef(fe) de silo</v>
      </c>
      <c r="K18" s="6">
        <v>3</v>
      </c>
      <c r="L18" s="6">
        <v>1885</v>
      </c>
      <c r="M18" s="6">
        <v>3.4999999999999996</v>
      </c>
    </row>
    <row r="19" spans="1:41">
      <c r="A19" s="64" t="str">
        <v>Chauffeur(se) livreur(se)</v>
      </c>
      <c r="B19" s="65" cm="1">
        <f t="array" ref="B19">SUMPRODUCT((IFERROR(1*INDEX('Durée formacode'!$C$2:$AE$44,0,MATCH($B$4,'Durée formacode'!$C$1:$AE$1,0)),0)&gt;0)*(IFERROR(1*INDEX('Durée formacode'!$C$2:$AE$44,0,MATCH($A19,'Durée formacode'!$C$1:$AE$1,0)),0)&gt;0))</f>
        <v>2</v>
      </c>
      <c r="C19" s="65">
        <f>IFERROR(INDEX('Différence formation'!$B$2:$AC$199,
MATCH($A19,'Différence formation'!$A$2:$A$99,0),
MATCH($B$4,'Différence formation'!$B$1:$AD$1,0)),
"")</f>
        <v>689</v>
      </c>
      <c r="D19" s="66">
        <f>IFERROR(INDEX('Degré élargissement'!$B$2:$AC$199,
MATCH($A19,'Degré élargissement'!$A$2:$A$199,0),
MATCH($B$4,'Degré élargissement'!$B$1:$AC$1,0)),
"")</f>
        <v>0.5</v>
      </c>
      <c r="E19" s="63">
        <f t="shared" si="0"/>
        <v>1</v>
      </c>
      <c r="I19" s="7" t="s">
        <v>86</v>
      </c>
      <c r="J19" s="10"/>
      <c r="K19" s="6"/>
      <c r="L19" s="6"/>
      <c r="M19" s="6"/>
    </row>
    <row r="20" spans="1:41">
      <c r="A20" s="64" t="str">
        <v>Régleur(se)</v>
      </c>
      <c r="B20" s="65" cm="1">
        <f t="array" ref="B20">SUMPRODUCT((IFERROR(1*INDEX('Durée formacode'!$C$2:$AE$44,0,MATCH($B$4,'Durée formacode'!$C$1:$AE$1,0)),0)&gt;0)*(IFERROR(1*INDEX('Durée formacode'!$C$2:$AE$44,0,MATCH($A20,'Durée formacode'!$C$1:$AE$1,0)),0)&gt;0))</f>
        <v>1</v>
      </c>
      <c r="C20" s="65">
        <f>IFERROR(INDEX('Différence formation'!$B$2:$AC$199,
MATCH($A20,'Différence formation'!$A$2:$A$99,0),
MATCH($B$4,'Différence formation'!$B$1:$AD$1,0)),
"")</f>
        <v>924</v>
      </c>
      <c r="D20" s="66">
        <f>IFERROR(INDEX('Degré élargissement'!$B$2:$AC$199,
MATCH($A20,'Degré élargissement'!$A$2:$A$199,0),
MATCH($B$4,'Degré élargissement'!$B$1:$AC$1,0)),
"")</f>
        <v>1.1666666666666667</v>
      </c>
      <c r="E20" s="63">
        <f t="shared" si="0"/>
        <v>1</v>
      </c>
      <c r="I20" s="7" t="s">
        <v>87</v>
      </c>
      <c r="J20" s="10"/>
      <c r="K20" s="6"/>
      <c r="L20" s="6"/>
      <c r="M20" s="6"/>
    </row>
    <row r="21" spans="1:41">
      <c r="A21" s="64" t="str">
        <v>Spécialiste procédés et installations de production alimentaire</v>
      </c>
      <c r="B21" s="65" cm="1">
        <f t="array" ref="B21">SUMPRODUCT((IFERROR(1*INDEX('Durée formacode'!$C$2:$AE$44,0,MATCH($B$4,'Durée formacode'!$C$1:$AE$1,0)),0)&gt;0)*(IFERROR(1*INDEX('Durée formacode'!$C$2:$AE$44,0,MATCH($A21,'Durée formacode'!$C$1:$AE$1,0)),0)&gt;0))</f>
        <v>1</v>
      </c>
      <c r="C21" s="65">
        <f>IFERROR(INDEX('Différence formation'!$B$2:$AC$199,
MATCH($A21,'Différence formation'!$A$2:$A$99,0),
MATCH($B$4,'Différence formation'!$B$1:$AD$1,0)),
"")</f>
        <v>2865</v>
      </c>
      <c r="D21" s="66">
        <f>IFERROR(INDEX('Degré élargissement'!$B$2:$AC$199,
MATCH($A21,'Degré élargissement'!$A$2:$A$199,0),
MATCH($B$4,'Degré élargissement'!$B$1:$AC$1,0)),
"")</f>
        <v>3.9999999999999996</v>
      </c>
      <c r="E21" s="63">
        <f t="shared" si="0"/>
        <v>0</v>
      </c>
      <c r="I21" s="7" t="s">
        <v>88</v>
      </c>
      <c r="J21" s="10"/>
      <c r="K21" s="6"/>
      <c r="L21" s="6"/>
      <c r="M21" s="6"/>
      <c r="S21" s="8" t="s">
        <v>89</v>
      </c>
      <c r="T21" s="78" t="str">
        <f>J11</f>
        <v>Conducteur(trice) de machine(s) de production alimentaire (fabrication / conditionnement)</v>
      </c>
      <c r="U21" s="78"/>
      <c r="V21" s="78"/>
      <c r="W21" s="78"/>
      <c r="X21" s="78"/>
      <c r="Y21" s="12">
        <f>L11</f>
        <v>1008</v>
      </c>
      <c r="AA21" s="8" t="s">
        <v>90</v>
      </c>
      <c r="AB21" s="79" t="str">
        <f>J12</f>
        <v>Conducteur(trice) de ligne(s)de production alimentaire (fabrication/conditionnement)</v>
      </c>
      <c r="AC21" s="79"/>
      <c r="AD21" s="79"/>
      <c r="AE21" s="79"/>
      <c r="AF21" s="79"/>
      <c r="AG21" s="12">
        <f>L12</f>
        <v>1114</v>
      </c>
      <c r="AI21" s="8" t="s">
        <v>91</v>
      </c>
      <c r="AJ21" s="79" t="str">
        <f>J13</f>
        <v>Agent de silo</v>
      </c>
      <c r="AK21" s="79"/>
      <c r="AL21" s="79"/>
      <c r="AM21" s="79"/>
      <c r="AN21" s="79"/>
      <c r="AO21" s="12">
        <f>L13</f>
        <v>1185</v>
      </c>
    </row>
    <row r="22" spans="1:41">
      <c r="A22" s="64" t="str">
        <v>Conducteur(trice) de livraison et de collecte</v>
      </c>
      <c r="B22" s="65" cm="1">
        <f t="array" ref="B22">SUMPRODUCT((IFERROR(1*INDEX('Durée formacode'!$C$2:$AE$44,0,MATCH($B$4,'Durée formacode'!$C$1:$AE$1,0)),0)&gt;0)*(IFERROR(1*INDEX('Durée formacode'!$C$2:$AE$44,0,MATCH($A22,'Durée formacode'!$C$1:$AE$1,0)),0)&gt;0))</f>
        <v>2</v>
      </c>
      <c r="C22" s="65">
        <f>IFERROR(INDEX('Différence formation'!$B$2:$AC$199,
MATCH($A22,'Différence formation'!$A$2:$A$99,0),
MATCH($B$4,'Différence formation'!$B$1:$AD$1,0)),
"")</f>
        <v>769</v>
      </c>
      <c r="D22" s="66">
        <f>IFERROR(INDEX('Degré élargissement'!$B$2:$AC$199,
MATCH($A22,'Degré élargissement'!$A$2:$A$199,0),
MATCH($B$4,'Degré élargissement'!$B$1:$AC$1,0)),
"")</f>
        <v>0.5</v>
      </c>
      <c r="E22" s="63">
        <f t="shared" si="0"/>
        <v>1</v>
      </c>
      <c r="I22" s="7" t="s">
        <v>92</v>
      </c>
      <c r="J22" s="10"/>
      <c r="K22" s="6"/>
      <c r="L22" s="6"/>
      <c r="M22" s="6"/>
      <c r="S22" s="71" t="s">
        <v>63</v>
      </c>
      <c r="T22" s="72"/>
      <c r="U22" s="72"/>
      <c r="V22" s="73"/>
      <c r="W22" s="71" t="s">
        <v>64</v>
      </c>
      <c r="X22" s="72"/>
      <c r="Y22" s="72"/>
      <c r="AA22" s="71" t="s">
        <v>63</v>
      </c>
      <c r="AB22" s="72"/>
      <c r="AC22" s="72"/>
      <c r="AD22" s="17"/>
      <c r="AE22" s="71" t="s">
        <v>64</v>
      </c>
      <c r="AF22" s="72"/>
      <c r="AG22" s="72"/>
      <c r="AI22" s="71" t="s">
        <v>63</v>
      </c>
      <c r="AJ22" s="72"/>
      <c r="AK22" s="72"/>
      <c r="AL22" s="17"/>
      <c r="AM22" s="71" t="s">
        <v>64</v>
      </c>
      <c r="AN22" s="72"/>
      <c r="AO22" s="72"/>
    </row>
    <row r="23" spans="1:41">
      <c r="A23" s="64" t="str">
        <v>Opérateur(trice) hygiène / sanitation</v>
      </c>
      <c r="B23" s="65" cm="1">
        <f t="array" ref="B23">SUMPRODUCT((IFERROR(1*INDEX('Durée formacode'!$C$2:$AE$44,0,MATCH($B$4,'Durée formacode'!$C$1:$AE$1,0)),0)&gt;0)*(IFERROR(1*INDEX('Durée formacode'!$C$2:$AE$44,0,MATCH($A23,'Durée formacode'!$C$1:$AE$1,0)),0)&gt;0))</f>
        <v>1</v>
      </c>
      <c r="C23" s="65">
        <f>IFERROR(INDEX('Différence formation'!$B$2:$AC$199,
MATCH($A23,'Différence formation'!$A$2:$A$99,0),
MATCH($B$4,'Différence formation'!$B$1:$AD$1,0)),
"")</f>
        <v>963</v>
      </c>
      <c r="D23" s="66">
        <f>IFERROR(INDEX('Degré élargissement'!$B$2:$AC$199,
MATCH($A23,'Degré élargissement'!$A$2:$A$199,0),
MATCH($B$4,'Degré élargissement'!$B$1:$AC$1,0)),
"")</f>
        <v>0</v>
      </c>
      <c r="E23" s="63">
        <f t="shared" si="0"/>
        <v>0</v>
      </c>
      <c r="S23" s="18"/>
      <c r="T23" s="26" t="str">
        <f>IF(U23="","",_xlfn.XLOOKUP(U23,Formacode!A:A,Formacode!B:B,0,1))</f>
        <v>Contrôle qualité</v>
      </c>
      <c r="U23" s="28" cm="1">
        <f t="array" ref="U23">IFERROR(INDEX('Durée formacode'!$B$2:$B$200,
SMALL(IF((ISNUMBER(INDEX('Durée formacode'!$C$2:$AA$200,,
MATCH('Métiers passerelles'!$B$4,'Durée formacode'!$C$1:$AA$1,0))))*(ISNUMBER(INDEX('Durée formacode'!$C$2:$AA$200,,
MATCH('Métiers passerelles'!$J$11,'Durée formacode'!$C$1:$AA$1,0)))),
ROW('Durée formacode'!$B$2:$B$200)-ROW('Durée formacode'!$B$2)+1),
ROWS($N$11:N11))),
"")</f>
        <v>31436</v>
      </c>
      <c r="V23" s="35">
        <f>IF(U23="","",MAX(INDEX('Durée formacode'!$C$2:$Z$200,
         MATCH(U23,'Durée formacode'!$B$2:$B$200,0),
         MATCH($J$11,'Durée formacode'!$C$1:$Z$1,0))-INDEX('Durée formacode'!$C$2:$Z$200,
         MATCH(U23,'Durée formacode'!$B$2:$B$200,0),
         MATCH($B$4,'Durée formacode'!$C$1:$Z$1,0)),0))</f>
        <v>175</v>
      </c>
      <c r="W23" s="26" t="str">
        <f>IF(X23="","",_xlfn.XLOOKUP(X23,Formacode!A:A,Formacode!B:B,0,1))</f>
        <v>Bonnes pratiques hygiène agroalimentaire</v>
      </c>
      <c r="X23" s="28" cm="1">
        <f t="array" ref="X23">IFERROR(INDEX('Durée formacode'!$B$2:$B$200,
SMALL(IF((NOT(ISNUMBER(INDEX('Durée formacode'!$C$2:$AA$200,,
MATCH('Métiers passerelles'!$B$4,'Durée formacode'!$C$1:$AA$1,0)))))*(ISNUMBER(INDEX('Durée formacode'!$C$2:$AA$200,,
MATCH('Métiers passerelles'!$J$11,'Durée formacode'!$C$1:$AA$1,0)))),
ROW('Durée formacode'!$B$2:$B$200)-ROW('Durée formacode'!$B$2)+1),
ROWS($N$11:N11))),
"")</f>
        <v>21547</v>
      </c>
      <c r="Y23" s="28">
        <f>IFERROR(IF(X23="","",
IF(INDEX('Durée formacode'!$C$2:$Z$200,
      MATCH(X23,'Durée formacode'!$B$2:$B$200,0),
      MATCH($B$4,'Durée formacode'!$C$1:$Z$1,0))="",
INDEX('Durée formacode'!$C$2:$Z$200,
      MATCH(X23,'Durée formacode'!$B$2:$B$200,0),
      MATCH($J$11,'Durée formacode'!$C$1:$Z$1,0)),
"")),
"")</f>
        <v>245</v>
      </c>
      <c r="AA23" s="18"/>
      <c r="AB23" s="26" t="str">
        <f>IF(AC23="","",_xlfn.XLOOKUP(AC23,Formacode!A:A,Formacode!B:B,0,1))</f>
        <v>Contrôle qualité</v>
      </c>
      <c r="AC23" s="28" cm="1">
        <f t="array" ref="AC23">IFERROR(INDEX('Durée formacode'!$B$2:$B$200,
SMALL(IF((ISNUMBER(INDEX('Durée formacode'!$C$2:$AA$200,,
MATCH('Métiers passerelles'!$B$4,'Durée formacode'!$C$1:$AA$1,0))))*(ISNUMBER(INDEX('Durée formacode'!$C$2:$AA$200,,
MATCH('Métiers passerelles'!$J$12,'Durée formacode'!$C$1:$AA$1,0)))),
ROW('Durée formacode'!$B$2:$B$200)-ROW('Durée formacode'!$B$2)+1),
ROWS($N$12:N12))),
"")</f>
        <v>31436</v>
      </c>
      <c r="AD23" s="26">
        <f>IF(AC23="","",MAX(INDEX('Durée formacode'!$C$2:$Z$200,
         MATCH(AC23,'Durée formacode'!$B$2:$B$200,0),
         MATCH($J$12,'Durée formacode'!$C$1:$Z$1,0))-INDEX('Durée formacode'!$C$2:$Z$200,
         MATCH(AC23,'Durée formacode'!$B$2:$B$200,0),
         MATCH($B$4,'Durée formacode'!$C$1:$Z$1,0)),0))</f>
        <v>175</v>
      </c>
      <c r="AE23" s="26" t="str">
        <f>IF(AF23="","",_xlfn.XLOOKUP(AF23,Formacode!A:A,Formacode!B:B,0,1))</f>
        <v>Bonnes pratiques hygiène agroalimentaire</v>
      </c>
      <c r="AF23" s="28" cm="1">
        <f t="array" ref="AF23">IFERROR(INDEX('Durée formacode'!$B$2:$B$200,
SMALL(IF((NOT(ISNUMBER(INDEX('Durée formacode'!$C$2:$AA$200,,
MATCH('Métiers passerelles'!$B$4,'Durée formacode'!$C$1:$AA$1,0)))))*(ISNUMBER(INDEX('Durée formacode'!$C$2:$AA$200,,
MATCH('Métiers passerelles'!$J$12,'Durée formacode'!$C$1:$AA$1,0)))),
ROW('Durée formacode'!$B$2:$B$200)-ROW('Durée formacode'!$B$2)+1),
ROWS($N$12:N12))),
"")</f>
        <v>21547</v>
      </c>
      <c r="AG23" s="28">
        <f>IFERROR(IF(AF23="","",
IF(INDEX('Durée formacode'!$C$2:$Z$200,
      MATCH(AF23,'Durée formacode'!$B$2:$B$200,0),
      MATCH($B$4,'Durée formacode'!$C$1:$Z$1,0))="",
INDEX('Durée formacode'!$C$2:$Z$200,
      MATCH(AF23,'Durée formacode'!$B$2:$B$200,0),
      MATCH($J$12,'Durée formacode'!$C$1:$Z$1,0)),
"")),
"")</f>
        <v>245</v>
      </c>
      <c r="AI23" s="18"/>
      <c r="AJ23" s="26" t="str">
        <f>IF(AK23="","",_xlfn.XLOOKUP(AK23,Formacode!A:A,Formacode!B:B,0,1))</f>
        <v>Contrôle qualité</v>
      </c>
      <c r="AK23" s="28" cm="1">
        <f t="array" ref="AK23">IFERROR(INDEX('Durée formacode'!$B$2:$B$200,
SMALL(IF((ISNUMBER(INDEX('Durée formacode'!$C$2:$AA$200,,
MATCH('Métiers passerelles'!$B$4,'Durée formacode'!$C$1:$AA$1,0))))*(ISNUMBER(INDEX('Durée formacode'!$C$2:$AA$200,,
MATCH('Métiers passerelles'!$J$13,'Durée formacode'!$C$1:$AA$1,0)))),
ROW('Durée formacode'!$B$2:$B$200)-ROW('Durée formacode'!$B$2)+1),
ROWS($N$13:N13))),
"")</f>
        <v>31436</v>
      </c>
      <c r="AL23" s="26">
        <f>IF(AK23="","",MAX(INDEX('Durée formacode'!$C$2:$Z$200,
         MATCH(AK23,'Durée formacode'!$B$2:$B$200,0),
         MATCH($J$13,'Durée formacode'!$C$1:$Z$1,0))-INDEX('Durée formacode'!$C$2:$Z$200,
         MATCH(AK23,'Durée formacode'!$B$2:$B$200,0),
         MATCH($B$4,'Durée formacode'!$C$1:$Z$1,0)),0))</f>
        <v>175</v>
      </c>
      <c r="AM23" s="26" t="str">
        <f>IF(AN23="","",_xlfn.XLOOKUP(AN23,Formacode!A:A,Formacode!B:B,0,1))</f>
        <v>Bonnes pratiques hygiène agroalimentaire</v>
      </c>
      <c r="AN23" s="28" cm="1">
        <f t="array" ref="AN23">IFERROR(INDEX('Durée formacode'!$B$2:$B$200,
SMALL(IF((NOT(ISNUMBER(INDEX('Durée formacode'!$C$2:$AA$200,,
MATCH('Métiers passerelles'!$B$4,'Durée formacode'!$C$1:$AA$1,0)))))*(ISNUMBER(INDEX('Durée formacode'!$C$2:$AA$200,,
MATCH('Métiers passerelles'!$J$13,'Durée formacode'!$C$1:$AA$1,0)))),
ROW('Durée formacode'!$B$2:$B$200)-ROW('Durée formacode'!$B$2)+1),
ROWS($N$13:N13))),
"")</f>
        <v>21547</v>
      </c>
      <c r="AO23" s="28">
        <f>IFERROR(IF(AN23="","",
IF(INDEX('Durée formacode'!$C$2:$Z$200,
      MATCH(AN23,'Durée formacode'!$B$2:$B$200,0),
      MATCH($B$4,'Durée formacode'!$C$1:$Z$1,0))="",
INDEX('Durée formacode'!$C$2:$Z$200,
      MATCH(AN23,'Durée formacode'!$B$2:$B$200,0),
      MATCH($J$13,'Durée formacode'!$C$1:$Z$1,0)),
"")),
"")</f>
        <v>245</v>
      </c>
    </row>
    <row r="24" spans="1:41">
      <c r="A24" s="64" t="str">
        <v>Chef(fe) de silo</v>
      </c>
      <c r="B24" s="65" cm="1">
        <f t="array" ref="B24">SUMPRODUCT((IFERROR(1*INDEX('Durée formacode'!$C$2:$AE$44,0,MATCH($B$4,'Durée formacode'!$C$1:$AE$1,0)),0)&gt;0)*(IFERROR(1*INDEX('Durée formacode'!$C$2:$AE$44,0,MATCH($A24,'Durée formacode'!$C$1:$AE$1,0)),0)&gt;0))</f>
        <v>3</v>
      </c>
      <c r="C24" s="65">
        <f>IFERROR(INDEX('Différence formation'!$B$2:$AC$199,
MATCH($A24,'Différence formation'!$A$2:$A$99,0),
MATCH($B$4,'Différence formation'!$B$1:$AD$1,0)),
"")</f>
        <v>1885</v>
      </c>
      <c r="D24" s="66">
        <f>IFERROR(INDEX('Degré élargissement'!$B$2:$AC$199,
MATCH($A24,'Degré élargissement'!$A$2:$A$199,0),
MATCH($B$4,'Degré élargissement'!$B$1:$AC$1,0)),
"")</f>
        <v>3.4999999999999996</v>
      </c>
      <c r="E24" s="63">
        <f t="shared" si="0"/>
        <v>1</v>
      </c>
      <c r="S24" s="18"/>
      <c r="T24" s="26" t="str">
        <f>IF(U24="","",_xlfn.XLOOKUP(U24,Formacode!A:A,Formacode!B:B,0,1))</f>
        <v>Manutention</v>
      </c>
      <c r="U24" s="28" cm="1">
        <f t="array" ref="U24">IFERROR(INDEX('Durée formacode'!$B$2:$B$200,
SMALL(IF((ISNUMBER(INDEX('Durée formacode'!$C$2:$AA$200,,
MATCH('Métiers passerelles'!$B$4,'Durée formacode'!$C$1:$AA$1,0))))*(ISNUMBER(INDEX('Durée formacode'!$C$2:$AA$200,,
MATCH('Métiers passerelles'!$J$11,'Durée formacode'!$C$1:$AA$1,0)))),
ROW('Durée formacode'!$B$2:$B$200)-ROW('Durée formacode'!$B$2)+1),
ROWS($N$11:N12))),
"")</f>
        <v>31754</v>
      </c>
      <c r="V24" s="35">
        <f>IF(U24="","",MAX(INDEX('Durée formacode'!$C$2:$Z$200,
         MATCH(U24,'Durée formacode'!$B$2:$B$200,0),
         MATCH($J$11,'Durée formacode'!$C$1:$Z$1,0))-INDEX('Durée formacode'!$C$2:$Z$200,
         MATCH(U24,'Durée formacode'!$B$2:$B$200,0),
         MATCH($B$4,'Durée formacode'!$C$1:$Z$1,0)),0))</f>
        <v>0</v>
      </c>
      <c r="W24" s="26" t="str">
        <f>IF(X24="","",_xlfn.XLOOKUP(X24,Formacode!A:A,Formacode!B:B,0,1))</f>
        <v>Conduite installation industrielle</v>
      </c>
      <c r="X24" s="28" cm="1">
        <f t="array" ref="X24">IFERROR(INDEX('Durée formacode'!$B$2:$B$200,
SMALL(IF((NOT(ISNUMBER(INDEX('Durée formacode'!$C$2:$AA$200,,
MATCH('Métiers passerelles'!$B$4,'Durée formacode'!$C$1:$AA$1,0)))))*(ISNUMBER(INDEX('Durée formacode'!$C$2:$AA$200,,
MATCH('Métiers passerelles'!$J$11,'Durée formacode'!$C$1:$AA$1,0)))),
ROW('Durée formacode'!$B$2:$B$200)-ROW('Durée formacode'!$B$2)+1),
ROWS($N$11:N12))),
"")</f>
        <v>31620</v>
      </c>
      <c r="Y24" s="28">
        <f>IFERROR(IF(X24="","",
IF(INDEX('Durée formacode'!$C$2:$Z$200,
      MATCH(X24,'Durée formacode'!$B$2:$B$200,0),
      MATCH($B$4,'Durée formacode'!$C$1:$Z$1,0))="",
INDEX('Durée formacode'!$C$2:$Z$200,
      MATCH(X24,'Durée formacode'!$B$2:$B$200,0),
      MATCH($J$11,'Durée formacode'!$C$1:$Z$1,0)),
"")),
"")</f>
        <v>294</v>
      </c>
      <c r="AA24" s="18"/>
      <c r="AB24" s="26" t="str">
        <f>IF(AC24="","",_xlfn.XLOOKUP(AC24,Formacode!A:A,Formacode!B:B,0,1))</f>
        <v>Manutention</v>
      </c>
      <c r="AC24" s="28" cm="1">
        <f t="array" ref="AC24">IFERROR(INDEX('Durée formacode'!$B$2:$B$200,
SMALL(IF((ISNUMBER(INDEX('Durée formacode'!$C$2:$AA$200,,
MATCH('Métiers passerelles'!$B$4,'Durée formacode'!$C$1:$AA$1,0))))*(ISNUMBER(INDEX('Durée formacode'!$C$2:$AA$200,,
MATCH('Métiers passerelles'!$J$12,'Durée formacode'!$C$1:$AA$1,0)))),
ROW('Durée formacode'!$B$2:$B$200)-ROW('Durée formacode'!$B$2)+1),
ROWS($N$12:N13))),
"")</f>
        <v>31754</v>
      </c>
      <c r="AD24" s="26">
        <f>IF(AC24="","",MAX(INDEX('Durée formacode'!$C$2:$Z$200,
         MATCH(AC24,'Durée formacode'!$B$2:$B$200,0),
         MATCH($J$12,'Durée formacode'!$C$1:$Z$1,0))-INDEX('Durée formacode'!$C$2:$Z$200,
         MATCH(AC24,'Durée formacode'!$B$2:$B$200,0),
         MATCH($B$4,'Durée formacode'!$C$1:$Z$1,0)),0))</f>
        <v>0</v>
      </c>
      <c r="AE24" s="26" t="str">
        <f>IF(AF24="","",_xlfn.XLOOKUP(AF24,Formacode!A:A,Formacode!B:B,0,1))</f>
        <v>Conduite installation industrielle</v>
      </c>
      <c r="AF24" s="28" cm="1">
        <f t="array" ref="AF24">IFERROR(INDEX('Durée formacode'!$B$2:$B$200,
SMALL(IF((NOT(ISNUMBER(INDEX('Durée formacode'!$C$2:$AA$200,,
MATCH('Métiers passerelles'!$B$4,'Durée formacode'!$C$1:$AA$1,0)))))*(ISNUMBER(INDEX('Durée formacode'!$C$2:$AA$200,,
MATCH('Métiers passerelles'!$J$12,'Durée formacode'!$C$1:$AA$1,0)))),
ROW('Durée formacode'!$B$2:$B$200)-ROW('Durée formacode'!$B$2)+1),
ROWS($N$12:N13))),
"")</f>
        <v>31620</v>
      </c>
      <c r="AG24" s="28">
        <f>IFERROR(IF(AF24="","",
IF(INDEX('Durée formacode'!$C$2:$Z$200,
      MATCH(AF24,'Durée formacode'!$B$2:$B$200,0),
      MATCH($B$4,'Durée formacode'!$C$1:$Z$1,0))="",
INDEX('Durée formacode'!$C$2:$Z$200,
      MATCH(AF24,'Durée formacode'!$B$2:$B$200,0),
      MATCH($J$12,'Durée formacode'!$C$1:$Z$1,0)),
"")),
"")</f>
        <v>294</v>
      </c>
      <c r="AI24" s="18"/>
      <c r="AJ24" s="26" t="str">
        <f>IF(AK24="","",_xlfn.XLOOKUP(AK24,Formacode!A:A,Formacode!B:B,0,1))</f>
        <v>Manutention</v>
      </c>
      <c r="AK24" s="28" cm="1">
        <f t="array" ref="AK24">IFERROR(INDEX('Durée formacode'!$B$2:$B$200,
SMALL(IF((ISNUMBER(INDEX('Durée formacode'!$C$2:$AA$200,,
MATCH('Métiers passerelles'!$B$4,'Durée formacode'!$C$1:$AA$1,0))))*(ISNUMBER(INDEX('Durée formacode'!$C$2:$AA$200,,
MATCH('Métiers passerelles'!$J$13,'Durée formacode'!$C$1:$AA$1,0)))),
ROW('Durée formacode'!$B$2:$B$200)-ROW('Durée formacode'!$B$2)+1),
ROWS($N$13:N14))),
"")</f>
        <v>31754</v>
      </c>
      <c r="AL24" s="26">
        <f>IF(AK24="","",MAX(INDEX('Durée formacode'!$C$2:$Z$200,
         MATCH(AK24,'Durée formacode'!$B$2:$B$200,0),
         MATCH($J$13,'Durée formacode'!$C$1:$Z$1,0))-INDEX('Durée formacode'!$C$2:$Z$200,
         MATCH(AK24,'Durée formacode'!$B$2:$B$200,0),
         MATCH($B$4,'Durée formacode'!$C$1:$Z$1,0)),0))</f>
        <v>0</v>
      </c>
      <c r="AM24" s="26" t="str">
        <f>IF(AN24="","",_xlfn.XLOOKUP(AN24,Formacode!A:A,Formacode!B:B,0,1))</f>
        <v>Conduite installation industrielle</v>
      </c>
      <c r="AN24" s="28" cm="1">
        <f t="array" ref="AN24">IFERROR(INDEX('Durée formacode'!$B$2:$B$200,
SMALL(IF((NOT(ISNUMBER(INDEX('Durée formacode'!$C$2:$AA$200,,
MATCH('Métiers passerelles'!$B$4,'Durée formacode'!$C$1:$AA$1,0)))))*(ISNUMBER(INDEX('Durée formacode'!$C$2:$AA$200,,
MATCH('Métiers passerelles'!$J$13,'Durée formacode'!$C$1:$AA$1,0)))),
ROW('Durée formacode'!$B$2:$B$200)-ROW('Durée formacode'!$B$2)+1),
ROWS($N$13:N14))),
"")</f>
        <v>31620</v>
      </c>
      <c r="AO24" s="28">
        <f>IFERROR(IF(AN24="","",
IF(INDEX('Durée formacode'!$C$2:$Z$200,
      MATCH(AN24,'Durée formacode'!$B$2:$B$200,0),
      MATCH($B$4,'Durée formacode'!$C$1:$Z$1,0))="",
INDEX('Durée formacode'!$C$2:$Z$200,
      MATCH(AN24,'Durée formacode'!$B$2:$B$200,0),
      MATCH($J$13,'Durée formacode'!$C$1:$Z$1,0)),
"")),
"")</f>
        <v>294</v>
      </c>
    </row>
    <row r="25" spans="1:41">
      <c r="A25" s="64" t="str">
        <v>Acheteur(se) / négociateur(trice) de matières premières</v>
      </c>
      <c r="B25" s="65" cm="1">
        <f t="array" ref="B25">SUMPRODUCT((IFERROR(1*INDEX('Durée formacode'!$C$2:$AE$44,0,MATCH($B$4,'Durée formacode'!$C$1:$AE$1,0)),0)&gt;0)*(IFERROR(1*INDEX('Durée formacode'!$C$2:$AE$44,0,MATCH($A25,'Durée formacode'!$C$1:$AE$1,0)),0)&gt;0))</f>
        <v>0</v>
      </c>
      <c r="C25" s="65">
        <f>IFERROR(INDEX('Différence formation'!$B$2:$AC$199,
MATCH($A25,'Différence formation'!$A$2:$A$99,0),
MATCH($B$4,'Différence formation'!$B$1:$AD$1,0)),
"")</f>
        <v>2860</v>
      </c>
      <c r="D25" s="66">
        <f>IFERROR(INDEX('Degré élargissement'!$B$2:$AC$199,
MATCH($A25,'Degré élargissement'!$A$2:$A$199,0),
MATCH($B$4,'Degré élargissement'!$B$1:$AC$1,0)),
"")</f>
        <v>3.9999999999999996</v>
      </c>
      <c r="E25" s="63">
        <f t="shared" si="0"/>
        <v>0</v>
      </c>
      <c r="S25" s="18"/>
      <c r="T25" s="26" t="str">
        <f>IF(U25="","",_xlfn.XLOOKUP(U25,Formacode!A:A,Formacode!B:B,0,1))</f>
        <v/>
      </c>
      <c r="U25" s="28" t="str" cm="1">
        <f t="array" ref="U25">IFERROR(INDEX('Durée formacode'!$B$2:$B$200,
SMALL(IF((ISNUMBER(INDEX('Durée formacode'!$C$2:$AA$200,,
MATCH('Métiers passerelles'!$B$4,'Durée formacode'!$C$1:$AA$1,0))))*(ISNUMBER(INDEX('Durée formacode'!$C$2:$AA$200,,
MATCH('Métiers passerelles'!$J$11,'Durée formacode'!$C$1:$AA$1,0)))),
ROW('Durée formacode'!$B$2:$B$200)-ROW('Durée formacode'!$B$2)+1),
ROWS($N$11:N13))),
"")</f>
        <v/>
      </c>
      <c r="V25" s="35" t="str">
        <f>IF(U25="","",MAX(INDEX('Durée formacode'!$C$2:$Z$200,
         MATCH(U25,'Durée formacode'!$B$2:$B$200,0),
         MATCH($J$11,'Durée formacode'!$C$1:$Z$1,0))-INDEX('Durée formacode'!$C$2:$Z$200,
         MATCH(U25,'Durée formacode'!$B$2:$B$200,0),
         MATCH($B$4,'Durée formacode'!$C$1:$Z$1,0)),0))</f>
        <v/>
      </c>
      <c r="W25" s="26" t="str">
        <f>IF(X25="","",_xlfn.XLOOKUP(X25,Formacode!A:A,Formacode!B:B,0,1))</f>
        <v>Règlementation hygiène agroalimentaire</v>
      </c>
      <c r="X25" s="28" cm="1">
        <f t="array" ref="X25">IFERROR(INDEX('Durée formacode'!$B$2:$B$200,
SMALL(IF((NOT(ISNUMBER(INDEX('Durée formacode'!$C$2:$AA$200,,
MATCH('Métiers passerelles'!$B$4,'Durée formacode'!$C$1:$AA$1,0)))))*(ISNUMBER(INDEX('Durée formacode'!$C$2:$AA$200,,
MATCH('Métiers passerelles'!$J$11,'Durée formacode'!$C$1:$AA$1,0)))),
ROW('Durée formacode'!$B$2:$B$200)-ROW('Durée formacode'!$B$2)+1),
ROWS($N$11:N13))),
"")</f>
        <v>21572</v>
      </c>
      <c r="Y25" s="28">
        <f>IFERROR(IF(X25="","",
IF(INDEX('Durée formacode'!$C$2:$Z$200,
      MATCH(X25,'Durée formacode'!$B$2:$B$200,0),
      MATCH($B$4,'Durée formacode'!$C$1:$Z$1,0))="",
INDEX('Durée formacode'!$C$2:$Z$200,
      MATCH(X25,'Durée formacode'!$B$2:$B$200,0),
      MATCH($J$11,'Durée formacode'!$C$1:$Z$1,0)),
"")),
"")</f>
        <v>80</v>
      </c>
      <c r="AA25" s="18"/>
      <c r="AB25" s="26" t="str">
        <f>IF(AC25="","",_xlfn.XLOOKUP(AC25,Formacode!A:A,Formacode!B:B,0,1))</f>
        <v/>
      </c>
      <c r="AC25" s="28" t="str" cm="1">
        <f t="array" ref="AC25">IFERROR(INDEX('Durée formacode'!$B$2:$B$200,
SMALL(IF((ISNUMBER(INDEX('Durée formacode'!$C$2:$AA$200,,
MATCH('Métiers passerelles'!$B$4,'Durée formacode'!$C$1:$AA$1,0))))*(ISNUMBER(INDEX('Durée formacode'!$C$2:$AA$200,,
MATCH('Métiers passerelles'!$J$12,'Durée formacode'!$C$1:$AA$1,0)))),
ROW('Durée formacode'!$B$2:$B$200)-ROW('Durée formacode'!$B$2)+1),
ROWS($N$12:N14))),
"")</f>
        <v/>
      </c>
      <c r="AD25" s="26" t="str">
        <f>IF(AC25="","",MAX(INDEX('Durée formacode'!$C$2:$Z$200,
         MATCH(AC25,'Durée formacode'!$B$2:$B$200,0),
         MATCH($J$12,'Durée formacode'!$C$1:$Z$1,0))-INDEX('Durée formacode'!$C$2:$Z$200,
         MATCH(AC25,'Durée formacode'!$B$2:$B$200,0),
         MATCH($B$4,'Durée formacode'!$C$1:$Z$1,0)),0))</f>
        <v/>
      </c>
      <c r="AE25" s="26" t="str">
        <f>IF(AF25="","",_xlfn.XLOOKUP(AF25,Formacode!A:A,Formacode!B:B,0,1))</f>
        <v>Règlementation hygiène agroalimentaire</v>
      </c>
      <c r="AF25" s="28" cm="1">
        <f t="array" ref="AF25">IFERROR(INDEX('Durée formacode'!$B$2:$B$200,
SMALL(IF((NOT(ISNUMBER(INDEX('Durée formacode'!$C$2:$AA$200,,
MATCH('Métiers passerelles'!$B$4,'Durée formacode'!$C$1:$AA$1,0)))))*(ISNUMBER(INDEX('Durée formacode'!$C$2:$AA$200,,
MATCH('Métiers passerelles'!$J$12,'Durée formacode'!$C$1:$AA$1,0)))),
ROW('Durée formacode'!$B$2:$B$200)-ROW('Durée formacode'!$B$2)+1),
ROWS($N$12:N14))),
"")</f>
        <v>21572</v>
      </c>
      <c r="AG25" s="28">
        <f>IFERROR(IF(AF25="","",
IF(INDEX('Durée formacode'!$C$2:$Z$200,
      MATCH(AF25,'Durée formacode'!$B$2:$B$200,0),
      MATCH($B$4,'Durée formacode'!$C$1:$Z$1,0))="",
INDEX('Durée formacode'!$C$2:$Z$200,
      MATCH(AF25,'Durée formacode'!$B$2:$B$200,0),
      MATCH($J$12,'Durée formacode'!$C$1:$Z$1,0)),
"")),
"")</f>
        <v>80</v>
      </c>
      <c r="AI25" s="18"/>
      <c r="AJ25" s="26" t="str">
        <f>IF(AK25="","",_xlfn.XLOOKUP(AK25,Formacode!A:A,Formacode!B:B,0,1))</f>
        <v>Expedition</v>
      </c>
      <c r="AK25" s="28" cm="1">
        <f t="array" ref="AK25">IFERROR(INDEX('Durée formacode'!$B$2:$B$200,
SMALL(IF((ISNUMBER(INDEX('Durée formacode'!$C$2:$AA$200,,
MATCH('Métiers passerelles'!$B$4,'Durée formacode'!$C$1:$AA$1,0))))*(ISNUMBER(INDEX('Durée formacode'!$C$2:$AA$200,,
MATCH('Métiers passerelles'!$J$13,'Durée formacode'!$C$1:$AA$1,0)))),
ROW('Durée formacode'!$B$2:$B$200)-ROW('Durée formacode'!$B$2)+1),
ROWS($N$13:N15))),
"")</f>
        <v>31743</v>
      </c>
      <c r="AL25" s="26">
        <f>IF(AK25="","",MAX(INDEX('Durée formacode'!$C$2:$Z$200,
         MATCH(AK25,'Durée formacode'!$B$2:$B$200,0),
         MATCH($J$13,'Durée formacode'!$C$1:$Z$1,0))-INDEX('Durée formacode'!$C$2:$Z$200,
         MATCH(AK25,'Durée formacode'!$B$2:$B$200,0),
         MATCH($B$4,'Durée formacode'!$C$1:$Z$1,0)),0))</f>
        <v>0</v>
      </c>
      <c r="AM25" s="26" t="str">
        <f>IF(AN25="","",_xlfn.XLOOKUP(AN25,Formacode!A:A,Formacode!B:B,0,1))</f>
        <v>Règlementation hygiène agroalimentaire</v>
      </c>
      <c r="AN25" s="28" cm="1">
        <f t="array" ref="AN25">IFERROR(INDEX('Durée formacode'!$B$2:$B$200,
SMALL(IF((NOT(ISNUMBER(INDEX('Durée formacode'!$C$2:$AA$200,,
MATCH('Métiers passerelles'!$B$4,'Durée formacode'!$C$1:$AA$1,0)))))*(ISNUMBER(INDEX('Durée formacode'!$C$2:$AA$200,,
MATCH('Métiers passerelles'!$J$13,'Durée formacode'!$C$1:$AA$1,0)))),
ROW('Durée formacode'!$B$2:$B$200)-ROW('Durée formacode'!$B$2)+1),
ROWS($N$13:N15))),
"")</f>
        <v>21572</v>
      </c>
      <c r="AO25" s="28">
        <f>IFERROR(IF(AN25="","",
IF(INDEX('Durée formacode'!$C$2:$Z$200,
      MATCH(AN25,'Durée formacode'!$B$2:$B$200,0),
      MATCH($B$4,'Durée formacode'!$C$1:$Z$1,0))="",
INDEX('Durée formacode'!$C$2:$Z$200,
      MATCH(AN25,'Durée formacode'!$B$2:$B$200,0),
      MATCH($J$13,'Durée formacode'!$C$1:$Z$1,0)),
"")),
"")</f>
        <v>80</v>
      </c>
    </row>
    <row r="26" spans="1:41">
      <c r="A26" s="64" t="str">
        <v>Opérateur(trice) de production alimentaire</v>
      </c>
      <c r="B26" s="65" cm="1">
        <f t="array" ref="B26">SUMPRODUCT((IFERROR(1*INDEX('Durée formacode'!$C$2:$AE$44,0,MATCH($B$4,'Durée formacode'!$C$1:$AE$1,0)),0)&gt;0)*(IFERROR(1*INDEX('Durée formacode'!$C$2:$AE$44,0,MATCH($A26,'Durée formacode'!$C$1:$AE$1,0)),0)&gt;0))</f>
        <v>2</v>
      </c>
      <c r="C26" s="65">
        <f>IFERROR(INDEX('Différence formation'!$B$2:$AC$199,
MATCH($A26,'Différence formation'!$A$2:$A$99,0),
MATCH($B$4,'Différence formation'!$B$1:$AD$1,0)),
"")</f>
        <v>570</v>
      </c>
      <c r="D26" s="66">
        <f>IFERROR(INDEX('Degré élargissement'!$B$2:$AC$199,
MATCH($A26,'Degré élargissement'!$A$2:$A$199,0),
MATCH($B$4,'Degré élargissement'!$B$1:$AC$1,0)),
"")</f>
        <v>0</v>
      </c>
      <c r="E26" s="63">
        <f t="shared" si="0"/>
        <v>0</v>
      </c>
      <c r="S26" s="18"/>
      <c r="T26" s="26" t="str">
        <f>IF(U26="","",_xlfn.XLOOKUP(U26,Formacode!A:A,Formacode!B:B,0,1))</f>
        <v/>
      </c>
      <c r="U26" s="28" t="str" cm="1">
        <f t="array" ref="U26">IFERROR(INDEX('Durée formacode'!$B$2:$B$200,
SMALL(IF((ISNUMBER(INDEX('Durée formacode'!$C$2:$AA$200,,
MATCH('Métiers passerelles'!$B$4,'Durée formacode'!$C$1:$AA$1,0))))*(ISNUMBER(INDEX('Durée formacode'!$C$2:$AA$200,,
MATCH('Métiers passerelles'!$J$11,'Durée formacode'!$C$1:$AA$1,0)))),
ROW('Durée formacode'!$B$2:$B$200)-ROW('Durée formacode'!$B$2)+1),
ROWS($N$11:N14))),
"")</f>
        <v/>
      </c>
      <c r="V26" s="35" t="str">
        <f>IF(U26="","",MAX(INDEX('Durée formacode'!$C$2:$Z$200,
         MATCH(U26,'Durée formacode'!$B$2:$B$200,0),
         MATCH($J$11,'Durée formacode'!$C$1:$Z$1,0))-INDEX('Durée formacode'!$C$2:$Z$200,
         MATCH(U26,'Durée formacode'!$B$2:$B$200,0),
         MATCH($B$4,'Durée formacode'!$C$1:$Z$1,0)),0))</f>
        <v/>
      </c>
      <c r="W26" s="26" t="str">
        <f>IF(X26="","",_xlfn.XLOOKUP(X26,Formacode!A:A,Formacode!B:B,0,1))</f>
        <v>Maintenance industrielle</v>
      </c>
      <c r="X26" s="28" cm="1">
        <f t="array" ref="X26">IFERROR(INDEX('Durée formacode'!$B$2:$B$200,
SMALL(IF((NOT(ISNUMBER(INDEX('Durée formacode'!$C$2:$AA$200,,
MATCH('Métiers passerelles'!$B$4,'Durée formacode'!$C$1:$AA$1,0)))))*(ISNUMBER(INDEX('Durée formacode'!$C$2:$AA$200,,
MATCH('Métiers passerelles'!$J$11,'Durée formacode'!$C$1:$AA$1,0)))),
ROW('Durée formacode'!$B$2:$B$200)-ROW('Durée formacode'!$B$2)+1),
ROWS($N$11:N14))),
"")</f>
        <v>31624</v>
      </c>
      <c r="Y26" s="28">
        <f>IFERROR(IF(X26="","",
IF(INDEX('Durée formacode'!$C$2:$Z$200,
      MATCH(X26,'Durée formacode'!$B$2:$B$200,0),
      MATCH($B$4,'Durée formacode'!$C$1:$Z$1,0))="",
INDEX('Durée formacode'!$C$2:$Z$200,
      MATCH(X26,'Durée formacode'!$B$2:$B$200,0),
      MATCH($J$11,'Durée formacode'!$C$1:$Z$1,0)),
"")),
"")</f>
        <v>70</v>
      </c>
      <c r="AA26" s="18"/>
      <c r="AB26" s="26" t="str">
        <f>IF(AC26="","",_xlfn.XLOOKUP(AC26,Formacode!A:A,Formacode!B:B,0,1))</f>
        <v/>
      </c>
      <c r="AC26" s="28" t="str" cm="1">
        <f t="array" ref="AC26">IFERROR(INDEX('Durée formacode'!$B$2:$B$200,
SMALL(IF((ISNUMBER(INDEX('Durée formacode'!$C$2:$AA$200,,
MATCH('Métiers passerelles'!$B$4,'Durée formacode'!$C$1:$AA$1,0))))*(ISNUMBER(INDEX('Durée formacode'!$C$2:$AA$200,,
MATCH('Métiers passerelles'!$J$12,'Durée formacode'!$C$1:$AA$1,0)))),
ROW('Durée formacode'!$B$2:$B$200)-ROW('Durée formacode'!$B$2)+1),
ROWS($N$12:N15))),
"")</f>
        <v/>
      </c>
      <c r="AD26" s="26" t="str">
        <f>IF(AC26="","",MAX(INDEX('Durée formacode'!$C$2:$Z$200,
         MATCH(AC26,'Durée formacode'!$B$2:$B$200,0),
         MATCH($J$12,'Durée formacode'!$C$1:$Z$1,0))-INDEX('Durée formacode'!$C$2:$Z$200,
         MATCH(AC26,'Durée formacode'!$B$2:$B$200,0),
         MATCH($B$4,'Durée formacode'!$C$1:$Z$1,0)),0))</f>
        <v/>
      </c>
      <c r="AE26" s="26" t="str">
        <f>IF(AF26="","",_xlfn.XLOOKUP(AF26,Formacode!A:A,Formacode!B:B,0,1))</f>
        <v>MANAGEMENT OPÉRATIONNEL</v>
      </c>
      <c r="AF26" s="28" cm="1">
        <f t="array" ref="AF26">IFERROR(INDEX('Durée formacode'!$B$2:$B$200,
SMALL(IF((NOT(ISNUMBER(INDEX('Durée formacode'!$C$2:$AA$200,,
MATCH('Métiers passerelles'!$B$4,'Durée formacode'!$C$1:$AA$1,0)))))*(ISNUMBER(INDEX('Durée formacode'!$C$2:$AA$200,,
MATCH('Métiers passerelles'!$J$12,'Durée formacode'!$C$1:$AA$1,0)))),
ROW('Durée formacode'!$B$2:$B$200)-ROW('Durée formacode'!$B$2)+1),
ROWS($N$12:N15))),
"")</f>
        <v>32110</v>
      </c>
      <c r="AG26" s="28">
        <f>IFERROR(IF(AF26="","",
IF(INDEX('Durée formacode'!$C$2:$Z$200,
      MATCH(AF26,'Durée formacode'!$B$2:$B$200,0),
      MATCH($B$4,'Durée formacode'!$C$1:$Z$1,0))="",
INDEX('Durée formacode'!$C$2:$Z$200,
      MATCH(AF26,'Durée formacode'!$B$2:$B$200,0),
      MATCH($J$12,'Durée formacode'!$C$1:$Z$1,0)),
"")),
"")</f>
        <v>106</v>
      </c>
      <c r="AI26" s="18"/>
      <c r="AJ26" s="26" t="str">
        <f>IF(AK26="","",_xlfn.XLOOKUP(AK26,Formacode!A:A,Formacode!B:B,0,1))</f>
        <v/>
      </c>
      <c r="AK26" s="28" t="str" cm="1">
        <f t="array" ref="AK26">IFERROR(INDEX('Durée formacode'!$B$2:$B$200,
SMALL(IF((ISNUMBER(INDEX('Durée formacode'!$C$2:$AA$200,,
MATCH('Métiers passerelles'!$B$4,'Durée formacode'!$C$1:$AA$1,0))))*(ISNUMBER(INDEX('Durée formacode'!$C$2:$AA$200,,
MATCH('Métiers passerelles'!$J$13,'Durée formacode'!$C$1:$AA$1,0)))),
ROW('Durée formacode'!$B$2:$B$200)-ROW('Durée formacode'!$B$2)+1),
ROWS($N$13:N16))),
"")</f>
        <v/>
      </c>
      <c r="AL26" s="26" t="str">
        <f>IF(AK26="","",MAX(INDEX('Durée formacode'!$C$2:$Z$200,
         MATCH(AK26,'Durée formacode'!$B$2:$B$200,0),
         MATCH($J$13,'Durée formacode'!$C$1:$Z$1,0))-INDEX('Durée formacode'!$C$2:$Z$200,
         MATCH(AK26,'Durée formacode'!$B$2:$B$200,0),
         MATCH($B$4,'Durée formacode'!$C$1:$Z$1,0)),0))</f>
        <v/>
      </c>
      <c r="AM26" s="26" t="str">
        <f>IF(AN26="","",_xlfn.XLOOKUP(AN26,Formacode!A:A,Formacode!B:B,0,1))</f>
        <v>Sciences naturelles</v>
      </c>
      <c r="AN26" s="28" cm="1">
        <f t="array" ref="AN26">IFERROR(INDEX('Durée formacode'!$B$2:$B$200,
SMALL(IF((NOT(ISNUMBER(INDEX('Durée formacode'!$C$2:$AA$200,,
MATCH('Métiers passerelles'!$B$4,'Durée formacode'!$C$1:$AA$1,0)))))*(ISNUMBER(INDEX('Durée formacode'!$C$2:$AA$200,,
MATCH('Métiers passerelles'!$J$13,'Durée formacode'!$C$1:$AA$1,0)))),
ROW('Durée formacode'!$B$2:$B$200)-ROW('Durée formacode'!$B$2)+1),
ROWS($N$13:N16))),
"")</f>
        <v>12054</v>
      </c>
      <c r="AO26" s="28">
        <f>IFERROR(IF(AN26="","",
IF(INDEX('Durée formacode'!$C$2:$Z$200,
      MATCH(AN26,'Durée formacode'!$B$2:$B$200,0),
      MATCH($B$4,'Durée formacode'!$C$1:$Z$1,0))="",
INDEX('Durée formacode'!$C$2:$Z$200,
      MATCH(AN26,'Durée formacode'!$B$2:$B$200,0),
      MATCH($J$13,'Durée formacode'!$C$1:$Z$1,0)),
"")),
"")</f>
        <v>70</v>
      </c>
    </row>
    <row r="27" spans="1:41">
      <c r="A27" s="64" t="str">
        <v>Conducteur(trice) de machine(s) de production alimentaire (fabrication / conditionnement)</v>
      </c>
      <c r="B27" s="65" cm="1">
        <f t="array" ref="B27">SUMPRODUCT((IFERROR(1*INDEX('Durée formacode'!$C$2:$AE$44,0,MATCH($B$4,'Durée formacode'!$C$1:$AE$1,0)),0)&gt;0)*(IFERROR(1*INDEX('Durée formacode'!$C$2:$AE$44,0,MATCH($A27,'Durée formacode'!$C$1:$AE$1,0)),0)&gt;0))</f>
        <v>2</v>
      </c>
      <c r="C27" s="65">
        <f>IFERROR(INDEX('Différence formation'!$B$2:$AC$199,
MATCH($A27,'Différence formation'!$A$2:$A$99,0),
MATCH($B$4,'Différence formation'!$B$1:$AD$1,0)),
"")</f>
        <v>1008</v>
      </c>
      <c r="D27" s="66">
        <f>IFERROR(INDEX('Degré élargissement'!$B$2:$AC$199,
MATCH($A27,'Degré élargissement'!$A$2:$A$199,0),
MATCH($B$4,'Degré élargissement'!$B$1:$AC$1,0)),
"")</f>
        <v>0.16666666666666666</v>
      </c>
      <c r="E27" s="63">
        <f t="shared" si="0"/>
        <v>1</v>
      </c>
      <c r="S27" s="18"/>
      <c r="T27" s="26" t="str">
        <f>IF(U27="","",_xlfn.XLOOKUP(U27,Formacode!A:A,Formacode!B:B,0,1))</f>
        <v/>
      </c>
      <c r="U27" s="28" t="str" cm="1">
        <f t="array" ref="U27">IFERROR(INDEX('Durée formacode'!$B$2:$B$200,
SMALL(IF((ISNUMBER(INDEX('Durée formacode'!$C$2:$AA$200,,
MATCH('Métiers passerelles'!$B$4,'Durée formacode'!$C$1:$AA$1,0))))*(ISNUMBER(INDEX('Durée formacode'!$C$2:$AA$200,,
MATCH('Métiers passerelles'!$J$11,'Durée formacode'!$C$1:$AA$1,0)))),
ROW('Durée formacode'!$B$2:$B$200)-ROW('Durée formacode'!$B$2)+1),
ROWS($N$11:N15))),
"")</f>
        <v/>
      </c>
      <c r="V27" s="35" t="str">
        <f>IF(U27="","",MAX(INDEX('Durée formacode'!$C$2:$Z$200,
         MATCH(U27,'Durée formacode'!$B$2:$B$200,0),
         MATCH($J$11,'Durée formacode'!$C$1:$Z$1,0))-INDEX('Durée formacode'!$C$2:$Z$200,
         MATCH(U27,'Durée formacode'!$B$2:$B$200,0),
         MATCH($B$4,'Durée formacode'!$C$1:$Z$1,0)),0))</f>
        <v/>
      </c>
      <c r="W27" s="26" t="str">
        <f>IF(X27="","",_xlfn.XLOOKUP(X27,Formacode!A:A,Formacode!B:B,0,1))</f>
        <v>Entretien mecanique</v>
      </c>
      <c r="X27" s="28" cm="1">
        <f t="array" ref="X27">IFERROR(INDEX('Durée formacode'!$B$2:$B$200,
SMALL(IF((NOT(ISNUMBER(INDEX('Durée formacode'!$C$2:$AA$200,,
MATCH('Métiers passerelles'!$B$4,'Durée formacode'!$C$1:$AA$1,0)))))*(ISNUMBER(INDEX('Durée formacode'!$C$2:$AA$200,,
MATCH('Métiers passerelles'!$J$11,'Durée formacode'!$C$1:$AA$1,0)))),
ROW('Durée formacode'!$B$2:$B$200)-ROW('Durée formacode'!$B$2)+1),
ROWS($N$11:N15))),
"")</f>
        <v>23684</v>
      </c>
      <c r="Y27" s="28">
        <f>IFERROR(IF(X27="","",
IF(INDEX('Durée formacode'!$C$2:$Z$200,
      MATCH(X27,'Durée formacode'!$B$2:$B$200,0),
      MATCH($B$4,'Durée formacode'!$C$1:$Z$1,0))="",
INDEX('Durée formacode'!$C$2:$Z$200,
      MATCH(X27,'Durée formacode'!$B$2:$B$200,0),
      MATCH($J$11,'Durée formacode'!$C$1:$Z$1,0)),
"")),
"")</f>
        <v>144</v>
      </c>
      <c r="AA27" s="18"/>
      <c r="AB27" s="26" t="str">
        <f>IF(AC27="","",_xlfn.XLOOKUP(AC27,Formacode!A:A,Formacode!B:B,0,1))</f>
        <v/>
      </c>
      <c r="AC27" s="28" t="str" cm="1">
        <f t="array" ref="AC27">IFERROR(INDEX('Durée formacode'!$B$2:$B$200,
SMALL(IF((ISNUMBER(INDEX('Durée formacode'!$C$2:$AA$200,,
MATCH('Métiers passerelles'!$B$4,'Durée formacode'!$C$1:$AA$1,0))))*(ISNUMBER(INDEX('Durée formacode'!$C$2:$AA$200,,
MATCH('Métiers passerelles'!$J$12,'Durée formacode'!$C$1:$AA$1,0)))),
ROW('Durée formacode'!$B$2:$B$200)-ROW('Durée formacode'!$B$2)+1),
ROWS($N$12:N16))),
"")</f>
        <v/>
      </c>
      <c r="AD27" s="26" t="str">
        <f>IF(AC27="","",MAX(INDEX('Durée formacode'!$C$2:$Z$200,
         MATCH(AC27,'Durée formacode'!$B$2:$B$200,0),
         MATCH($J$12,'Durée formacode'!$C$1:$Z$1,0))-INDEX('Durée formacode'!$C$2:$Z$200,
         MATCH(AC27,'Durée formacode'!$B$2:$B$200,0),
         MATCH($B$4,'Durée formacode'!$C$1:$Z$1,0)),0))</f>
        <v/>
      </c>
      <c r="AE27" s="26" t="str">
        <f>IF(AF27="","",_xlfn.XLOOKUP(AF27,Formacode!A:A,Formacode!B:B,0,1))</f>
        <v>Maintenance industrielle</v>
      </c>
      <c r="AF27" s="28" cm="1">
        <f t="array" ref="AF27">IFERROR(INDEX('Durée formacode'!$B$2:$B$200,
SMALL(IF((NOT(ISNUMBER(INDEX('Durée formacode'!$C$2:$AA$200,,
MATCH('Métiers passerelles'!$B$4,'Durée formacode'!$C$1:$AA$1,0)))))*(ISNUMBER(INDEX('Durée formacode'!$C$2:$AA$200,,
MATCH('Métiers passerelles'!$J$12,'Durée formacode'!$C$1:$AA$1,0)))),
ROW('Durée formacode'!$B$2:$B$200)-ROW('Durée formacode'!$B$2)+1),
ROWS($N$12:N16))),
"")</f>
        <v>31624</v>
      </c>
      <c r="AG27" s="28">
        <f>IFERROR(IF(AF27="","",
IF(INDEX('Durée formacode'!$C$2:$Z$200,
      MATCH(AF27,'Durée formacode'!$B$2:$B$200,0),
      MATCH($B$4,'Durée formacode'!$C$1:$Z$1,0))="",
INDEX('Durée formacode'!$C$2:$Z$200,
      MATCH(AF27,'Durée formacode'!$B$2:$B$200,0),
      MATCH($J$12,'Durée formacode'!$C$1:$Z$1,0)),
"")),
"")</f>
        <v>70</v>
      </c>
      <c r="AI27" s="18"/>
      <c r="AJ27" s="26" t="str">
        <f>IF(AK27="","",_xlfn.XLOOKUP(AK27,Formacode!A:A,Formacode!B:B,0,1))</f>
        <v/>
      </c>
      <c r="AK27" s="28" t="str" cm="1">
        <f t="array" ref="AK27">IFERROR(INDEX('Durée formacode'!$B$2:$B$200,
SMALL(IF((ISNUMBER(INDEX('Durée formacode'!$C$2:$AA$200,,
MATCH('Métiers passerelles'!$B$4,'Durée formacode'!$C$1:$AA$1,0))))*(ISNUMBER(INDEX('Durée formacode'!$C$2:$AA$200,,
MATCH('Métiers passerelles'!$J$13,'Durée formacode'!$C$1:$AA$1,0)))),
ROW('Durée formacode'!$B$2:$B$200)-ROW('Durée formacode'!$B$2)+1),
ROWS($N$13:N17))),
"")</f>
        <v/>
      </c>
      <c r="AL27" s="26" t="str">
        <f>IF(AK27="","",MAX(INDEX('Durée formacode'!$C$2:$Z$200,
         MATCH(AK27,'Durée formacode'!$B$2:$B$200,0),
         MATCH($J$13,'Durée formacode'!$C$1:$Z$1,0))-INDEX('Durée formacode'!$C$2:$Z$200,
         MATCH(AK27,'Durée formacode'!$B$2:$B$200,0),
         MATCH($B$4,'Durée formacode'!$C$1:$Z$1,0)),0))</f>
        <v/>
      </c>
      <c r="AM27" s="26" t="str">
        <f>IF(AN27="","",_xlfn.XLOOKUP(AN27,Formacode!A:A,Formacode!B:B,0,1))</f>
        <v>Maintenance industrielle</v>
      </c>
      <c r="AN27" s="28" cm="1">
        <f t="array" ref="AN27">IFERROR(INDEX('Durée formacode'!$B$2:$B$200,
SMALL(IF((NOT(ISNUMBER(INDEX('Durée formacode'!$C$2:$AA$200,,
MATCH('Métiers passerelles'!$B$4,'Durée formacode'!$C$1:$AA$1,0)))))*(ISNUMBER(INDEX('Durée formacode'!$C$2:$AA$200,,
MATCH('Métiers passerelles'!$J$13,'Durée formacode'!$C$1:$AA$1,0)))),
ROW('Durée formacode'!$B$2:$B$200)-ROW('Durée formacode'!$B$2)+1),
ROWS($N$13:N17))),
"")</f>
        <v>31624</v>
      </c>
      <c r="AO27" s="28">
        <f>IFERROR(IF(AN27="","",
IF(INDEX('Durée formacode'!$C$2:$Z$200,
      MATCH(AN27,'Durée formacode'!$B$2:$B$200,0),
      MATCH($B$4,'Durée formacode'!$C$1:$Z$1,0))="",
INDEX('Durée formacode'!$C$2:$Z$200,
      MATCH(AN27,'Durée formacode'!$B$2:$B$200,0),
      MATCH($J$13,'Durée formacode'!$C$1:$Z$1,0)),
"")),
"")</f>
        <v>70</v>
      </c>
    </row>
    <row r="28" spans="1:41">
      <c r="A28" s="64" t="str">
        <v>Boulanger(ère)/pâtissier(ère) industriel(le)</v>
      </c>
      <c r="B28" s="65" cm="1">
        <f t="array" ref="B28">SUMPRODUCT((IFERROR(1*INDEX('Durée formacode'!$C$2:$AE$44,0,MATCH($B$4,'Durée formacode'!$C$1:$AE$1,0)),0)&gt;0)*(IFERROR(1*INDEX('Durée formacode'!$C$2:$AE$44,0,MATCH($A28,'Durée formacode'!$C$1:$AE$1,0)),0)&gt;0))</f>
        <v>2</v>
      </c>
      <c r="C28" s="65">
        <f>IFERROR(INDEX('Différence formation'!$B$2:$AC$199,
MATCH($A28,'Différence formation'!$A$2:$A$99,0),
MATCH($B$4,'Différence formation'!$B$1:$AD$1,0)),
"")</f>
        <v>842</v>
      </c>
      <c r="D28" s="66">
        <f>IFERROR(INDEX('Degré élargissement'!$B$2:$AC$199,
MATCH($A28,'Degré élargissement'!$A$2:$A$199,0),
MATCH($B$4,'Degré élargissement'!$B$1:$AC$1,0)),
"")</f>
        <v>0</v>
      </c>
      <c r="E28" s="63">
        <f t="shared" si="0"/>
        <v>0</v>
      </c>
      <c r="S28" s="18"/>
      <c r="T28" s="26" t="str">
        <f>IF(U28="","",_xlfn.XLOOKUP(U28,Formacode!A:A,Formacode!B:B,0,1))</f>
        <v/>
      </c>
      <c r="U28" s="28" t="str" cm="1">
        <f t="array" ref="U28">IFERROR(INDEX('Durée formacode'!$B$2:$B$200,
SMALL(IF((ISNUMBER(INDEX('Durée formacode'!$C$2:$AA$200,,
MATCH('Métiers passerelles'!$B$4,'Durée formacode'!$C$1:$AA$1,0))))*(ISNUMBER(INDEX('Durée formacode'!$C$2:$AA$200,,
MATCH('Métiers passerelles'!$J$11,'Durée formacode'!$C$1:$AA$1,0)))),
ROW('Durée formacode'!$B$2:$B$200)-ROW('Durée formacode'!$B$2)+1),
ROWS($N$11:N16))),
"")</f>
        <v/>
      </c>
      <c r="V28" s="35" t="str">
        <f>IF(U28="","",MAX(INDEX('Durée formacode'!$C$2:$Z$200,
         MATCH(U28,'Durée formacode'!$B$2:$B$200,0),
         MATCH($J$11,'Durée formacode'!$C$1:$Z$1,0))-INDEX('Durée formacode'!$C$2:$Z$200,
         MATCH(U28,'Durée formacode'!$B$2:$B$200,0),
         MATCH($B$4,'Durée formacode'!$C$1:$Z$1,0)),0))</f>
        <v/>
      </c>
      <c r="W28" s="26" t="str">
        <f>IF(X28="","",_xlfn.XLOOKUP(X28,Formacode!A:A,Formacode!B:B,0,1))</f>
        <v/>
      </c>
      <c r="X28" s="28" t="str" cm="1">
        <f t="array" ref="X28">IFERROR(INDEX('Durée formacode'!$B$2:$B$200,
SMALL(IF((NOT(ISNUMBER(INDEX('Durée formacode'!$C$2:$AA$200,,
MATCH('Métiers passerelles'!$B$4,'Durée formacode'!$C$1:$AA$1,0)))))*(ISNUMBER(INDEX('Durée formacode'!$C$2:$AA$200,,
MATCH('Métiers passerelles'!$J$11,'Durée formacode'!$C$1:$AA$1,0)))),
ROW('Durée formacode'!$B$2:$B$200)-ROW('Durée formacode'!$B$2)+1),
ROWS($N$11:N16))),
"")</f>
        <v/>
      </c>
      <c r="Y28" s="28" t="str">
        <f>IFERROR(IF(X28="","",
IF(INDEX('Durée formacode'!$C$2:$Z$200,
      MATCH(X28,'Durée formacode'!$B$2:$B$200,0),
      MATCH($B$4,'Durée formacode'!$C$1:$Z$1,0))="",
INDEX('Durée formacode'!$C$2:$Z$200,
      MATCH(X28,'Durée formacode'!$B$2:$B$200,0),
      MATCH($J$11,'Durée formacode'!$C$1:$Z$1,0)),
"")),
"")</f>
        <v/>
      </c>
      <c r="AA28" s="18"/>
      <c r="AB28" s="26" t="str">
        <f>IF(AC28="","",_xlfn.XLOOKUP(AC28,Formacode!A:A,Formacode!B:B,0,1))</f>
        <v/>
      </c>
      <c r="AC28" s="28" t="str" cm="1">
        <f t="array" ref="AC28">IFERROR(INDEX('Durée formacode'!$B$2:$B$200,
SMALL(IF((ISNUMBER(INDEX('Durée formacode'!$C$2:$AA$200,,
MATCH('Métiers passerelles'!$B$4,'Durée formacode'!$C$1:$AA$1,0))))*(ISNUMBER(INDEX('Durée formacode'!$C$2:$AA$200,,
MATCH('Métiers passerelles'!$J$12,'Durée formacode'!$C$1:$AA$1,0)))),
ROW('Durée formacode'!$B$2:$B$200)-ROW('Durée formacode'!$B$2)+1),
ROWS($N$12:N17))),
"")</f>
        <v/>
      </c>
      <c r="AD28" s="26" t="str">
        <f>IF(AC28="","",MAX(INDEX('Durée formacode'!$C$2:$Z$200,
         MATCH(AC28,'Durée formacode'!$B$2:$B$200,0),
         MATCH($J$12,'Durée formacode'!$C$1:$Z$1,0))-INDEX('Durée formacode'!$C$2:$Z$200,
         MATCH(AC28,'Durée formacode'!$B$2:$B$200,0),
         MATCH($B$4,'Durée formacode'!$C$1:$Z$1,0)),0))</f>
        <v/>
      </c>
      <c r="AE28" s="26" t="str">
        <f>IF(AF28="","",_xlfn.XLOOKUP(AF28,Formacode!A:A,Formacode!B:B,0,1))</f>
        <v>Entretien mecanique</v>
      </c>
      <c r="AF28" s="28" cm="1">
        <f t="array" ref="AF28">IFERROR(INDEX('Durée formacode'!$B$2:$B$200,
SMALL(IF((NOT(ISNUMBER(INDEX('Durée formacode'!$C$2:$AA$200,,
MATCH('Métiers passerelles'!$B$4,'Durée formacode'!$C$1:$AA$1,0)))))*(ISNUMBER(INDEX('Durée formacode'!$C$2:$AA$200,,
MATCH('Métiers passerelles'!$J$12,'Durée formacode'!$C$1:$AA$1,0)))),
ROW('Durée formacode'!$B$2:$B$200)-ROW('Durée formacode'!$B$2)+1),
ROWS($N$12:N17))),
"")</f>
        <v>23684</v>
      </c>
      <c r="AG28" s="28">
        <f>IFERROR(IF(AF28="","",
IF(INDEX('Durée formacode'!$C$2:$Z$200,
      MATCH(AF28,'Durée formacode'!$B$2:$B$200,0),
      MATCH($B$4,'Durée formacode'!$C$1:$Z$1,0))="",
INDEX('Durée formacode'!$C$2:$Z$200,
      MATCH(AF28,'Durée formacode'!$B$2:$B$200,0),
      MATCH($J$12,'Durée formacode'!$C$1:$Z$1,0)),
"")),
"")</f>
        <v>144</v>
      </c>
      <c r="AI28" s="18"/>
      <c r="AJ28" s="26" t="str">
        <f>IF(AK28="","",_xlfn.XLOOKUP(AK28,Formacode!A:A,Formacode!B:B,0,1))</f>
        <v/>
      </c>
      <c r="AK28" s="28" t="str" cm="1">
        <f t="array" ref="AK28">IFERROR(INDEX('Durée formacode'!$B$2:$B$200,
SMALL(IF((ISNUMBER(INDEX('Durée formacode'!$C$2:$AA$200,,
MATCH('Métiers passerelles'!$B$4,'Durée formacode'!$C$1:$AA$1,0))))*(ISNUMBER(INDEX('Durée formacode'!$C$2:$AA$200,,
MATCH('Métiers passerelles'!$J$13,'Durée formacode'!$C$1:$AA$1,0)))),
ROW('Durée formacode'!$B$2:$B$200)-ROW('Durée formacode'!$B$2)+1),
ROWS($N$13:N18))),
"")</f>
        <v/>
      </c>
      <c r="AL28" s="26" t="str">
        <f>IF(AK28="","",MAX(INDEX('Durée formacode'!$C$2:$Z$200,
         MATCH(AK28,'Durée formacode'!$B$2:$B$200,0),
         MATCH($J$13,'Durée formacode'!$C$1:$Z$1,0))-INDEX('Durée formacode'!$C$2:$Z$200,
         MATCH(AK28,'Durée formacode'!$B$2:$B$200,0),
         MATCH($B$4,'Durée formacode'!$C$1:$Z$1,0)),0))</f>
        <v/>
      </c>
      <c r="AM28" s="26" t="str">
        <f>IF(AN28="","",_xlfn.XLOOKUP(AN28,Formacode!A:A,Formacode!B:B,0,1))</f>
        <v>Entretien vente</v>
      </c>
      <c r="AN28" s="28" cm="1">
        <f t="array" ref="AN28">IFERROR(INDEX('Durée formacode'!$B$2:$B$200,
SMALL(IF((NOT(ISNUMBER(INDEX('Durée formacode'!$C$2:$AA$200,,
MATCH('Métiers passerelles'!$B$4,'Durée formacode'!$C$1:$AA$1,0)))))*(ISNUMBER(INDEX('Durée formacode'!$C$2:$AA$200,,
MATCH('Métiers passerelles'!$J$13,'Durée formacode'!$C$1:$AA$1,0)))),
ROW('Durée formacode'!$B$2:$B$200)-ROW('Durée formacode'!$B$2)+1),
ROWS($N$13:N18))),
"")</f>
        <v>34592</v>
      </c>
      <c r="AO28" s="28">
        <f>IFERROR(IF(AN28="","",
IF(INDEX('Durée formacode'!$C$2:$Z$200,
      MATCH(AN28,'Durée formacode'!$B$2:$B$200,0),
      MATCH($B$4,'Durée formacode'!$C$1:$Z$1,0))="",
INDEX('Durée formacode'!$C$2:$Z$200,
      MATCH(AN28,'Durée formacode'!$B$2:$B$200,0),
      MATCH($J$13,'Durée formacode'!$C$1:$Z$1,0)),
"")),
"")</f>
        <v>107</v>
      </c>
    </row>
    <row r="29" spans="1:41">
      <c r="A29" s="64" t="str">
        <v>Conducteur(trice) de ligne(s)de production alimentaire (fabrication/conditionnement)</v>
      </c>
      <c r="B29" s="65" cm="1">
        <f t="array" ref="B29">SUMPRODUCT((IFERROR(1*INDEX('Durée formacode'!$C$2:$AE$44,0,MATCH($B$4,'Durée formacode'!$C$1:$AE$1,0)),0)&gt;0)*(IFERROR(1*INDEX('Durée formacode'!$C$2:$AE$44,0,MATCH($A29,'Durée formacode'!$C$1:$AE$1,0)),0)&gt;0))</f>
        <v>2</v>
      </c>
      <c r="C29" s="65">
        <f>IFERROR(INDEX('Différence formation'!$B$2:$AC$199,
MATCH($A29,'Différence formation'!$A$2:$A$99,0),
MATCH($B$4,'Différence formation'!$B$1:$AD$1,0)),
"")</f>
        <v>1114</v>
      </c>
      <c r="D29" s="66">
        <f>IFERROR(INDEX('Degré élargissement'!$B$2:$AC$199,
MATCH($A29,'Degré élargissement'!$A$2:$A$199,0),
MATCH($B$4,'Degré élargissement'!$B$1:$AC$1,0)),
"")</f>
        <v>2</v>
      </c>
      <c r="E29" s="63">
        <f t="shared" si="0"/>
        <v>1</v>
      </c>
      <c r="S29" s="18"/>
      <c r="T29" s="26" t="str">
        <f>IF(U29="","",_xlfn.XLOOKUP(U29,Formacode!A:A,Formacode!B:B,0,1))</f>
        <v/>
      </c>
      <c r="U29" s="28" t="str" cm="1">
        <f t="array" ref="U29">IFERROR(INDEX('Durée formacode'!$B$2:$B$200,
SMALL(IF((ISNUMBER(INDEX('Durée formacode'!$C$2:$AA$200,,
MATCH('Métiers passerelles'!$B$4,'Durée formacode'!$C$1:$AA$1,0))))*(ISNUMBER(INDEX('Durée formacode'!$C$2:$AA$200,,
MATCH('Métiers passerelles'!$J$11,'Durée formacode'!$C$1:$AA$1,0)))),
ROW('Durée formacode'!$B$2:$B$200)-ROW('Durée formacode'!$B$2)+1),
ROWS($N$11:N17))),
"")</f>
        <v/>
      </c>
      <c r="V29" s="35" t="str">
        <f>IF(U29="","",MAX(INDEX('Durée formacode'!$C$2:$Z$200,
         MATCH(U29,'Durée formacode'!$B$2:$B$200,0),
         MATCH($J$11,'Durée formacode'!$C$1:$Z$1,0))-INDEX('Durée formacode'!$C$2:$Z$200,
         MATCH(U29,'Durée formacode'!$B$2:$B$200,0),
         MATCH($B$4,'Durée formacode'!$C$1:$Z$1,0)),0))</f>
        <v/>
      </c>
      <c r="W29" s="26" t="str">
        <f>IF(X29="","",_xlfn.XLOOKUP(X29,Formacode!A:A,Formacode!B:B,0,1))</f>
        <v/>
      </c>
      <c r="X29" s="28" t="str" cm="1">
        <f t="array" ref="X29">IFERROR(INDEX('Durée formacode'!$B$2:$B$200,
SMALL(IF((NOT(ISNUMBER(INDEX('Durée formacode'!$C$2:$AA$200,,
MATCH('Métiers passerelles'!$B$4,'Durée formacode'!$C$1:$AA$1,0)))))*(ISNUMBER(INDEX('Durée formacode'!$C$2:$AA$200,,
MATCH('Métiers passerelles'!$J$11,'Durée formacode'!$C$1:$AA$1,0)))),
ROW('Durée formacode'!$B$2:$B$200)-ROW('Durée formacode'!$B$2)+1),
ROWS($N$11:N17))),
"")</f>
        <v/>
      </c>
      <c r="Y29" s="28" t="str">
        <f>IFERROR(IF(X29="","",
IF(INDEX('Durée formacode'!$C$2:$Z$200,
      MATCH(X29,'Durée formacode'!$B$2:$B$200,0),
      MATCH($B$4,'Durée formacode'!$C$1:$Z$1,0))="",
INDEX('Durée formacode'!$C$2:$Z$200,
      MATCH(X29,'Durée formacode'!$B$2:$B$200,0),
      MATCH($J$11,'Durée formacode'!$C$1:$Z$1,0)),
"")),
"")</f>
        <v/>
      </c>
      <c r="AA29" s="18"/>
      <c r="AB29" s="26" t="str">
        <f>IF(AC29="","",_xlfn.XLOOKUP(AC29,Formacode!A:A,Formacode!B:B,0,1))</f>
        <v/>
      </c>
      <c r="AC29" s="28" t="str" cm="1">
        <f t="array" ref="AC29">IFERROR(INDEX('Durée formacode'!$B$2:$B$200,
SMALL(IF((ISNUMBER(INDEX('Durée formacode'!$C$2:$AA$200,,
MATCH('Métiers passerelles'!$B$4,'Durée formacode'!$C$1:$AA$1,0))))*(ISNUMBER(INDEX('Durée formacode'!$C$2:$AA$200,,
MATCH('Métiers passerelles'!$J$12,'Durée formacode'!$C$1:$AA$1,0)))),
ROW('Durée formacode'!$B$2:$B$200)-ROW('Durée formacode'!$B$2)+1),
ROWS($N$12:N18))),
"")</f>
        <v/>
      </c>
      <c r="AD29" s="26" t="str">
        <f>IF(AC29="","",MAX(INDEX('Durée formacode'!$C$2:$Z$200,
         MATCH(AC29,'Durée formacode'!$B$2:$B$200,0),
         MATCH($J$12,'Durée formacode'!$C$1:$Z$1,0))-INDEX('Durée formacode'!$C$2:$Z$200,
         MATCH(AC29,'Durée formacode'!$B$2:$B$200,0),
         MATCH($B$4,'Durée formacode'!$C$1:$Z$1,0)),0))</f>
        <v/>
      </c>
      <c r="AE29" s="26" t="str">
        <f>IF(AF29="","",_xlfn.XLOOKUP(AF29,Formacode!A:A,Formacode!B:B,0,1))</f>
        <v/>
      </c>
      <c r="AF29" s="28" t="str" cm="1">
        <f t="array" ref="AF29">IFERROR(INDEX('Durée formacode'!$B$2:$B$200,
SMALL(IF((NOT(ISNUMBER(INDEX('Durée formacode'!$C$2:$AA$200,,
MATCH('Métiers passerelles'!$B$4,'Durée formacode'!$C$1:$AA$1,0)))))*(ISNUMBER(INDEX('Durée formacode'!$C$2:$AA$200,,
MATCH('Métiers passerelles'!$J$12,'Durée formacode'!$C$1:$AA$1,0)))),
ROW('Durée formacode'!$B$2:$B$200)-ROW('Durée formacode'!$B$2)+1),
ROWS($N$12:N18))),
"")</f>
        <v/>
      </c>
      <c r="AG29" s="28" t="str">
        <f>IFERROR(IF(AF29="","",
IF(INDEX('Durée formacode'!$C$2:$Z$200,
      MATCH(AF29,'Durée formacode'!$B$2:$B$200,0),
      MATCH($B$4,'Durée formacode'!$C$1:$Z$1,0))="",
INDEX('Durée formacode'!$C$2:$Z$200,
      MATCH(AF29,'Durée formacode'!$B$2:$B$200,0),
      MATCH($J$12,'Durée formacode'!$C$1:$Z$1,0)),
"")),
"")</f>
        <v/>
      </c>
      <c r="AI29" s="18"/>
      <c r="AJ29" s="26" t="str">
        <f>IF(AK29="","",_xlfn.XLOOKUP(AK29,Formacode!A:A,Formacode!B:B,0,1))</f>
        <v/>
      </c>
      <c r="AK29" s="28" t="str" cm="1">
        <f t="array" ref="AK29">IFERROR(INDEX('Durée formacode'!$B$2:$B$200,
SMALL(IF((ISNUMBER(INDEX('Durée formacode'!$C$2:$AA$200,,
MATCH('Métiers passerelles'!$B$4,'Durée formacode'!$C$1:$AA$1,0))))*(ISNUMBER(INDEX('Durée formacode'!$C$2:$AA$200,,
MATCH('Métiers passerelles'!$J$13,'Durée formacode'!$C$1:$AA$1,0)))),
ROW('Durée formacode'!$B$2:$B$200)-ROW('Durée formacode'!$B$2)+1),
ROWS($N$13:N19))),
"")</f>
        <v/>
      </c>
      <c r="AL29" s="26" t="str">
        <f>IF(AK29="","",MAX(INDEX('Durée formacode'!$C$2:$Z$200,
         MATCH(AK29,'Durée formacode'!$B$2:$B$200,0),
         MATCH($J$13,'Durée formacode'!$C$1:$Z$1,0))-INDEX('Durée formacode'!$C$2:$Z$200,
         MATCH(AK29,'Durée formacode'!$B$2:$B$200,0),
         MATCH($B$4,'Durée formacode'!$C$1:$Z$1,0)),0))</f>
        <v/>
      </c>
      <c r="AM29" s="26" t="str">
        <f>IF(AN29="","",_xlfn.XLOOKUP(AN29,Formacode!A:A,Formacode!B:B,0,1))</f>
        <v>Entretien mecanique</v>
      </c>
      <c r="AN29" s="28" cm="1">
        <f t="array" ref="AN29">IFERROR(INDEX('Durée formacode'!$B$2:$B$200,
SMALL(IF((NOT(ISNUMBER(INDEX('Durée formacode'!$C$2:$AA$200,,
MATCH('Métiers passerelles'!$B$4,'Durée formacode'!$C$1:$AA$1,0)))))*(ISNUMBER(INDEX('Durée formacode'!$C$2:$AA$200,,
MATCH('Métiers passerelles'!$J$13,'Durée formacode'!$C$1:$AA$1,0)))),
ROW('Durée formacode'!$B$2:$B$200)-ROW('Durée formacode'!$B$2)+1),
ROWS($N$13:N19))),
"")</f>
        <v>23684</v>
      </c>
      <c r="AO29" s="28">
        <f>IFERROR(IF(AN29="","",
IF(INDEX('Durée formacode'!$C$2:$Z$200,
      MATCH(AN29,'Durée formacode'!$B$2:$B$200,0),
      MATCH($B$4,'Durée formacode'!$C$1:$Z$1,0))="",
INDEX('Durée formacode'!$C$2:$Z$200,
      MATCH(AN29,'Durée formacode'!$B$2:$B$200,0),
      MATCH($J$13,'Durée formacode'!$C$1:$Z$1,0)),
"")),
"")</f>
        <v>144</v>
      </c>
    </row>
    <row r="30" spans="1:41">
      <c r="A30" s="64" t="str">
        <v>Conducteur(trice) de process de production alimentaire</v>
      </c>
      <c r="B30" s="65" cm="1">
        <f t="array" ref="B30">SUMPRODUCT((IFERROR(1*INDEX('Durée formacode'!$C$2:$AE$44,0,MATCH($B$4,'Durée formacode'!$C$1:$AE$1,0)),0)&gt;0)*(IFERROR(1*INDEX('Durée formacode'!$C$2:$AE$44,0,MATCH($A30,'Durée formacode'!$C$1:$AE$1,0)),0)&gt;0))</f>
        <v>1</v>
      </c>
      <c r="C30" s="65">
        <f>IFERROR(INDEX('Différence formation'!$B$2:$AC$199,
MATCH($A30,'Différence formation'!$A$2:$A$99,0),
MATCH($B$4,'Différence formation'!$B$1:$AD$1,0)),
"")</f>
        <v>1458</v>
      </c>
      <c r="D30" s="66">
        <f>IFERROR(INDEX('Degré élargissement'!$B$2:$AC$199,
MATCH($A30,'Degré élargissement'!$A$2:$A$199,0),
MATCH($B$4,'Degré élargissement'!$B$1:$AC$1,0)),
"")</f>
        <v>2.5</v>
      </c>
      <c r="E30" s="63">
        <f t="shared" si="0"/>
        <v>1</v>
      </c>
      <c r="S30" s="18"/>
      <c r="T30" s="26" t="str">
        <f>IF(U30="","",_xlfn.XLOOKUP(U30,Formacode!A:A,Formacode!B:B,0,1))</f>
        <v/>
      </c>
      <c r="U30" s="28" t="str" cm="1">
        <f t="array" ref="U30">IFERROR(INDEX('Durée formacode'!$B$2:$B$200,
SMALL(IF((ISNUMBER(INDEX('Durée formacode'!$C$2:$AA$200,,
MATCH('Métiers passerelles'!$B$4,'Durée formacode'!$C$1:$AA$1,0))))*(ISNUMBER(INDEX('Durée formacode'!$C$2:$AA$200,,
MATCH('Métiers passerelles'!$J$11,'Durée formacode'!$C$1:$AA$1,0)))),
ROW('Durée formacode'!$B$2:$B$200)-ROW('Durée formacode'!$B$2)+1),
ROWS($N$11:N18))),
"")</f>
        <v/>
      </c>
      <c r="V30" s="35" t="str">
        <f>IF(U30="","",MAX(INDEX('Durée formacode'!$C$2:$Z$200,
         MATCH(U30,'Durée formacode'!$B$2:$B$200,0),
         MATCH($J$11,'Durée formacode'!$C$1:$Z$1,0))-INDEX('Durée formacode'!$C$2:$Z$200,
         MATCH(U30,'Durée formacode'!$B$2:$B$200,0),
         MATCH($B$4,'Durée formacode'!$C$1:$Z$1,0)),0))</f>
        <v/>
      </c>
      <c r="W30" s="26" t="str">
        <f>IF(X30="","",_xlfn.XLOOKUP(X30,Formacode!A:A,Formacode!B:B,0,1))</f>
        <v/>
      </c>
      <c r="X30" s="28" t="str" cm="1">
        <f t="array" ref="X30">IFERROR(INDEX('Durée formacode'!$B$2:$B$200,
SMALL(IF((NOT(ISNUMBER(INDEX('Durée formacode'!$C$2:$AA$200,,
MATCH('Métiers passerelles'!$B$4,'Durée formacode'!$C$1:$AA$1,0)))))*(ISNUMBER(INDEX('Durée formacode'!$C$2:$AA$200,,
MATCH('Métiers passerelles'!$J$11,'Durée formacode'!$C$1:$AA$1,0)))),
ROW('Durée formacode'!$B$2:$B$200)-ROW('Durée formacode'!$B$2)+1),
ROWS($N$11:N18))),
"")</f>
        <v/>
      </c>
      <c r="Y30" s="28" t="str">
        <f>IFERROR(IF(X30="","",
IF(INDEX('Durée formacode'!$C$2:$Z$200,
      MATCH(X30,'Durée formacode'!$B$2:$B$200,0),
      MATCH($B$4,'Durée formacode'!$C$1:$Z$1,0))="",
INDEX('Durée formacode'!$C$2:$Z$200,
      MATCH(X30,'Durée formacode'!$B$2:$B$200,0),
      MATCH($J$11,'Durée formacode'!$C$1:$Z$1,0)),
"")),
"")</f>
        <v/>
      </c>
      <c r="AA30" s="18"/>
      <c r="AB30" s="26" t="str">
        <f>IF(AC30="","",_xlfn.XLOOKUP(AC30,Formacode!A:A,Formacode!B:B,0,1))</f>
        <v/>
      </c>
      <c r="AC30" s="28" t="str" cm="1">
        <f t="array" ref="AC30">IFERROR(INDEX('Durée formacode'!$B$2:$B$200,
SMALL(IF((ISNUMBER(INDEX('Durée formacode'!$C$2:$AA$200,,
MATCH('Métiers passerelles'!$B$4,'Durée formacode'!$C$1:$AA$1,0))))*(ISNUMBER(INDEX('Durée formacode'!$C$2:$AA$200,,
MATCH('Métiers passerelles'!$J$12,'Durée formacode'!$C$1:$AA$1,0)))),
ROW('Durée formacode'!$B$2:$B$200)-ROW('Durée formacode'!$B$2)+1),
ROWS($N$12:N19))),
"")</f>
        <v/>
      </c>
      <c r="AD30" s="26" t="str">
        <f>IF(AC30="","",MAX(INDEX('Durée formacode'!$C$2:$Z$200,
         MATCH(AC30,'Durée formacode'!$B$2:$B$200,0),
         MATCH($J$12,'Durée formacode'!$C$1:$Z$1,0))-INDEX('Durée formacode'!$C$2:$Z$200,
         MATCH(AC30,'Durée formacode'!$B$2:$B$200,0),
         MATCH($B$4,'Durée formacode'!$C$1:$Z$1,0)),0))</f>
        <v/>
      </c>
      <c r="AE30" s="26" t="str">
        <f>IF(AF30="","",_xlfn.XLOOKUP(AF30,Formacode!A:A,Formacode!B:B,0,1))</f>
        <v/>
      </c>
      <c r="AF30" s="28" t="str" cm="1">
        <f t="array" ref="AF30">IFERROR(INDEX('Durée formacode'!$B$2:$B$200,
SMALL(IF((NOT(ISNUMBER(INDEX('Durée formacode'!$C$2:$AA$200,,
MATCH('Métiers passerelles'!$B$4,'Durée formacode'!$C$1:$AA$1,0)))))*(ISNUMBER(INDEX('Durée formacode'!$C$2:$AA$200,,
MATCH('Métiers passerelles'!$J$12,'Durée formacode'!$C$1:$AA$1,0)))),
ROW('Durée formacode'!$B$2:$B$200)-ROW('Durée formacode'!$B$2)+1),
ROWS($N$12:N19))),
"")</f>
        <v/>
      </c>
      <c r="AG30" s="28" t="str">
        <f>IFERROR(IF(AF30="","",
IF(INDEX('Durée formacode'!$C$2:$Z$200,
      MATCH(AF30,'Durée formacode'!$B$2:$B$200,0),
      MATCH($B$4,'Durée formacode'!$C$1:$Z$1,0))="",
INDEX('Durée formacode'!$C$2:$Z$200,
      MATCH(AF30,'Durée formacode'!$B$2:$B$200,0),
      MATCH($J$12,'Durée formacode'!$C$1:$Z$1,0)),
"")),
"")</f>
        <v/>
      </c>
      <c r="AI30" s="18"/>
      <c r="AJ30" s="26" t="str">
        <f>IF(AK30="","",_xlfn.XLOOKUP(AK30,Formacode!A:A,Formacode!B:B,0,1))</f>
        <v/>
      </c>
      <c r="AK30" s="28" t="str" cm="1">
        <f t="array" ref="AK30">IFERROR(INDEX('Durée formacode'!$B$2:$B$200,
SMALL(IF((ISNUMBER(INDEX('Durée formacode'!$C$2:$AA$200,,
MATCH('Métiers passerelles'!$B$4,'Durée formacode'!$C$1:$AA$1,0))))*(ISNUMBER(INDEX('Durée formacode'!$C$2:$AA$200,,
MATCH('Métiers passerelles'!$J$13,'Durée formacode'!$C$1:$AA$1,0)))),
ROW('Durée formacode'!$B$2:$B$200)-ROW('Durée formacode'!$B$2)+1),
ROWS($N$13:N20))),
"")</f>
        <v/>
      </c>
      <c r="AL30" s="26" t="str">
        <f>IF(AK30="","",MAX(INDEX('Durée formacode'!$C$2:$Z$200,
         MATCH(AK30,'Durée formacode'!$B$2:$B$200,0),
         MATCH($J$13,'Durée formacode'!$C$1:$Z$1,0))-INDEX('Durée formacode'!$C$2:$Z$200,
         MATCH(AK30,'Durée formacode'!$B$2:$B$200,0),
         MATCH($B$4,'Durée formacode'!$C$1:$Z$1,0)),0))</f>
        <v/>
      </c>
      <c r="AM30" s="26" t="str">
        <f>IF(AN30="","",_xlfn.XLOOKUP(AN30,Formacode!A:A,Formacode!B:B,0,1))</f>
        <v/>
      </c>
      <c r="AN30" s="28" t="str" cm="1">
        <f t="array" ref="AN30">IFERROR(INDEX('Durée formacode'!$B$2:$B$200,
SMALL(IF((NOT(ISNUMBER(INDEX('Durée formacode'!$C$2:$AA$200,,
MATCH('Métiers passerelles'!$B$4,'Durée formacode'!$C$1:$AA$1,0)))))*(ISNUMBER(INDEX('Durée formacode'!$C$2:$AA$200,,
MATCH('Métiers passerelles'!$J$13,'Durée formacode'!$C$1:$AA$1,0)))),
ROW('Durée formacode'!$B$2:$B$200)-ROW('Durée formacode'!$B$2)+1),
ROWS($N$13:N20))),
"")</f>
        <v/>
      </c>
      <c r="AO30" s="28" t="str">
        <f>IFERROR(IF(AN30="","",
IF(INDEX('Durée formacode'!$C$2:$Z$200,
      MATCH(AN30,'Durée formacode'!$B$2:$B$200,0),
      MATCH($B$4,'Durée formacode'!$C$1:$Z$1,0))="",
INDEX('Durée formacode'!$C$2:$Z$200,
      MATCH(AN30,'Durée formacode'!$B$2:$B$200,0),
      MATCH($J$13,'Durée formacode'!$C$1:$Z$1,0)),
"")),
"")</f>
        <v/>
      </c>
    </row>
    <row r="31" spans="1:41">
      <c r="A31" s="64" t="str">
        <v>Responsable de plateforme/ d’exploitation logistique</v>
      </c>
      <c r="B31" s="65" cm="1">
        <f t="array" ref="B31">SUMPRODUCT((IFERROR(1*INDEX('Durée formacode'!$C$2:$AE$44,0,MATCH($B$4,'Durée formacode'!$C$1:$AE$1,0)),0)&gt;0)*(IFERROR(1*INDEX('Durée formacode'!$C$2:$AE$44,0,MATCH($A31,'Durée formacode'!$C$1:$AE$1,0)),0)&gt;0))</f>
        <v>4</v>
      </c>
      <c r="C31" s="65">
        <f>IFERROR(INDEX('Différence formation'!$B$2:$AC$199,
MATCH($A31,'Différence formation'!$A$2:$A$99,0),
MATCH($B$4,'Différence formation'!$B$1:$AD$1,0)),
"")</f>
        <v>4944.8999999999996</v>
      </c>
      <c r="D31" s="66">
        <f>IFERROR(INDEX('Degré élargissement'!$B$2:$AC$199,
MATCH($A31,'Degré élargissement'!$A$2:$A$199,0),
MATCH($B$4,'Degré élargissement'!$B$1:$AC$1,0)),
"")</f>
        <v>3.9999999999999996</v>
      </c>
      <c r="E31" s="63">
        <f t="shared" si="0"/>
        <v>0</v>
      </c>
      <c r="S31" s="18"/>
      <c r="T31" s="26" t="str">
        <f>IF(U31="","",_xlfn.XLOOKUP(U31,Formacode!A:A,Formacode!B:B,0,1))</f>
        <v/>
      </c>
      <c r="U31" s="28" t="str" cm="1">
        <f t="array" ref="U31">IFERROR(INDEX('Durée formacode'!$B$2:$B$200,
SMALL(IF((ISNUMBER(INDEX('Durée formacode'!$C$2:$AA$200,,
MATCH('Métiers passerelles'!$B$4,'Durée formacode'!$C$1:$AA$1,0))))*(ISNUMBER(INDEX('Durée formacode'!$C$2:$AA$200,,
MATCH('Métiers passerelles'!$J$11,'Durée formacode'!$C$1:$AA$1,0)))),
ROW('Durée formacode'!$B$2:$B$200)-ROW('Durée formacode'!$B$2)+1),
ROWS($N$11:N19))),
"")</f>
        <v/>
      </c>
      <c r="V31" s="35" t="str">
        <f>IF(U31="","",MAX(INDEX('Durée formacode'!$C$2:$Z$200,
         MATCH(U31,'Durée formacode'!$B$2:$B$200,0),
         MATCH($J$11,'Durée formacode'!$C$1:$Z$1,0))-INDEX('Durée formacode'!$C$2:$Z$200,
         MATCH(U31,'Durée formacode'!$B$2:$B$200,0),
         MATCH($B$4,'Durée formacode'!$C$1:$Z$1,0)),0))</f>
        <v/>
      </c>
      <c r="W31" s="26" t="str">
        <f>IF(X31="","",_xlfn.XLOOKUP(X31,Formacode!A:A,Formacode!B:B,0,1))</f>
        <v/>
      </c>
      <c r="X31" s="28" t="str" cm="1">
        <f t="array" ref="X31">IFERROR(INDEX('Durée formacode'!$B$2:$B$200,
SMALL(IF((NOT(ISNUMBER(INDEX('Durée formacode'!$C$2:$AA$200,,
MATCH('Métiers passerelles'!$B$4,'Durée formacode'!$C$1:$AA$1,0)))))*(ISNUMBER(INDEX('Durée formacode'!$C$2:$AA$200,,
MATCH('Métiers passerelles'!$J$11,'Durée formacode'!$C$1:$AA$1,0)))),
ROW('Durée formacode'!$B$2:$B$200)-ROW('Durée formacode'!$B$2)+1),
ROWS($N$11:N19))),
"")</f>
        <v/>
      </c>
      <c r="Y31" s="28" t="str">
        <f>IFERROR(IF(X31="","",
IF(INDEX('Durée formacode'!$C$2:$Z$200,
      MATCH(X31,'Durée formacode'!$B$2:$B$200,0),
      MATCH($B$4,'Durée formacode'!$C$1:$Z$1,0))="",
INDEX('Durée formacode'!$C$2:$Z$200,
      MATCH(X31,'Durée formacode'!$B$2:$B$200,0),
      MATCH($J$11,'Durée formacode'!$C$1:$Z$1,0)),
"")),
"")</f>
        <v/>
      </c>
      <c r="AA31" s="18"/>
      <c r="AB31" s="26" t="str">
        <f>IF(AC31="","",_xlfn.XLOOKUP(AC31,Formacode!A:A,Formacode!B:B,0,1))</f>
        <v/>
      </c>
      <c r="AC31" s="28" t="str" cm="1">
        <f t="array" ref="AC31">IFERROR(INDEX('Durée formacode'!$B$2:$B$200,
SMALL(IF((ISNUMBER(INDEX('Durée formacode'!$C$2:$AA$200,,
MATCH('Métiers passerelles'!$B$4,'Durée formacode'!$C$1:$AA$1,0))))*(ISNUMBER(INDEX('Durée formacode'!$C$2:$AA$200,,
MATCH('Métiers passerelles'!$J$12,'Durée formacode'!$C$1:$AA$1,0)))),
ROW('Durée formacode'!$B$2:$B$200)-ROW('Durée formacode'!$B$2)+1),
ROWS($N$12:N20))),
"")</f>
        <v/>
      </c>
      <c r="AD31" s="26" t="str">
        <f>IF(AC31="","",MAX(INDEX('Durée formacode'!$C$2:$Z$200,
         MATCH(AC31,'Durée formacode'!$B$2:$B$200,0),
         MATCH($J$12,'Durée formacode'!$C$1:$Z$1,0))-INDEX('Durée formacode'!$C$2:$Z$200,
         MATCH(AC31,'Durée formacode'!$B$2:$B$200,0),
         MATCH($B$4,'Durée formacode'!$C$1:$Z$1,0)),0))</f>
        <v/>
      </c>
      <c r="AE31" s="26" t="str">
        <f>IF(AF31="","",_xlfn.XLOOKUP(AF31,Formacode!A:A,Formacode!B:B,0,1))</f>
        <v/>
      </c>
      <c r="AF31" s="28" t="str" cm="1">
        <f t="array" ref="AF31">IFERROR(INDEX('Durée formacode'!$B$2:$B$200,
SMALL(IF((NOT(ISNUMBER(INDEX('Durée formacode'!$C$2:$AA$200,,
MATCH('Métiers passerelles'!$B$4,'Durée formacode'!$C$1:$AA$1,0)))))*(ISNUMBER(INDEX('Durée formacode'!$C$2:$AA$200,,
MATCH('Métiers passerelles'!$J$12,'Durée formacode'!$C$1:$AA$1,0)))),
ROW('Durée formacode'!$B$2:$B$200)-ROW('Durée formacode'!$B$2)+1),
ROWS($N$12:N20))),
"")</f>
        <v/>
      </c>
      <c r="AG31" s="28" t="str">
        <f>IFERROR(IF(AF31="","",
IF(INDEX('Durée formacode'!$C$2:$Z$200,
      MATCH(AF31,'Durée formacode'!$B$2:$B$200,0),
      MATCH($B$4,'Durée formacode'!$C$1:$Z$1,0))="",
INDEX('Durée formacode'!$C$2:$Z$200,
      MATCH(AF31,'Durée formacode'!$B$2:$B$200,0),
      MATCH($J$12,'Durée formacode'!$C$1:$Z$1,0)),
"")),
"")</f>
        <v/>
      </c>
      <c r="AI31" s="18"/>
      <c r="AJ31" s="26" t="str">
        <f>IF(AK31="","",_xlfn.XLOOKUP(AK31,Formacode!A:A,Formacode!B:B,0,1))</f>
        <v/>
      </c>
      <c r="AK31" s="28" t="str" cm="1">
        <f t="array" ref="AK31">IFERROR(INDEX('Durée formacode'!$B$2:$B$200,
SMALL(IF((ISNUMBER(INDEX('Durée formacode'!$C$2:$AA$200,,
MATCH('Métiers passerelles'!$B$4,'Durée formacode'!$C$1:$AA$1,0))))*(ISNUMBER(INDEX('Durée formacode'!$C$2:$AA$200,,
MATCH('Métiers passerelles'!$J$13,'Durée formacode'!$C$1:$AA$1,0)))),
ROW('Durée formacode'!$B$2:$B$200)-ROW('Durée formacode'!$B$2)+1),
ROWS($N$13:N21))),
"")</f>
        <v/>
      </c>
      <c r="AL31" s="26" t="str">
        <f>IF(AK31="","",MAX(INDEX('Durée formacode'!$C$2:$Z$200,
         MATCH(AK31,'Durée formacode'!$B$2:$B$200,0),
         MATCH($J$13,'Durée formacode'!$C$1:$Z$1,0))-INDEX('Durée formacode'!$C$2:$Z$200,
         MATCH(AK31,'Durée formacode'!$B$2:$B$200,0),
         MATCH($B$4,'Durée formacode'!$C$1:$Z$1,0)),0))</f>
        <v/>
      </c>
      <c r="AM31" s="26" t="str">
        <f>IF(AN31="","",_xlfn.XLOOKUP(AN31,Formacode!A:A,Formacode!B:B,0,1))</f>
        <v/>
      </c>
      <c r="AN31" s="28" t="str" cm="1">
        <f t="array" ref="AN31">IFERROR(INDEX('Durée formacode'!$B$2:$B$200,
SMALL(IF((NOT(ISNUMBER(INDEX('Durée formacode'!$C$2:$AA$200,,
MATCH('Métiers passerelles'!$B$4,'Durée formacode'!$C$1:$AA$1,0)))))*(ISNUMBER(INDEX('Durée formacode'!$C$2:$AA$200,,
MATCH('Métiers passerelles'!$J$13,'Durée formacode'!$C$1:$AA$1,0)))),
ROW('Durée formacode'!$B$2:$B$200)-ROW('Durée formacode'!$B$2)+1),
ROWS($N$13:N21))),
"")</f>
        <v/>
      </c>
      <c r="AO31" s="28" t="str">
        <f>IFERROR(IF(AN31="","",
IF(INDEX('Durée formacode'!$C$2:$Z$200,
      MATCH(AN31,'Durée formacode'!$B$2:$B$200,0),
      MATCH($B$4,'Durée formacode'!$C$1:$Z$1,0))="",
INDEX('Durée formacode'!$C$2:$Z$200,
      MATCH(AN31,'Durée formacode'!$B$2:$B$200,0),
      MATCH($J$13,'Durée formacode'!$C$1:$Z$1,0)),
"")),
"")</f>
        <v/>
      </c>
    </row>
    <row r="32" spans="1:41">
      <c r="A32" s="64" t="str">
        <v>Opérateur(trice) de transformation des viandes</v>
      </c>
      <c r="B32" s="65" cm="1">
        <f t="array" ref="B32">SUMPRODUCT((IFERROR(1*INDEX('Durée formacode'!$C$2:$AE$44,0,MATCH($B$4,'Durée formacode'!$C$1:$AE$1,0)),0)&gt;0)*(IFERROR(1*INDEX('Durée formacode'!$C$2:$AE$44,0,MATCH($A32,'Durée formacode'!$C$1:$AE$1,0)),0)&gt;0))</f>
        <v>2</v>
      </c>
      <c r="C32" s="65">
        <f>IFERROR(INDEX('Différence formation'!$B$2:$AC$199,
MATCH($A32,'Différence formation'!$A$2:$A$99,0),
MATCH($B$4,'Différence formation'!$B$1:$AD$1,0)),
"")</f>
        <v>802</v>
      </c>
      <c r="D32" s="66">
        <f>IFERROR(INDEX('Degré élargissement'!$B$2:$AC$199,
MATCH($A32,'Degré élargissement'!$A$2:$A$199,0),
MATCH($B$4,'Degré élargissement'!$B$1:$AC$1,0)),
"")</f>
        <v>0</v>
      </c>
      <c r="E32" s="63">
        <f t="shared" si="0"/>
        <v>0</v>
      </c>
      <c r="S32" s="18"/>
      <c r="T32" s="26" t="str">
        <f>IF(U32="","",_xlfn.XLOOKUP(U32,Formacode!A:A,Formacode!B:B,0,1))</f>
        <v/>
      </c>
      <c r="U32" s="28" t="str" cm="1">
        <f t="array" ref="U32">IFERROR(INDEX('Durée formacode'!$B$2:$B$200,
SMALL(IF((ISNUMBER(INDEX('Durée formacode'!$C$2:$AA$200,,
MATCH('Métiers passerelles'!$B$4,'Durée formacode'!$C$1:$AA$1,0))))*(ISNUMBER(INDEX('Durée formacode'!$C$2:$AA$200,,
MATCH('Métiers passerelles'!$J$11,'Durée formacode'!$C$1:$AA$1,0)))),
ROW('Durée formacode'!$B$2:$B$200)-ROW('Durée formacode'!$B$2)+1),
ROWS($N$11:N20))),
"")</f>
        <v/>
      </c>
      <c r="V32" s="35" t="str">
        <f>IF(U32="","",MAX(INDEX('Durée formacode'!$C$2:$Z$200,
         MATCH(U32,'Durée formacode'!$B$2:$B$200,0),
         MATCH($J$11,'Durée formacode'!$C$1:$Z$1,0))-INDEX('Durée formacode'!$C$2:$Z$200,
         MATCH(U32,'Durée formacode'!$B$2:$B$200,0),
         MATCH($B$4,'Durée formacode'!$C$1:$Z$1,0)),0))</f>
        <v/>
      </c>
      <c r="W32" s="26" t="str">
        <f>IF(X32="","",_xlfn.XLOOKUP(X32,Formacode!A:A,Formacode!B:B,0,1))</f>
        <v/>
      </c>
      <c r="X32" s="28" t="str" cm="1">
        <f t="array" ref="X32">IFERROR(INDEX('Durée formacode'!$B$2:$B$200,
SMALL(IF((NOT(ISNUMBER(INDEX('Durée formacode'!$C$2:$AA$200,,
MATCH('Métiers passerelles'!$B$4,'Durée formacode'!$C$1:$AA$1,0)))))*(ISNUMBER(INDEX('Durée formacode'!$C$2:$AA$200,,
MATCH('Métiers passerelles'!$J$11,'Durée formacode'!$C$1:$AA$1,0)))),
ROW('Durée formacode'!$B$2:$B$200)-ROW('Durée formacode'!$B$2)+1),
ROWS($N$11:N20))),
"")</f>
        <v/>
      </c>
      <c r="Y32" s="28" t="str">
        <f>IFERROR(IF(X32="","",
IF(INDEX('Durée formacode'!$C$2:$Z$200,
      MATCH(X32,'Durée formacode'!$B$2:$B$200,0),
      MATCH($B$4,'Durée formacode'!$C$1:$Z$1,0))="",
INDEX('Durée formacode'!$C$2:$Z$200,
      MATCH(X32,'Durée formacode'!$B$2:$B$200,0),
      MATCH($J$11,'Durée formacode'!$C$1:$Z$1,0)),
"")),
"")</f>
        <v/>
      </c>
      <c r="AA32" s="18"/>
      <c r="AB32" s="26" t="str">
        <f>IF(AC32="","",_xlfn.XLOOKUP(AC32,Formacode!A:A,Formacode!B:B,0,1))</f>
        <v/>
      </c>
      <c r="AC32" s="28" t="str" cm="1">
        <f t="array" ref="AC32">IFERROR(INDEX('Durée formacode'!$B$2:$B$200,
SMALL(IF((ISNUMBER(INDEX('Durée formacode'!$C$2:$AA$200,,
MATCH('Métiers passerelles'!$B$4,'Durée formacode'!$C$1:$AA$1,0))))*(ISNUMBER(INDEX('Durée formacode'!$C$2:$AA$200,,
MATCH('Métiers passerelles'!$J$12,'Durée formacode'!$C$1:$AA$1,0)))),
ROW('Durée formacode'!$B$2:$B$200)-ROW('Durée formacode'!$B$2)+1),
ROWS($N$12:N21))),
"")</f>
        <v/>
      </c>
      <c r="AD32" s="26" t="str">
        <f>IF(AC32="","",MAX(INDEX('Durée formacode'!$C$2:$Z$200,
         MATCH(AC32,'Durée formacode'!$B$2:$B$200,0),
         MATCH($J$12,'Durée formacode'!$C$1:$Z$1,0))-INDEX('Durée formacode'!$C$2:$Z$200,
         MATCH(AC32,'Durée formacode'!$B$2:$B$200,0),
         MATCH($B$4,'Durée formacode'!$C$1:$Z$1,0)),0))</f>
        <v/>
      </c>
      <c r="AE32" s="26" t="str">
        <f>IF(AF32="","",_xlfn.XLOOKUP(AF32,Formacode!A:A,Formacode!B:B,0,1))</f>
        <v/>
      </c>
      <c r="AF32" s="28" t="str" cm="1">
        <f t="array" ref="AF32">IFERROR(INDEX('Durée formacode'!$B$2:$B$200,
SMALL(IF((NOT(ISNUMBER(INDEX('Durée formacode'!$C$2:$AA$200,,
MATCH('Métiers passerelles'!$B$4,'Durée formacode'!$C$1:$AA$1,0)))))*(ISNUMBER(INDEX('Durée formacode'!$C$2:$AA$200,,
MATCH('Métiers passerelles'!$J$12,'Durée formacode'!$C$1:$AA$1,0)))),
ROW('Durée formacode'!$B$2:$B$200)-ROW('Durée formacode'!$B$2)+1),
ROWS($N$12:N21))),
"")</f>
        <v/>
      </c>
      <c r="AG32" s="28" t="str">
        <f>IFERROR(IF(AF32="","",
IF(INDEX('Durée formacode'!$C$2:$Z$200,
      MATCH(AF32,'Durée formacode'!$B$2:$B$200,0),
      MATCH($B$4,'Durée formacode'!$C$1:$Z$1,0))="",
INDEX('Durée formacode'!$C$2:$Z$200,
      MATCH(AF32,'Durée formacode'!$B$2:$B$200,0),
      MATCH($J$12,'Durée formacode'!$C$1:$Z$1,0)),
"")),
"")</f>
        <v/>
      </c>
      <c r="AI32" s="18"/>
      <c r="AJ32" s="26" t="str">
        <f>IF(AK32="","",_xlfn.XLOOKUP(AK32,Formacode!A:A,Formacode!B:B,0,1))</f>
        <v/>
      </c>
      <c r="AK32" s="28" t="str" cm="1">
        <f t="array" ref="AK32">IFERROR(INDEX('Durée formacode'!$B$2:$B$200,
SMALL(IF((ISNUMBER(INDEX('Durée formacode'!$C$2:$AA$200,,
MATCH('Métiers passerelles'!$B$4,'Durée formacode'!$C$1:$AA$1,0))))*(ISNUMBER(INDEX('Durée formacode'!$C$2:$AA$200,,
MATCH('Métiers passerelles'!$J$13,'Durée formacode'!$C$1:$AA$1,0)))),
ROW('Durée formacode'!$B$2:$B$200)-ROW('Durée formacode'!$B$2)+1),
ROWS($N$13:N22))),
"")</f>
        <v/>
      </c>
      <c r="AL32" s="26" t="str">
        <f>IF(AK32="","",MAX(INDEX('Durée formacode'!$C$2:$Z$200,
         MATCH(AK32,'Durée formacode'!$B$2:$B$200,0),
         MATCH($J$13,'Durée formacode'!$C$1:$Z$1,0))-INDEX('Durée formacode'!$C$2:$Z$200,
         MATCH(AK32,'Durée formacode'!$B$2:$B$200,0),
         MATCH($B$4,'Durée formacode'!$C$1:$Z$1,0)),0))</f>
        <v/>
      </c>
      <c r="AM32" s="26" t="str">
        <f>IF(AN32="","",_xlfn.XLOOKUP(AN32,Formacode!A:A,Formacode!B:B,0,1))</f>
        <v/>
      </c>
      <c r="AN32" s="28" t="str" cm="1">
        <f t="array" ref="AN32">IFERROR(INDEX('Durée formacode'!$B$2:$B$200,
SMALL(IF((NOT(ISNUMBER(INDEX('Durée formacode'!$C$2:$AA$200,,
MATCH('Métiers passerelles'!$B$4,'Durée formacode'!$C$1:$AA$1,0)))))*(ISNUMBER(INDEX('Durée formacode'!$C$2:$AA$200,,
MATCH('Métiers passerelles'!$J$13,'Durée formacode'!$C$1:$AA$1,0)))),
ROW('Durée formacode'!$B$2:$B$200)-ROW('Durée formacode'!$B$2)+1),
ROWS($N$13:N22))),
"")</f>
        <v/>
      </c>
      <c r="AO32" s="28" t="str">
        <f>IFERROR(IF(AN32="","",
IF(INDEX('Durée formacode'!$C$2:$Z$200,
      MATCH(AN32,'Durée formacode'!$B$2:$B$200,0),
      MATCH($B$4,'Durée formacode'!$C$1:$Z$1,0))="",
INDEX('Durée formacode'!$C$2:$Z$200,
      MATCH(AN32,'Durée formacode'!$B$2:$B$200,0),
      MATCH($J$13,'Durée formacode'!$C$1:$Z$1,0)),
"")),
"")</f>
        <v/>
      </c>
    </row>
    <row r="33" spans="1:41">
      <c r="A33" s="64" t="str">
        <v>Fromager(ère) industriel(le)</v>
      </c>
      <c r="B33" s="65" cm="1">
        <f t="array" ref="B33">SUMPRODUCT((IFERROR(1*INDEX('Durée formacode'!$C$2:$AE$44,0,MATCH($B$4,'Durée formacode'!$C$1:$AE$1,0)),0)&gt;0)*(IFERROR(1*INDEX('Durée formacode'!$C$2:$AE$44,0,MATCH($A33,'Durée formacode'!$C$1:$AE$1,0)),0)&gt;0))</f>
        <v>2</v>
      </c>
      <c r="C33" s="65">
        <f>IFERROR(INDEX('Différence formation'!$B$2:$AC$199,
MATCH($A33,'Différence formation'!$A$2:$A$99,0),
MATCH($B$4,'Différence formation'!$B$1:$AD$1,0)),
"")</f>
        <v>763</v>
      </c>
      <c r="D33" s="66">
        <f>IFERROR(INDEX('Degré élargissement'!$B$2:$AC$199,
MATCH($A33,'Degré élargissement'!$A$2:$A$199,0),
MATCH($B$4,'Degré élargissement'!$B$1:$AC$1,0)),
"")</f>
        <v>0</v>
      </c>
      <c r="E33" s="63">
        <f t="shared" si="0"/>
        <v>0</v>
      </c>
      <c r="S33" s="18"/>
      <c r="T33" s="26" t="str">
        <f>IF(U33="","",_xlfn.XLOOKUP(U33,Formacode!A:A,Formacode!B:B,0,1))</f>
        <v/>
      </c>
      <c r="U33" s="28" t="str" cm="1">
        <f t="array" ref="U33">IFERROR(INDEX('Durée formacode'!$B$2:$B$200,
SMALL(IF((ISNUMBER(INDEX('Durée formacode'!$C$2:$AA$200,,
MATCH('Métiers passerelles'!$B$4,'Durée formacode'!$C$1:$AA$1,0))))*(ISNUMBER(INDEX('Durée formacode'!$C$2:$AA$200,,
MATCH('Métiers passerelles'!$J$11,'Durée formacode'!$C$1:$AA$1,0)))),
ROW('Durée formacode'!$B$2:$B$200)-ROW('Durée formacode'!$B$2)+1),
ROWS($N$11:N21))),
"")</f>
        <v/>
      </c>
      <c r="V33" s="35" t="str">
        <f>IF(U33="","",MAX(INDEX('Durée formacode'!$C$2:$Z$200,
         MATCH(U33,'Durée formacode'!$B$2:$B$200,0),
         MATCH($J$11,'Durée formacode'!$C$1:$Z$1,0))-INDEX('Durée formacode'!$C$2:$Z$200,
         MATCH(U33,'Durée formacode'!$B$2:$B$200,0),
         MATCH($B$4,'Durée formacode'!$C$1:$Z$1,0)),0))</f>
        <v/>
      </c>
      <c r="W33" s="26" t="str">
        <f>IF(X33="","",_xlfn.XLOOKUP(X33,Formacode!A:A,Formacode!B:B,0,1))</f>
        <v/>
      </c>
      <c r="X33" s="28" t="str" cm="1">
        <f t="array" ref="X33">IFERROR(INDEX('Durée formacode'!$B$2:$B$200,
SMALL(IF((NOT(ISNUMBER(INDEX('Durée formacode'!$C$2:$AA$200,,
MATCH('Métiers passerelles'!$B$4,'Durée formacode'!$C$1:$AA$1,0)))))*(ISNUMBER(INDEX('Durée formacode'!$C$2:$AA$200,,
MATCH('Métiers passerelles'!$J$11,'Durée formacode'!$C$1:$AA$1,0)))),
ROW('Durée formacode'!$B$2:$B$200)-ROW('Durée formacode'!$B$2)+1),
ROWS($N$11:N21))),
"")</f>
        <v/>
      </c>
      <c r="Y33" s="28" t="str">
        <f>IFERROR(IF(X33="","",
IF(INDEX('Durée formacode'!$C$2:$Z$200,
      MATCH(X33,'Durée formacode'!$B$2:$B$200,0),
      MATCH($B$4,'Durée formacode'!$C$1:$Z$1,0))="",
INDEX('Durée formacode'!$C$2:$Z$200,
      MATCH(X33,'Durée formacode'!$B$2:$B$200,0),
      MATCH($J$11,'Durée formacode'!$C$1:$Z$1,0)),
"")),
"")</f>
        <v/>
      </c>
      <c r="AA33" s="18"/>
      <c r="AB33" s="26" t="str">
        <f>IF(AC33="","",_xlfn.XLOOKUP(AC33,Formacode!A:A,Formacode!B:B,0,1))</f>
        <v/>
      </c>
      <c r="AC33" s="28" t="str" cm="1">
        <f t="array" ref="AC33">IFERROR(INDEX('Durée formacode'!$B$2:$B$200,
SMALL(IF((ISNUMBER(INDEX('Durée formacode'!$C$2:$AA$200,,
MATCH('Métiers passerelles'!$B$4,'Durée formacode'!$C$1:$AA$1,0))))*(ISNUMBER(INDEX('Durée formacode'!$C$2:$AA$200,,
MATCH('Métiers passerelles'!$J$12,'Durée formacode'!$C$1:$AA$1,0)))),
ROW('Durée formacode'!$B$2:$B$200)-ROW('Durée formacode'!$B$2)+1),
ROWS($N$12:N22))),
"")</f>
        <v/>
      </c>
      <c r="AD33" s="26" t="str">
        <f>IF(AC33="","",MAX(INDEX('Durée formacode'!$C$2:$Z$200,
         MATCH(AC33,'Durée formacode'!$B$2:$B$200,0),
         MATCH($J$12,'Durée formacode'!$C$1:$Z$1,0))-INDEX('Durée formacode'!$C$2:$Z$200,
         MATCH(AC33,'Durée formacode'!$B$2:$B$200,0),
         MATCH($B$4,'Durée formacode'!$C$1:$Z$1,0)),0))</f>
        <v/>
      </c>
      <c r="AE33" s="26" t="str">
        <f>IF(AF33="","",_xlfn.XLOOKUP(AF33,Formacode!A:A,Formacode!B:B,0,1))</f>
        <v/>
      </c>
      <c r="AF33" s="28" t="str" cm="1">
        <f t="array" ref="AF33">IFERROR(INDEX('Durée formacode'!$B$2:$B$200,
SMALL(IF((NOT(ISNUMBER(INDEX('Durée formacode'!$C$2:$AA$200,,
MATCH('Métiers passerelles'!$B$4,'Durée formacode'!$C$1:$AA$1,0)))))*(ISNUMBER(INDEX('Durée formacode'!$C$2:$AA$200,,
MATCH('Métiers passerelles'!$J$12,'Durée formacode'!$C$1:$AA$1,0)))),
ROW('Durée formacode'!$B$2:$B$200)-ROW('Durée formacode'!$B$2)+1),
ROWS($N$12:N22))),
"")</f>
        <v/>
      </c>
      <c r="AG33" s="28" t="str">
        <f>IFERROR(IF(AF33="","",
IF(INDEX('Durée formacode'!$C$2:$Z$200,
      MATCH(AF33,'Durée formacode'!$B$2:$B$200,0),
      MATCH($B$4,'Durée formacode'!$C$1:$Z$1,0))="",
INDEX('Durée formacode'!$C$2:$Z$200,
      MATCH(AF33,'Durée formacode'!$B$2:$B$200,0),
      MATCH($J$12,'Durée formacode'!$C$1:$Z$1,0)),
"")),
"")</f>
        <v/>
      </c>
      <c r="AI33" s="18"/>
      <c r="AJ33" s="26" t="str">
        <f>IF(AK33="","",_xlfn.XLOOKUP(AK33,Formacode!A:A,Formacode!B:B,0,1))</f>
        <v/>
      </c>
      <c r="AK33" s="28" t="str" cm="1">
        <f t="array" ref="AK33">IFERROR(INDEX('Durée formacode'!$B$2:$B$200,
SMALL(IF((ISNUMBER(INDEX('Durée formacode'!$C$2:$AA$200,,
MATCH('Métiers passerelles'!$B$4,'Durée formacode'!$C$1:$AA$1,0))))*(ISNUMBER(INDEX('Durée formacode'!$C$2:$AA$200,,
MATCH('Métiers passerelles'!$J$13,'Durée formacode'!$C$1:$AA$1,0)))),
ROW('Durée formacode'!$B$2:$B$200)-ROW('Durée formacode'!$B$2)+1),
ROWS($N$13:N23))),
"")</f>
        <v/>
      </c>
      <c r="AL33" s="26" t="str">
        <f>IF(AK33="","",MAX(INDEX('Durée formacode'!$C$2:$Z$200,
         MATCH(AK33,'Durée formacode'!$B$2:$B$200,0),
         MATCH($J$13,'Durée formacode'!$C$1:$Z$1,0))-INDEX('Durée formacode'!$C$2:$Z$200,
         MATCH(AK33,'Durée formacode'!$B$2:$B$200,0),
         MATCH($B$4,'Durée formacode'!$C$1:$Z$1,0)),0))</f>
        <v/>
      </c>
      <c r="AM33" s="26" t="str">
        <f>IF(AN33="","",_xlfn.XLOOKUP(AN33,Formacode!A:A,Formacode!B:B,0,1))</f>
        <v/>
      </c>
      <c r="AN33" s="28" t="str" cm="1">
        <f t="array" ref="AN33">IFERROR(INDEX('Durée formacode'!$B$2:$B$200,
SMALL(IF((NOT(ISNUMBER(INDEX('Durée formacode'!$C$2:$AA$200,,
MATCH('Métiers passerelles'!$B$4,'Durée formacode'!$C$1:$AA$1,0)))))*(ISNUMBER(INDEX('Durée formacode'!$C$2:$AA$200,,
MATCH('Métiers passerelles'!$J$13,'Durée formacode'!$C$1:$AA$1,0)))),
ROW('Durée formacode'!$B$2:$B$200)-ROW('Durée formacode'!$B$2)+1),
ROWS($N$13:N23))),
"")</f>
        <v/>
      </c>
      <c r="AO33" s="28" t="str">
        <f>IFERROR(IF(AN33="","",
IF(INDEX('Durée formacode'!$C$2:$Z$200,
      MATCH(AN33,'Durée formacode'!$B$2:$B$200,0),
      MATCH($B$4,'Durée formacode'!$C$1:$Z$1,0))="",
INDEX('Durée formacode'!$C$2:$Z$200,
      MATCH(AN33,'Durée formacode'!$B$2:$B$200,0),
      MATCH($J$13,'Durée formacode'!$C$1:$Z$1,0)),
"")),
"")</f>
        <v/>
      </c>
    </row>
    <row r="34" spans="1:41">
      <c r="A34" s="64" t="str">
        <v>Opérateur(trice) de préparation de poissons et de produits de la mer</v>
      </c>
      <c r="B34" s="65" cm="1">
        <f t="array" ref="B34">SUMPRODUCT((IFERROR(1*INDEX('Durée formacode'!$C$2:$AE$44,0,MATCH($B$4,'Durée formacode'!$C$1:$AE$1,0)),0)&gt;0)*(IFERROR(1*INDEX('Durée formacode'!$C$2:$AE$44,0,MATCH($A34,'Durée formacode'!$C$1:$AE$1,0)),0)&gt;0))</f>
        <v>2</v>
      </c>
      <c r="C34" s="65">
        <f>IFERROR(INDEX('Différence formation'!$B$2:$AC$199,
MATCH($A34,'Différence formation'!$A$2:$A$99,0),
MATCH($B$4,'Différence formation'!$B$1:$AD$1,0)),
"")</f>
        <v>790</v>
      </c>
      <c r="D34" s="66">
        <f>IFERROR(INDEX('Degré élargissement'!$B$2:$AC$199,
MATCH($A34,'Degré élargissement'!$A$2:$A$199,0),
MATCH($B$4,'Degré élargissement'!$B$1:$AC$1,0)),
"")</f>
        <v>0</v>
      </c>
      <c r="E34" s="63">
        <f t="shared" si="0"/>
        <v>0</v>
      </c>
      <c r="S34" s="20"/>
      <c r="T34" s="26" t="str">
        <f>IF(U34="","",_xlfn.XLOOKUP(U34,Formacode!A:A,Formacode!B:B,0,1))</f>
        <v/>
      </c>
      <c r="U34" s="28" t="str" cm="1">
        <f t="array" ref="U34">IFERROR(INDEX('Durée formacode'!$B$2:$B$200,
SMALL(IF((ISNUMBER(INDEX('Durée formacode'!$C$2:$AA$200,,
MATCH('Métiers passerelles'!$B$4,'Durée formacode'!$C$1:$AA$1,0))))*(ISNUMBER(INDEX('Durée formacode'!$C$2:$AA$200,,
MATCH('Métiers passerelles'!$J$11,'Durée formacode'!$C$1:$AA$1,0)))),
ROW('Durée formacode'!$B$2:$B$200)-ROW('Durée formacode'!$B$2)+1),
ROWS($N$11:N22))),
"")</f>
        <v/>
      </c>
      <c r="V34" s="35" t="str">
        <f>IF(U34="","",MAX(INDEX('Durée formacode'!$C$2:$Z$200,
         MATCH(U34,'Durée formacode'!$B$2:$B$200,0),
         MATCH($J$11,'Durée formacode'!$C$1:$Z$1,0))-INDEX('Durée formacode'!$C$2:$Z$200,
         MATCH(U34,'Durée formacode'!$B$2:$B$200,0),
         MATCH($B$4,'Durée formacode'!$C$1:$Z$1,0)),0))</f>
        <v/>
      </c>
      <c r="W34" s="26" t="str">
        <f>IF(X34="","",_xlfn.XLOOKUP(X34,Formacode!A:A,Formacode!B:B,0,1))</f>
        <v/>
      </c>
      <c r="X34" s="28" t="str" cm="1">
        <f t="array" ref="X34">IFERROR(INDEX('Durée formacode'!$B$2:$B$200,
SMALL(IF((NOT(ISNUMBER(INDEX('Durée formacode'!$C$2:$AA$200,,
MATCH('Métiers passerelles'!$B$4,'Durée formacode'!$C$1:$AA$1,0)))))*(ISNUMBER(INDEX('Durée formacode'!$C$2:$AA$200,,
MATCH('Métiers passerelles'!$J$11,'Durée formacode'!$C$1:$AA$1,0)))),
ROW('Durée formacode'!$B$2:$B$200)-ROW('Durée formacode'!$B$2)+1),
ROWS($N$11:N22))),
"")</f>
        <v/>
      </c>
      <c r="Y34" s="28" t="str">
        <f>IFERROR(IF(X34="","",
IF(INDEX('Durée formacode'!$C$2:$Z$200,
      MATCH(X34,'Durée formacode'!$B$2:$B$200,0),
      MATCH($B$4,'Durée formacode'!$C$1:$Z$1,0))="",
INDEX('Durée formacode'!$C$2:$Z$200,
      MATCH(X34,'Durée formacode'!$B$2:$B$200,0),
      MATCH($J$11,'Durée formacode'!$C$1:$Z$1,0)),
"")),
"")</f>
        <v/>
      </c>
      <c r="AA34" s="20"/>
      <c r="AB34" s="26" t="str">
        <f>IF(AC34="","",_xlfn.XLOOKUP(AC34,Formacode!A:A,Formacode!B:B,0,1))</f>
        <v/>
      </c>
      <c r="AC34" s="28" t="str" cm="1">
        <f t="array" ref="AC34">IFERROR(INDEX('Durée formacode'!$B$2:$B$200,
SMALL(IF((ISNUMBER(INDEX('Durée formacode'!$C$2:$AA$200,,
MATCH('Métiers passerelles'!$B$4,'Durée formacode'!$C$1:$AA$1,0))))*(ISNUMBER(INDEX('Durée formacode'!$C$2:$AA$200,,
MATCH('Métiers passerelles'!$J$12,'Durée formacode'!$C$1:$AA$1,0)))),
ROW('Durée formacode'!$B$2:$B$200)-ROW('Durée formacode'!$B$2)+1),
ROWS($N$12:N23))),
"")</f>
        <v/>
      </c>
      <c r="AD34" s="26" t="str">
        <f>IF(AC34="","",MAX(INDEX('Durée formacode'!$C$2:$Z$200,
         MATCH(AC34,'Durée formacode'!$B$2:$B$200,0),
         MATCH($J$12,'Durée formacode'!$C$1:$Z$1,0))-INDEX('Durée formacode'!$C$2:$Z$200,
         MATCH(AC34,'Durée formacode'!$B$2:$B$200,0),
         MATCH($B$4,'Durée formacode'!$C$1:$Z$1,0)),0))</f>
        <v/>
      </c>
      <c r="AE34" s="26" t="str">
        <f>IF(AF34="","",_xlfn.XLOOKUP(AF34,Formacode!A:A,Formacode!B:B,0,1))</f>
        <v/>
      </c>
      <c r="AF34" s="28" t="str" cm="1">
        <f t="array" ref="AF34">IFERROR(INDEX('Durée formacode'!$B$2:$B$200,
SMALL(IF((NOT(ISNUMBER(INDEX('Durée formacode'!$C$2:$AA$200,,
MATCH('Métiers passerelles'!$B$4,'Durée formacode'!$C$1:$AA$1,0)))))*(ISNUMBER(INDEX('Durée formacode'!$C$2:$AA$200,,
MATCH('Métiers passerelles'!$J$12,'Durée formacode'!$C$1:$AA$1,0)))),
ROW('Durée formacode'!$B$2:$B$200)-ROW('Durée formacode'!$B$2)+1),
ROWS($N$12:N23))),
"")</f>
        <v/>
      </c>
      <c r="AG34" s="28" t="str">
        <f>IFERROR(IF(AF34="","",
IF(INDEX('Durée formacode'!$C$2:$Z$200,
      MATCH(AF34,'Durée formacode'!$B$2:$B$200,0),
      MATCH($B$4,'Durée formacode'!$C$1:$Z$1,0))="",
INDEX('Durée formacode'!$C$2:$Z$200,
      MATCH(AF34,'Durée formacode'!$B$2:$B$200,0),
      MATCH($J$12,'Durée formacode'!$C$1:$Z$1,0)),
"")),
"")</f>
        <v/>
      </c>
      <c r="AI34" s="20"/>
      <c r="AJ34" s="26" t="str">
        <f>IF(AK34="","",_xlfn.XLOOKUP(AK34,Formacode!A:A,Formacode!B:B,0,1))</f>
        <v/>
      </c>
      <c r="AK34" s="28" t="str" cm="1">
        <f t="array" ref="AK34">IFERROR(INDEX('Durée formacode'!$B$2:$B$200,
SMALL(IF((ISNUMBER(INDEX('Durée formacode'!$C$2:$AA$200,,
MATCH('Métiers passerelles'!$B$4,'Durée formacode'!$C$1:$AA$1,0))))*(ISNUMBER(INDEX('Durée formacode'!$C$2:$AA$200,,
MATCH('Métiers passerelles'!$J$13,'Durée formacode'!$C$1:$AA$1,0)))),
ROW('Durée formacode'!$B$2:$B$200)-ROW('Durée formacode'!$B$2)+1),
ROWS($N$13:N24))),
"")</f>
        <v/>
      </c>
      <c r="AL34" s="26" t="str">
        <f>IF(AK34="","",MAX(INDEX('Durée formacode'!$C$2:$Z$200,
         MATCH(AK34,'Durée formacode'!$B$2:$B$200,0),
         MATCH($J$13,'Durée formacode'!$C$1:$Z$1,0))-INDEX('Durée formacode'!$C$2:$Z$200,
         MATCH(AK34,'Durée formacode'!$B$2:$B$200,0),
         MATCH($B$4,'Durée formacode'!$C$1:$Z$1,0)),0))</f>
        <v/>
      </c>
      <c r="AM34" s="26" t="str">
        <f>IF(AN34="","",_xlfn.XLOOKUP(AN34,Formacode!A:A,Formacode!B:B,0,1))</f>
        <v/>
      </c>
      <c r="AN34" s="28" t="str" cm="1">
        <f t="array" ref="AN34">IFERROR(INDEX('Durée formacode'!$B$2:$B$200,
SMALL(IF((NOT(ISNUMBER(INDEX('Durée formacode'!$C$2:$AA$200,,
MATCH('Métiers passerelles'!$B$4,'Durée formacode'!$C$1:$AA$1,0)))))*(ISNUMBER(INDEX('Durée formacode'!$C$2:$AA$200,,
MATCH('Métiers passerelles'!$J$13,'Durée formacode'!$C$1:$AA$1,0)))),
ROW('Durée formacode'!$B$2:$B$200)-ROW('Durée formacode'!$B$2)+1),
ROWS($N$13:N24))),
"")</f>
        <v/>
      </c>
      <c r="AO34" s="28" t="str">
        <f>IFERROR(IF(AN34="","",
IF(INDEX('Durée formacode'!$C$2:$Z$200,
      MATCH(AN34,'Durée formacode'!$B$2:$B$200,0),
      MATCH($B$4,'Durée formacode'!$C$1:$Z$1,0))="",
INDEX('Durée formacode'!$C$2:$Z$200,
      MATCH(AN34,'Durée formacode'!$B$2:$B$200,0),
      MATCH($J$13,'Durée formacode'!$C$1:$Z$1,0)),
"")),
"")</f>
        <v/>
      </c>
    </row>
    <row r="35" spans="1:41">
      <c r="A35" s="64" t="str">
        <v>Mécanicien(ne) de maintenance industrielle</v>
      </c>
      <c r="B35" s="65" cm="1">
        <f t="array" ref="B35">SUMPRODUCT((IFERROR(1*INDEX('Durée formacode'!$C$2:$AE$44,0,MATCH($B$4,'Durée formacode'!$C$1:$AE$1,0)),0)&gt;0)*(IFERROR(1*INDEX('Durée formacode'!$C$2:$AE$44,0,MATCH($A35,'Durée formacode'!$C$1:$AE$1,0)),0)&gt;0))</f>
        <v>1</v>
      </c>
      <c r="C35" s="65">
        <f>IFERROR(INDEX('Différence formation'!$B$2:$AC$199,
MATCH($A35,'Différence formation'!$A$2:$A$99,0),
MATCH($B$4,'Différence formation'!$B$1:$AD$1,0)),
"")</f>
        <v>1540</v>
      </c>
      <c r="D35" s="66">
        <f>IFERROR(INDEX('Degré élargissement'!$B$2:$AC$199,
MATCH($A35,'Degré élargissement'!$A$2:$A$199,0),
MATCH($B$4,'Degré élargissement'!$B$1:$AC$1,0)),
"")</f>
        <v>1.8333333333333335</v>
      </c>
      <c r="E35" s="63">
        <f t="shared" si="0"/>
        <v>1</v>
      </c>
      <c r="S35" s="20"/>
      <c r="T35" s="26" t="str">
        <f>IF(U35="","",_xlfn.XLOOKUP(U35,Formacode!A:A,Formacode!B:B,0,1))</f>
        <v/>
      </c>
      <c r="U35" s="28" t="str" cm="1">
        <f t="array" ref="U35">IFERROR(INDEX('Durée formacode'!$B$2:$B$200,
SMALL(IF((ISNUMBER(INDEX('Durée formacode'!$C$2:$AA$200,,
MATCH('Métiers passerelles'!$B$4,'Durée formacode'!$C$1:$AA$1,0))))*(ISNUMBER(INDEX('Durée formacode'!$C$2:$AA$200,,
MATCH('Métiers passerelles'!$J$11,'Durée formacode'!$C$1:$AA$1,0)))),
ROW('Durée formacode'!$B$2:$B$200)-ROW('Durée formacode'!$B$2)+1),
ROWS($N$11:N23))),
"")</f>
        <v/>
      </c>
      <c r="V35" s="35" t="str">
        <f>IF(U35="","",MAX(INDEX('Durée formacode'!$C$2:$Z$200,
         MATCH(U35,'Durée formacode'!$B$2:$B$200,0),
         MATCH($J$11,'Durée formacode'!$C$1:$Z$1,0))-INDEX('Durée formacode'!$C$2:$Z$200,
         MATCH(U35,'Durée formacode'!$B$2:$B$200,0),
         MATCH($B$4,'Durée formacode'!$C$1:$Z$1,0)),0))</f>
        <v/>
      </c>
      <c r="W35" s="26" t="str">
        <f>IF(X35="","",_xlfn.XLOOKUP(X35,Formacode!A:A,Formacode!B:B,0,1))</f>
        <v/>
      </c>
      <c r="X35" s="28" t="str" cm="1">
        <f t="array" ref="X35">IFERROR(INDEX('Durée formacode'!$B$2:$B$200,
SMALL(IF((NOT(ISNUMBER(INDEX('Durée formacode'!$C$2:$AA$200,,
MATCH('Métiers passerelles'!$B$4,'Durée formacode'!$C$1:$AA$1,0)))))*(ISNUMBER(INDEX('Durée formacode'!$C$2:$AA$200,,
MATCH('Métiers passerelles'!$J$11,'Durée formacode'!$C$1:$AA$1,0)))),
ROW('Durée formacode'!$B$2:$B$200)-ROW('Durée formacode'!$B$2)+1),
ROWS($N$11:N23))),
"")</f>
        <v/>
      </c>
      <c r="Y35" s="28" t="str">
        <f>IFERROR(IF(X35="","",
IF(INDEX('Durée formacode'!$C$2:$Z$200,
      MATCH(X35,'Durée formacode'!$B$2:$B$200,0),
      MATCH($B$4,'Durée formacode'!$C$1:$Z$1,0))="",
INDEX('Durée formacode'!$C$2:$Z$200,
      MATCH(X35,'Durée formacode'!$B$2:$B$200,0),
      MATCH($J$11,'Durée formacode'!$C$1:$Z$1,0)),
"")),
"")</f>
        <v/>
      </c>
      <c r="AA35" s="20"/>
      <c r="AB35" s="26" t="str">
        <f>IF(AC35="","",_xlfn.XLOOKUP(AC35,Formacode!A:A,Formacode!B:B,0,1))</f>
        <v/>
      </c>
      <c r="AC35" s="28" t="str" cm="1">
        <f t="array" ref="AC35">IFERROR(INDEX('Durée formacode'!$B$2:$B$200,
SMALL(IF((ISNUMBER(INDEX('Durée formacode'!$C$2:$AA$200,,
MATCH('Métiers passerelles'!$B$4,'Durée formacode'!$C$1:$AA$1,0))))*(ISNUMBER(INDEX('Durée formacode'!$C$2:$AA$200,,
MATCH('Métiers passerelles'!$J$12,'Durée formacode'!$C$1:$AA$1,0)))),
ROW('Durée formacode'!$B$2:$B$200)-ROW('Durée formacode'!$B$2)+1),
ROWS($N$12:N24))),
"")</f>
        <v/>
      </c>
      <c r="AD35" s="26" t="str">
        <f>IF(AC35="","",MAX(INDEX('Durée formacode'!$C$2:$Z$200,
         MATCH(AC35,'Durée formacode'!$B$2:$B$200,0),
         MATCH($J$12,'Durée formacode'!$C$1:$Z$1,0))-INDEX('Durée formacode'!$C$2:$Z$200,
         MATCH(AC35,'Durée formacode'!$B$2:$B$200,0),
         MATCH($B$4,'Durée formacode'!$C$1:$Z$1,0)),0))</f>
        <v/>
      </c>
      <c r="AE35" s="26" t="str">
        <f>IF(AF35="","",_xlfn.XLOOKUP(AF35,Formacode!A:A,Formacode!B:B,0,1))</f>
        <v/>
      </c>
      <c r="AF35" s="28" t="str" cm="1">
        <f t="array" ref="AF35">IFERROR(INDEX('Durée formacode'!$B$2:$B$200,
SMALL(IF((NOT(ISNUMBER(INDEX('Durée formacode'!$C$2:$AA$200,,
MATCH('Métiers passerelles'!$B$4,'Durée formacode'!$C$1:$AA$1,0)))))*(ISNUMBER(INDEX('Durée formacode'!$C$2:$AA$200,,
MATCH('Métiers passerelles'!$J$12,'Durée formacode'!$C$1:$AA$1,0)))),
ROW('Durée formacode'!$B$2:$B$200)-ROW('Durée formacode'!$B$2)+1),
ROWS($N$12:N24))),
"")</f>
        <v/>
      </c>
      <c r="AG35" s="28" t="str">
        <f>IFERROR(IF(AF35="","",
IF(INDEX('Durée formacode'!$C$2:$Z$200,
      MATCH(AF35,'Durée formacode'!$B$2:$B$200,0),
      MATCH($B$4,'Durée formacode'!$C$1:$Z$1,0))="",
INDEX('Durée formacode'!$C$2:$Z$200,
      MATCH(AF35,'Durée formacode'!$B$2:$B$200,0),
      MATCH($J$12,'Durée formacode'!$C$1:$Z$1,0)),
"")),
"")</f>
        <v/>
      </c>
      <c r="AI35" s="20"/>
      <c r="AJ35" s="26" t="str">
        <f>IF(AK35="","",_xlfn.XLOOKUP(AK35,Formacode!A:A,Formacode!B:B,0,1))</f>
        <v/>
      </c>
      <c r="AK35" s="28" t="str" cm="1">
        <f t="array" ref="AK35">IFERROR(INDEX('Durée formacode'!$B$2:$B$200,
SMALL(IF((ISNUMBER(INDEX('Durée formacode'!$C$2:$AA$200,,
MATCH('Métiers passerelles'!$B$4,'Durée formacode'!$C$1:$AA$1,0))))*(ISNUMBER(INDEX('Durée formacode'!$C$2:$AA$200,,
MATCH('Métiers passerelles'!$J$13,'Durée formacode'!$C$1:$AA$1,0)))),
ROW('Durée formacode'!$B$2:$B$200)-ROW('Durée formacode'!$B$2)+1),
ROWS($N$13:N25))),
"")</f>
        <v/>
      </c>
      <c r="AL35" s="26" t="str">
        <f>IF(AK35="","",MAX(INDEX('Durée formacode'!$C$2:$Z$200,
         MATCH(AK35,'Durée formacode'!$B$2:$B$200,0),
         MATCH($J$13,'Durée formacode'!$C$1:$Z$1,0))-INDEX('Durée formacode'!$C$2:$Z$200,
         MATCH(AK35,'Durée formacode'!$B$2:$B$200,0),
         MATCH($B$4,'Durée formacode'!$C$1:$Z$1,0)),0))</f>
        <v/>
      </c>
      <c r="AM35" s="26" t="str">
        <f>IF(AN35="","",_xlfn.XLOOKUP(AN35,Formacode!A:A,Formacode!B:B,0,1))</f>
        <v/>
      </c>
      <c r="AN35" s="28" t="str" cm="1">
        <f t="array" ref="AN35">IFERROR(INDEX('Durée formacode'!$B$2:$B$200,
SMALL(IF((NOT(ISNUMBER(INDEX('Durée formacode'!$C$2:$AA$200,,
MATCH('Métiers passerelles'!$B$4,'Durée formacode'!$C$1:$AA$1,0)))))*(ISNUMBER(INDEX('Durée formacode'!$C$2:$AA$200,,
MATCH('Métiers passerelles'!$J$13,'Durée formacode'!$C$1:$AA$1,0)))),
ROW('Durée formacode'!$B$2:$B$200)-ROW('Durée formacode'!$B$2)+1),
ROWS($N$13:N25))),
"")</f>
        <v/>
      </c>
      <c r="AO35" s="28" t="str">
        <f>IFERROR(IF(AN35="","",
IF(INDEX('Durée formacode'!$C$2:$Z$200,
      MATCH(AN35,'Durée formacode'!$B$2:$B$200,0),
      MATCH($B$4,'Durée formacode'!$C$1:$Z$1,0))="",
INDEX('Durée formacode'!$C$2:$Z$200,
      MATCH(AN35,'Durée formacode'!$B$2:$B$200,0),
      MATCH($J$13,'Durée formacode'!$C$1:$Z$1,0)),
"")),
"")</f>
        <v/>
      </c>
    </row>
    <row r="36" spans="1:41">
      <c r="A36" s="64" t="str">
        <v>Mécanicien(ne)-sertisseur(euse)</v>
      </c>
      <c r="B36" s="65" cm="1">
        <f t="array" ref="B36">SUMPRODUCT((IFERROR(1*INDEX('Durée formacode'!$C$2:$AE$44,0,MATCH($B$4,'Durée formacode'!$C$1:$AE$1,0)),0)&gt;0)*(IFERROR(1*INDEX('Durée formacode'!$C$2:$AE$44,0,MATCH($A36,'Durée formacode'!$C$1:$AE$1,0)),0)&gt;0))</f>
        <v>1</v>
      </c>
      <c r="C36" s="65">
        <f>IFERROR(INDEX('Différence formation'!$B$2:$AC$199,
MATCH($A36,'Différence formation'!$A$2:$A$99,0),
MATCH($B$4,'Différence formation'!$B$1:$AD$1,0)),
"")</f>
        <v>1610</v>
      </c>
      <c r="D36" s="66">
        <f>IFERROR(INDEX('Degré élargissement'!$B$2:$AC$199,
MATCH($A36,'Degré élargissement'!$A$2:$A$199,0),
MATCH($B$4,'Degré élargissement'!$B$1:$AC$1,0)),
"")</f>
        <v>1.8333333333333335</v>
      </c>
      <c r="E36" s="63">
        <f t="shared" si="0"/>
        <v>1</v>
      </c>
      <c r="S36" s="20"/>
      <c r="T36" s="26" t="str">
        <f>IF(U36="","",_xlfn.XLOOKUP(U36,Formacode!A:A,Formacode!B:B,0,1))</f>
        <v/>
      </c>
      <c r="U36" s="28" t="str" cm="1">
        <f t="array" ref="U36">IFERROR(INDEX('Durée formacode'!$B$2:$B$200,
SMALL(IF((ISNUMBER(INDEX('Durée formacode'!$C$2:$AA$200,,
MATCH('Métiers passerelles'!$B$4,'Durée formacode'!$C$1:$AA$1,0))))*(ISNUMBER(INDEX('Durée formacode'!$C$2:$AA$200,,
MATCH('Métiers passerelles'!$J$11,'Durée formacode'!$C$1:$AA$1,0)))),
ROW('Durée formacode'!$B$2:$B$200)-ROW('Durée formacode'!$B$2)+1),
ROWS($N$11:N24))),
"")</f>
        <v/>
      </c>
      <c r="V36" s="35" t="str">
        <f>IF(U36="","",MAX(INDEX('Durée formacode'!$C$2:$Z$200,
         MATCH(U36,'Durée formacode'!$B$2:$B$200,0),
         MATCH($J$11,'Durée formacode'!$C$1:$Z$1,0))-INDEX('Durée formacode'!$C$2:$Z$200,
         MATCH(U36,'Durée formacode'!$B$2:$B$200,0),
         MATCH($B$4,'Durée formacode'!$C$1:$Z$1,0)),0))</f>
        <v/>
      </c>
      <c r="W36" s="26" t="str">
        <f>IF(X36="","",_xlfn.XLOOKUP(X36,Formacode!A:A,Formacode!B:B,0,1))</f>
        <v/>
      </c>
      <c r="X36" s="28" t="str" cm="1">
        <f t="array" ref="X36">IFERROR(INDEX('Durée formacode'!$B$2:$B$200,
SMALL(IF((NOT(ISNUMBER(INDEX('Durée formacode'!$C$2:$AA$200,,
MATCH('Métiers passerelles'!$B$4,'Durée formacode'!$C$1:$AA$1,0)))))*(ISNUMBER(INDEX('Durée formacode'!$C$2:$AA$200,,
MATCH('Métiers passerelles'!$J$11,'Durée formacode'!$C$1:$AA$1,0)))),
ROW('Durée formacode'!$B$2:$B$200)-ROW('Durée formacode'!$B$2)+1),
ROWS($N$11:N24))),
"")</f>
        <v/>
      </c>
      <c r="Y36" s="28" t="str">
        <f>IFERROR(IF(X36="","",
IF(INDEX('Durée formacode'!$C$2:$Z$200,
      MATCH(X36,'Durée formacode'!$B$2:$B$200,0),
      MATCH($B$4,'Durée formacode'!$C$1:$Z$1,0))="",
INDEX('Durée formacode'!$C$2:$Z$200,
      MATCH(X36,'Durée formacode'!$B$2:$B$200,0),
      MATCH($J$11,'Durée formacode'!$C$1:$Z$1,0)),
"")),
"")</f>
        <v/>
      </c>
      <c r="AA36" s="20"/>
      <c r="AB36" s="26" t="str">
        <f>IF(AC36="","",_xlfn.XLOOKUP(AC36,Formacode!A:A,Formacode!B:B,0,1))</f>
        <v/>
      </c>
      <c r="AC36" s="28" t="str" cm="1">
        <f t="array" ref="AC36">IFERROR(INDEX('Durée formacode'!$B$2:$B$200,
SMALL(IF((ISNUMBER(INDEX('Durée formacode'!$C$2:$AA$200,,
MATCH('Métiers passerelles'!$B$4,'Durée formacode'!$C$1:$AA$1,0))))*(ISNUMBER(INDEX('Durée formacode'!$C$2:$AA$200,,
MATCH('Métiers passerelles'!$J$12,'Durée formacode'!$C$1:$AA$1,0)))),
ROW('Durée formacode'!$B$2:$B$200)-ROW('Durée formacode'!$B$2)+1),
ROWS($N$12:N25))),
"")</f>
        <v/>
      </c>
      <c r="AD36" s="26" t="str">
        <f>IF(AC36="","",MAX(INDEX('Durée formacode'!$C$2:$Z$200,
         MATCH(AC36,'Durée formacode'!$B$2:$B$200,0),
         MATCH($J$12,'Durée formacode'!$C$1:$Z$1,0))-INDEX('Durée formacode'!$C$2:$Z$200,
         MATCH(AC36,'Durée formacode'!$B$2:$B$200,0),
         MATCH($B$4,'Durée formacode'!$C$1:$Z$1,0)),0))</f>
        <v/>
      </c>
      <c r="AE36" s="26" t="str">
        <f>IF(AF36="","",_xlfn.XLOOKUP(AF36,Formacode!A:A,Formacode!B:B,0,1))</f>
        <v/>
      </c>
      <c r="AF36" s="28" t="str" cm="1">
        <f t="array" ref="AF36">IFERROR(INDEX('Durée formacode'!$B$2:$B$200,
SMALL(IF((NOT(ISNUMBER(INDEX('Durée formacode'!$C$2:$AA$200,,
MATCH('Métiers passerelles'!$B$4,'Durée formacode'!$C$1:$AA$1,0)))))*(ISNUMBER(INDEX('Durée formacode'!$C$2:$AA$200,,
MATCH('Métiers passerelles'!$J$12,'Durée formacode'!$C$1:$AA$1,0)))),
ROW('Durée formacode'!$B$2:$B$200)-ROW('Durée formacode'!$B$2)+1),
ROWS($N$12:N25))),
"")</f>
        <v/>
      </c>
      <c r="AG36" s="28" t="str">
        <f>IFERROR(IF(AF36="","",
IF(INDEX('Durée formacode'!$C$2:$Z$200,
      MATCH(AF36,'Durée formacode'!$B$2:$B$200,0),
      MATCH($B$4,'Durée formacode'!$C$1:$Z$1,0))="",
INDEX('Durée formacode'!$C$2:$Z$200,
      MATCH(AF36,'Durée formacode'!$B$2:$B$200,0),
      MATCH($J$12,'Durée formacode'!$C$1:$Z$1,0)),
"")),
"")</f>
        <v/>
      </c>
      <c r="AI36" s="20"/>
      <c r="AJ36" s="26" t="str">
        <f>IF(AK36="","",_xlfn.XLOOKUP(AK36,Formacode!A:A,Formacode!B:B,0,1))</f>
        <v/>
      </c>
      <c r="AK36" s="28" t="str" cm="1">
        <f t="array" ref="AK36">IFERROR(INDEX('Durée formacode'!$B$2:$B$200,
SMALL(IF((ISNUMBER(INDEX('Durée formacode'!$C$2:$AA$200,,
MATCH('Métiers passerelles'!$B$4,'Durée formacode'!$C$1:$AA$1,0))))*(ISNUMBER(INDEX('Durée formacode'!$C$2:$AA$200,,
MATCH('Métiers passerelles'!$J$13,'Durée formacode'!$C$1:$AA$1,0)))),
ROW('Durée formacode'!$B$2:$B$200)-ROW('Durée formacode'!$B$2)+1),
ROWS($N$13:N26))),
"")</f>
        <v/>
      </c>
      <c r="AL36" s="26" t="str">
        <f>IF(AK36="","",MAX(INDEX('Durée formacode'!$C$2:$Z$200,
         MATCH(AK36,'Durée formacode'!$B$2:$B$200,0),
         MATCH($J$13,'Durée formacode'!$C$1:$Z$1,0))-INDEX('Durée formacode'!$C$2:$Z$200,
         MATCH(AK36,'Durée formacode'!$B$2:$B$200,0),
         MATCH($B$4,'Durée formacode'!$C$1:$Z$1,0)),0))</f>
        <v/>
      </c>
      <c r="AM36" s="26" t="str">
        <f>IF(AN36="","",_xlfn.XLOOKUP(AN36,Formacode!A:A,Formacode!B:B,0,1))</f>
        <v/>
      </c>
      <c r="AN36" s="28" t="str" cm="1">
        <f t="array" ref="AN36">IFERROR(INDEX('Durée formacode'!$B$2:$B$200,
SMALL(IF((NOT(ISNUMBER(INDEX('Durée formacode'!$C$2:$AA$200,,
MATCH('Métiers passerelles'!$B$4,'Durée formacode'!$C$1:$AA$1,0)))))*(ISNUMBER(INDEX('Durée formacode'!$C$2:$AA$200,,
MATCH('Métiers passerelles'!$J$13,'Durée formacode'!$C$1:$AA$1,0)))),
ROW('Durée formacode'!$B$2:$B$200)-ROW('Durée formacode'!$B$2)+1),
ROWS($N$13:N26))),
"")</f>
        <v/>
      </c>
      <c r="AO36" s="28" t="str">
        <f>IFERROR(IF(AN36="","",
IF(INDEX('Durée formacode'!$C$2:$Z$200,
      MATCH(AN36,'Durée formacode'!$B$2:$B$200,0),
      MATCH($B$4,'Durée formacode'!$C$1:$Z$1,0))="",
INDEX('Durée formacode'!$C$2:$Z$200,
      MATCH(AN36,'Durée formacode'!$B$2:$B$200,0),
      MATCH($J$13,'Durée formacode'!$C$1:$Z$1,0)),
"")),
"")</f>
        <v/>
      </c>
    </row>
    <row r="37" spans="1:41">
      <c r="A37" s="64" t="str">
        <v>Electromécanicien(ne) de maintenance industrielle</v>
      </c>
      <c r="B37" s="65" cm="1">
        <f t="array" ref="B37">SUMPRODUCT((IFERROR(1*INDEX('Durée formacode'!$C$2:$AE$44,0,MATCH($B$4,'Durée formacode'!$C$1:$AE$1,0)),0)&gt;0)*(IFERROR(1*INDEX('Durée formacode'!$C$2:$AE$44,0,MATCH($A37,'Durée formacode'!$C$1:$AE$1,0)),0)&gt;0))</f>
        <v>1</v>
      </c>
      <c r="C37" s="65">
        <f>IFERROR(INDEX('Différence formation'!$B$2:$AC$199,
MATCH($A37,'Différence formation'!$A$2:$A$99,0),
MATCH($B$4,'Différence formation'!$B$1:$AD$1,0)),
"")</f>
        <v>2540</v>
      </c>
      <c r="D37" s="66">
        <f>IFERROR(INDEX('Degré élargissement'!$B$2:$AC$199,
MATCH($A37,'Degré élargissement'!$A$2:$A$199,0),
MATCH($B$4,'Degré élargissement'!$B$1:$AC$1,0)),
"")</f>
        <v>2.833333333333333</v>
      </c>
      <c r="E37" s="63">
        <f t="shared" si="0"/>
        <v>0</v>
      </c>
      <c r="S37" s="21"/>
      <c r="T37" s="26" t="str">
        <f>IF(U37="","",_xlfn.XLOOKUP(U37,Formacode!A:A,Formacode!B:B,0,1))</f>
        <v/>
      </c>
      <c r="U37" s="28" t="str" cm="1">
        <f t="array" ref="U37">IFERROR(INDEX('Durée formacode'!$B$2:$B$200,
SMALL(IF((ISNUMBER(INDEX('Durée formacode'!$C$2:$AA$200,,
MATCH('Métiers passerelles'!$B$4,'Durée formacode'!$C$1:$AA$1,0))))*(ISNUMBER(INDEX('Durée formacode'!$C$2:$AA$200,,
MATCH('Métiers passerelles'!$J$11,'Durée formacode'!$C$1:$AA$1,0)))),
ROW('Durée formacode'!$B$2:$B$200)-ROW('Durée formacode'!$B$2)+1),
ROWS($N$11:N25))),
"")</f>
        <v/>
      </c>
      <c r="V37" s="35" t="str">
        <f>IF(U37="","",MAX(INDEX('Durée formacode'!$C$2:$Z$200,
         MATCH(U37,'Durée formacode'!$B$2:$B$200,0),
         MATCH($J$11,'Durée formacode'!$C$1:$Z$1,0))-INDEX('Durée formacode'!$C$2:$Z$200,
         MATCH(U37,'Durée formacode'!$B$2:$B$200,0),
         MATCH($B$4,'Durée formacode'!$C$1:$Z$1,0)),0))</f>
        <v/>
      </c>
      <c r="W37" s="26" t="str">
        <f>IF(X37="","",_xlfn.XLOOKUP(X37,Formacode!A:A,Formacode!B:B,0,1))</f>
        <v/>
      </c>
      <c r="X37" s="28" t="str" cm="1">
        <f t="array" ref="X37">IFERROR(INDEX('Durée formacode'!$B$2:$B$200,
SMALL(IF((NOT(ISNUMBER(INDEX('Durée formacode'!$C$2:$AA$200,,
MATCH('Métiers passerelles'!$B$4,'Durée formacode'!$C$1:$AA$1,0)))))*(ISNUMBER(INDEX('Durée formacode'!$C$2:$AA$200,,
MATCH('Métiers passerelles'!$J$11,'Durée formacode'!$C$1:$AA$1,0)))),
ROW('Durée formacode'!$B$2:$B$200)-ROW('Durée formacode'!$B$2)+1),
ROWS($N$11:N25))),
"")</f>
        <v/>
      </c>
      <c r="Y37" s="28" t="str">
        <f>IFERROR(IF(X37="","",
IF(INDEX('Durée formacode'!$C$2:$Z$200,
      MATCH(X37,'Durée formacode'!$B$2:$B$200,0),
      MATCH($B$4,'Durée formacode'!$C$1:$Z$1,0))="",
INDEX('Durée formacode'!$C$2:$Z$200,
      MATCH(X37,'Durée formacode'!$B$2:$B$200,0),
      MATCH($J$11,'Durée formacode'!$C$1:$Z$1,0)),
"")),
"")</f>
        <v/>
      </c>
      <c r="AA37" s="21"/>
      <c r="AB37" s="26" t="str">
        <f>IF(AC37="","",_xlfn.XLOOKUP(AC37,Formacode!A:A,Formacode!B:B,0,1))</f>
        <v/>
      </c>
      <c r="AC37" s="28" t="str" cm="1">
        <f t="array" ref="AC37">IFERROR(INDEX('Durée formacode'!$B$2:$B$200,
SMALL(IF((ISNUMBER(INDEX('Durée formacode'!$C$2:$AA$200,,
MATCH('Métiers passerelles'!$B$4,'Durée formacode'!$C$1:$AA$1,0))))*(ISNUMBER(INDEX('Durée formacode'!$C$2:$AA$200,,
MATCH('Métiers passerelles'!$J$12,'Durée formacode'!$C$1:$AA$1,0)))),
ROW('Durée formacode'!$B$2:$B$200)-ROW('Durée formacode'!$B$2)+1),
ROWS($N$12:N26))),
"")</f>
        <v/>
      </c>
      <c r="AD37" s="26" t="str">
        <f>IF(AC37="","",MAX(INDEX('Durée formacode'!$C$2:$Z$200,
         MATCH(AC37,'Durée formacode'!$B$2:$B$200,0),
         MATCH($J$12,'Durée formacode'!$C$1:$Z$1,0))-INDEX('Durée formacode'!$C$2:$Z$200,
         MATCH(AC37,'Durée formacode'!$B$2:$B$200,0),
         MATCH($B$4,'Durée formacode'!$C$1:$Z$1,0)),0))</f>
        <v/>
      </c>
      <c r="AE37" s="26" t="str">
        <f>IF(AF37="","",_xlfn.XLOOKUP(AF37,Formacode!A:A,Formacode!B:B,0,1))</f>
        <v/>
      </c>
      <c r="AF37" s="28" t="str" cm="1">
        <f t="array" ref="AF37">IFERROR(INDEX('Durée formacode'!$B$2:$B$200,
SMALL(IF((NOT(ISNUMBER(INDEX('Durée formacode'!$C$2:$AA$200,,
MATCH('Métiers passerelles'!$B$4,'Durée formacode'!$C$1:$AA$1,0)))))*(ISNUMBER(INDEX('Durée formacode'!$C$2:$AA$200,,
MATCH('Métiers passerelles'!$J$12,'Durée formacode'!$C$1:$AA$1,0)))),
ROW('Durée formacode'!$B$2:$B$200)-ROW('Durée formacode'!$B$2)+1),
ROWS($N$12:N26))),
"")</f>
        <v/>
      </c>
      <c r="AG37" s="28" t="str">
        <f>IFERROR(IF(AF37="","",
IF(INDEX('Durée formacode'!$C$2:$Z$200,
      MATCH(AF37,'Durée formacode'!$B$2:$B$200,0),
      MATCH($B$4,'Durée formacode'!$C$1:$Z$1,0))="",
INDEX('Durée formacode'!$C$2:$Z$200,
      MATCH(AF37,'Durée formacode'!$B$2:$B$200,0),
      MATCH($J$12,'Durée formacode'!$C$1:$Z$1,0)),
"")),
"")</f>
        <v/>
      </c>
      <c r="AI37" s="21"/>
      <c r="AJ37" s="26" t="str">
        <f>IF(AK37="","",_xlfn.XLOOKUP(AK37,Formacode!A:A,Formacode!B:B,0,1))</f>
        <v/>
      </c>
      <c r="AK37" s="28" t="str" cm="1">
        <f t="array" ref="AK37">IFERROR(INDEX('Durée formacode'!$B$2:$B$200,
SMALL(IF((ISNUMBER(INDEX('Durée formacode'!$C$2:$AA$200,,
MATCH('Métiers passerelles'!$B$4,'Durée formacode'!$C$1:$AA$1,0))))*(ISNUMBER(INDEX('Durée formacode'!$C$2:$AA$200,,
MATCH('Métiers passerelles'!$J$13,'Durée formacode'!$C$1:$AA$1,0)))),
ROW('Durée formacode'!$B$2:$B$200)-ROW('Durée formacode'!$B$2)+1),
ROWS($N$13:N27))),
"")</f>
        <v/>
      </c>
      <c r="AL37" s="26" t="str">
        <f>IF(AK37="","",MAX(INDEX('Durée formacode'!$C$2:$Z$200,
         MATCH(AK37,'Durée formacode'!$B$2:$B$200,0),
         MATCH($J$13,'Durée formacode'!$C$1:$Z$1,0))-INDEX('Durée formacode'!$C$2:$Z$200,
         MATCH(AK37,'Durée formacode'!$B$2:$B$200,0),
         MATCH($B$4,'Durée formacode'!$C$1:$Z$1,0)),0))</f>
        <v/>
      </c>
      <c r="AM37" s="26" t="str">
        <f>IF(AN37="","",_xlfn.XLOOKUP(AN37,Formacode!A:A,Formacode!B:B,0,1))</f>
        <v/>
      </c>
      <c r="AN37" s="28" t="str" cm="1">
        <f t="array" ref="AN37">IFERROR(INDEX('Durée formacode'!$B$2:$B$200,
SMALL(IF((NOT(ISNUMBER(INDEX('Durée formacode'!$C$2:$AA$200,,
MATCH('Métiers passerelles'!$B$4,'Durée formacode'!$C$1:$AA$1,0)))))*(ISNUMBER(INDEX('Durée formacode'!$C$2:$AA$200,,
MATCH('Métiers passerelles'!$J$13,'Durée formacode'!$C$1:$AA$1,0)))),
ROW('Durée formacode'!$B$2:$B$200)-ROW('Durée formacode'!$B$2)+1),
ROWS($N$13:N27))),
"")</f>
        <v/>
      </c>
      <c r="AO37" s="28" t="str">
        <f>IFERROR(IF(AN37="","",
IF(INDEX('Durée formacode'!$C$2:$Z$200,
      MATCH(AN37,'Durée formacode'!$B$2:$B$200,0),
      MATCH($B$4,'Durée formacode'!$C$1:$Z$1,0))="",
INDEX('Durée formacode'!$C$2:$Z$200,
      MATCH(AN37,'Durée formacode'!$B$2:$B$200,0),
      MATCH($J$13,'Durée formacode'!$C$1:$Z$1,0)),
"")),
"")</f>
        <v/>
      </c>
    </row>
    <row r="44" spans="1:41">
      <c r="N44" t="str" cm="1">
        <f t="array" ref="N44">IFERROR(INDEX('Durée formacode'!$B$2:$B$200,
SMALL(IF(('Durée formacode'!$C$2:$C$200&lt;&gt;"")*('Durée formacode'!$U$2:$U$200&lt;&gt;""),
   ROW('Durée formacode'!$B$2:$B$200)-1),
ROW()-6)),
"")</f>
        <v/>
      </c>
    </row>
  </sheetData>
  <autoFilter ref="A8:E37" xr:uid="{E09A483C-5EB1-4888-A24C-7B27D3450ECA}"/>
  <mergeCells count="19">
    <mergeCell ref="B4:C5"/>
    <mergeCell ref="AI22:AK22"/>
    <mergeCell ref="AM22:AO22"/>
    <mergeCell ref="S22:V22"/>
    <mergeCell ref="W22:Y22"/>
    <mergeCell ref="AE22:AG22"/>
    <mergeCell ref="AA22:AC22"/>
    <mergeCell ref="T21:X21"/>
    <mergeCell ref="AJ21:AN21"/>
    <mergeCell ref="AB21:AF21"/>
    <mergeCell ref="T1:X1"/>
    <mergeCell ref="AB1:AF1"/>
    <mergeCell ref="AM2:AO2"/>
    <mergeCell ref="AJ1:AN1"/>
    <mergeCell ref="AI2:AL2"/>
    <mergeCell ref="S2:V2"/>
    <mergeCell ref="W2:Y2"/>
    <mergeCell ref="AE2:AG2"/>
    <mergeCell ref="AA2:AD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FF27E9-9B71-4077-A1D1-A585F5B9D220}">
          <x14:formula1>
            <xm:f>Data_metier!$B:$B</xm:f>
          </x14:formula1>
          <xm:sqref>B4:C5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6D36-9B51-4C68-A999-4F64E8E36B29}">
  <sheetPr codeName="Feuil10"/>
  <dimension ref="A1:F160"/>
  <sheetViews>
    <sheetView workbookViewId="0">
      <selection activeCell="B9" sqref="B9"/>
    </sheetView>
  </sheetViews>
  <sheetFormatPr defaultColWidth="11.42578125" defaultRowHeight="15"/>
  <cols>
    <col min="2" max="2" width="31.140625" customWidth="1"/>
    <col min="3" max="6" width="11.42578125" style="54"/>
  </cols>
  <sheetData>
    <row r="1" spans="1:6">
      <c r="A1" s="3" t="s">
        <v>58</v>
      </c>
      <c r="B1" s="3" t="s">
        <v>93</v>
      </c>
      <c r="C1" s="53" t="s">
        <v>4</v>
      </c>
      <c r="D1" s="53" t="s">
        <v>5</v>
      </c>
      <c r="E1" s="53" t="s">
        <v>6</v>
      </c>
      <c r="F1" s="53" t="s">
        <v>7</v>
      </c>
    </row>
    <row r="2" spans="1:6">
      <c r="A2">
        <v>11054</v>
      </c>
      <c r="B2" t="s">
        <v>94</v>
      </c>
      <c r="C2" s="54">
        <v>140</v>
      </c>
      <c r="D2" s="54">
        <v>500</v>
      </c>
      <c r="E2" s="54">
        <v>3575</v>
      </c>
      <c r="F2" s="54">
        <v>3917</v>
      </c>
    </row>
    <row r="3" spans="1:6">
      <c r="A3">
        <v>13154</v>
      </c>
      <c r="B3" t="s">
        <v>95</v>
      </c>
      <c r="C3" s="54">
        <v>42</v>
      </c>
      <c r="D3" s="54">
        <v>192</v>
      </c>
      <c r="E3" s="54">
        <v>3547.5</v>
      </c>
    </row>
    <row r="4" spans="1:6">
      <c r="A4">
        <v>13236</v>
      </c>
      <c r="B4" t="s">
        <v>96</v>
      </c>
      <c r="C4" s="54">
        <v>16.75</v>
      </c>
      <c r="D4" s="54">
        <v>413.65</v>
      </c>
      <c r="E4" s="54">
        <v>1170.4000000000001</v>
      </c>
      <c r="F4" s="54">
        <v>1365.45</v>
      </c>
    </row>
    <row r="5" spans="1:6">
      <c r="A5">
        <v>13254</v>
      </c>
      <c r="B5" t="s">
        <v>97</v>
      </c>
      <c r="C5" s="54">
        <v>42</v>
      </c>
      <c r="D5" s="54">
        <v>192</v>
      </c>
      <c r="E5" s="54">
        <v>3451</v>
      </c>
      <c r="F5" s="54">
        <v>5288</v>
      </c>
    </row>
    <row r="6" spans="1:6">
      <c r="A6">
        <v>14256</v>
      </c>
      <c r="B6" t="s">
        <v>98</v>
      </c>
      <c r="C6" s="54">
        <v>126</v>
      </c>
      <c r="D6" s="54">
        <v>364</v>
      </c>
    </row>
    <row r="7" spans="1:6">
      <c r="A7">
        <v>31036</v>
      </c>
      <c r="B7" t="s">
        <v>99</v>
      </c>
      <c r="C7" s="54">
        <v>119</v>
      </c>
      <c r="D7" s="54">
        <v>254</v>
      </c>
      <c r="E7" s="54">
        <v>437</v>
      </c>
    </row>
    <row r="8" spans="1:6">
      <c r="A8">
        <v>13027</v>
      </c>
      <c r="B8" t="s">
        <v>100</v>
      </c>
      <c r="C8" s="54">
        <v>135</v>
      </c>
      <c r="D8" s="54">
        <v>551</v>
      </c>
      <c r="E8" s="54">
        <v>776</v>
      </c>
    </row>
    <row r="9" spans="1:6">
      <c r="A9">
        <v>31054</v>
      </c>
      <c r="B9" t="s">
        <v>101</v>
      </c>
      <c r="C9" s="54">
        <v>63</v>
      </c>
      <c r="D9" s="54">
        <v>188</v>
      </c>
      <c r="E9" s="54">
        <v>407</v>
      </c>
    </row>
    <row r="10" spans="1:6">
      <c r="A10">
        <v>32079</v>
      </c>
      <c r="B10" t="s">
        <v>102</v>
      </c>
      <c r="C10" s="54">
        <v>132</v>
      </c>
      <c r="D10" s="54">
        <v>263</v>
      </c>
      <c r="E10" s="54">
        <v>548</v>
      </c>
    </row>
    <row r="11" spans="1:6">
      <c r="A11">
        <v>32110</v>
      </c>
      <c r="B11" t="s">
        <v>103</v>
      </c>
      <c r="C11" s="54">
        <v>106</v>
      </c>
      <c r="D11" s="54">
        <v>390</v>
      </c>
      <c r="E11" s="54">
        <v>1050</v>
      </c>
    </row>
    <row r="12" spans="1:6">
      <c r="A12">
        <v>11454</v>
      </c>
      <c r="B12" t="s">
        <v>104</v>
      </c>
      <c r="C12" s="54">
        <v>63</v>
      </c>
      <c r="D12" s="54">
        <v>243</v>
      </c>
    </row>
    <row r="13" spans="1:6">
      <c r="A13">
        <v>11554</v>
      </c>
      <c r="B13" t="s">
        <v>105</v>
      </c>
      <c r="C13" s="54">
        <v>63</v>
      </c>
      <c r="D13" s="54">
        <v>243</v>
      </c>
    </row>
    <row r="14" spans="1:6">
      <c r="A14">
        <v>12054</v>
      </c>
      <c r="B14" t="s">
        <v>106</v>
      </c>
      <c r="C14" s="54">
        <v>70</v>
      </c>
      <c r="D14" s="54">
        <v>266</v>
      </c>
      <c r="E14" s="54">
        <v>2805</v>
      </c>
      <c r="F14" s="54">
        <v>3052</v>
      </c>
    </row>
    <row r="15" spans="1:6">
      <c r="A15">
        <v>12061</v>
      </c>
      <c r="B15" t="s">
        <v>107</v>
      </c>
      <c r="C15" s="54">
        <v>107.2</v>
      </c>
    </row>
    <row r="16" spans="1:6">
      <c r="A16">
        <v>12261</v>
      </c>
      <c r="B16" t="s">
        <v>108</v>
      </c>
      <c r="C16" s="54">
        <v>60</v>
      </c>
    </row>
    <row r="17" spans="1:6">
      <c r="A17">
        <v>12587</v>
      </c>
      <c r="B17" t="s">
        <v>109</v>
      </c>
      <c r="C17" s="54">
        <v>15</v>
      </c>
      <c r="D17" s="54">
        <v>154</v>
      </c>
      <c r="E17" s="54">
        <v>376.9</v>
      </c>
    </row>
    <row r="18" spans="1:6">
      <c r="A18">
        <v>32135</v>
      </c>
      <c r="B18" t="s">
        <v>110</v>
      </c>
      <c r="C18" s="54">
        <v>59</v>
      </c>
      <c r="D18" s="54">
        <v>299</v>
      </c>
      <c r="E18" s="54">
        <v>409</v>
      </c>
    </row>
    <row r="19" spans="1:6">
      <c r="A19">
        <v>13366</v>
      </c>
      <c r="B19" t="s">
        <v>111</v>
      </c>
      <c r="C19" s="54">
        <v>90.9</v>
      </c>
      <c r="D19" s="54">
        <v>301</v>
      </c>
      <c r="E19" s="54">
        <v>649</v>
      </c>
    </row>
    <row r="20" spans="1:6">
      <c r="A20">
        <v>32650</v>
      </c>
      <c r="B20" t="s">
        <v>112</v>
      </c>
      <c r="C20" s="54">
        <v>157</v>
      </c>
      <c r="D20" s="54">
        <v>243</v>
      </c>
      <c r="E20" s="54">
        <v>603</v>
      </c>
    </row>
    <row r="21" spans="1:6">
      <c r="A21">
        <v>14454</v>
      </c>
      <c r="B21" t="s">
        <v>113</v>
      </c>
      <c r="C21" s="54">
        <v>127.25</v>
      </c>
      <c r="D21" s="54">
        <v>433.25</v>
      </c>
    </row>
    <row r="22" spans="1:6">
      <c r="A22">
        <v>15254</v>
      </c>
      <c r="B22" t="s">
        <v>114</v>
      </c>
      <c r="C22" s="54">
        <v>200</v>
      </c>
      <c r="D22" s="54">
        <v>400</v>
      </c>
      <c r="E22" s="54">
        <v>700</v>
      </c>
      <c r="F22" s="54">
        <v>1200</v>
      </c>
    </row>
    <row r="23" spans="1:6">
      <c r="A23">
        <v>21008</v>
      </c>
      <c r="B23" t="s">
        <v>115</v>
      </c>
      <c r="E23" s="54">
        <v>400</v>
      </c>
    </row>
    <row r="24" spans="1:6">
      <c r="A24">
        <v>21046</v>
      </c>
      <c r="B24" t="s">
        <v>116</v>
      </c>
      <c r="C24" s="54">
        <v>203</v>
      </c>
      <c r="D24" s="54">
        <v>389.4</v>
      </c>
      <c r="E24" s="54">
        <v>928.19999999999993</v>
      </c>
    </row>
    <row r="25" spans="1:6">
      <c r="A25">
        <v>21052</v>
      </c>
      <c r="B25" t="s">
        <v>117</v>
      </c>
      <c r="C25" s="54">
        <v>95</v>
      </c>
      <c r="D25" s="54">
        <v>447</v>
      </c>
      <c r="E25" s="54">
        <v>781</v>
      </c>
    </row>
    <row r="26" spans="1:6">
      <c r="A26">
        <v>21053</v>
      </c>
      <c r="B26" t="s">
        <v>118</v>
      </c>
      <c r="C26" s="54">
        <v>167.6</v>
      </c>
      <c r="D26" s="54">
        <v>373</v>
      </c>
      <c r="E26" s="54">
        <v>611.45000000000005</v>
      </c>
    </row>
    <row r="27" spans="1:6">
      <c r="A27">
        <v>21054</v>
      </c>
      <c r="B27" t="s">
        <v>119</v>
      </c>
      <c r="C27" s="54">
        <v>66.3</v>
      </c>
      <c r="D27" s="54">
        <v>863.14</v>
      </c>
      <c r="E27" s="54">
        <v>1521</v>
      </c>
    </row>
    <row r="28" spans="1:6">
      <c r="A28">
        <v>21056</v>
      </c>
      <c r="B28" t="s">
        <v>120</v>
      </c>
      <c r="C28" s="54">
        <v>71</v>
      </c>
      <c r="D28" s="54">
        <v>402</v>
      </c>
    </row>
    <row r="29" spans="1:6">
      <c r="A29">
        <v>21059</v>
      </c>
      <c r="B29" t="s">
        <v>121</v>
      </c>
      <c r="C29" s="54">
        <v>124.3</v>
      </c>
      <c r="D29" s="54">
        <v>565</v>
      </c>
      <c r="E29" s="54">
        <v>1010.5</v>
      </c>
      <c r="F29" s="54">
        <v>2509.8000000000002</v>
      </c>
    </row>
    <row r="30" spans="1:6">
      <c r="A30">
        <v>21347</v>
      </c>
      <c r="B30" t="s">
        <v>122</v>
      </c>
      <c r="C30" s="54">
        <v>174</v>
      </c>
      <c r="D30" s="54">
        <v>441</v>
      </c>
    </row>
    <row r="31" spans="1:6">
      <c r="A31">
        <v>21349</v>
      </c>
      <c r="B31" t="s">
        <v>123</v>
      </c>
    </row>
    <row r="32" spans="1:6">
      <c r="A32">
        <v>21352</v>
      </c>
      <c r="B32" t="s">
        <v>124</v>
      </c>
      <c r="D32" s="54">
        <v>265.7</v>
      </c>
      <c r="E32" s="54">
        <v>423.6</v>
      </c>
    </row>
    <row r="33" spans="1:5">
      <c r="A33">
        <v>21368</v>
      </c>
      <c r="B33" t="s">
        <v>125</v>
      </c>
      <c r="D33" s="54">
        <v>642.79999999999995</v>
      </c>
      <c r="E33" s="54">
        <v>1147.0999999999999</v>
      </c>
    </row>
    <row r="34" spans="1:5">
      <c r="A34">
        <v>21504</v>
      </c>
      <c r="B34" t="s">
        <v>126</v>
      </c>
      <c r="D34" s="54">
        <v>263</v>
      </c>
    </row>
    <row r="35" spans="1:5">
      <c r="A35">
        <v>21510</v>
      </c>
      <c r="B35" t="s">
        <v>127</v>
      </c>
      <c r="C35" s="54">
        <v>168</v>
      </c>
      <c r="D35" s="54">
        <v>280</v>
      </c>
      <c r="E35" s="54">
        <v>519</v>
      </c>
    </row>
    <row r="36" spans="1:5">
      <c r="A36">
        <v>21532</v>
      </c>
      <c r="B36" t="s">
        <v>128</v>
      </c>
      <c r="C36" s="54">
        <v>55</v>
      </c>
      <c r="D36" s="54">
        <v>233.5</v>
      </c>
      <c r="E36" s="54">
        <v>388.83000000000004</v>
      </c>
    </row>
    <row r="37" spans="1:5">
      <c r="A37">
        <v>21538</v>
      </c>
      <c r="B37" t="s">
        <v>129</v>
      </c>
      <c r="D37" s="54">
        <v>272</v>
      </c>
    </row>
    <row r="38" spans="1:5">
      <c r="A38">
        <v>21543</v>
      </c>
      <c r="B38" t="s">
        <v>130</v>
      </c>
      <c r="D38" s="54">
        <v>434</v>
      </c>
    </row>
    <row r="39" spans="1:5">
      <c r="A39">
        <v>21547</v>
      </c>
      <c r="B39" t="s">
        <v>131</v>
      </c>
      <c r="C39" s="54">
        <v>80</v>
      </c>
      <c r="D39" s="54">
        <v>245</v>
      </c>
      <c r="E39" s="54">
        <v>317.5</v>
      </c>
    </row>
    <row r="40" spans="1:5">
      <c r="A40">
        <v>21549</v>
      </c>
      <c r="B40" t="s">
        <v>132</v>
      </c>
    </row>
    <row r="41" spans="1:5">
      <c r="A41">
        <v>21567</v>
      </c>
      <c r="B41" t="s">
        <v>133</v>
      </c>
      <c r="C41" s="54">
        <v>150</v>
      </c>
      <c r="D41" s="54">
        <v>290</v>
      </c>
    </row>
    <row r="42" spans="1:5">
      <c r="A42">
        <v>21572</v>
      </c>
      <c r="B42" t="s">
        <v>134</v>
      </c>
      <c r="C42" s="54">
        <v>80</v>
      </c>
      <c r="D42" s="54">
        <v>328</v>
      </c>
      <c r="E42" s="54">
        <v>493</v>
      </c>
    </row>
    <row r="43" spans="1:5">
      <c r="A43">
        <v>21577</v>
      </c>
      <c r="B43" t="s">
        <v>135</v>
      </c>
      <c r="C43" s="54">
        <v>200</v>
      </c>
      <c r="D43" s="54">
        <v>302</v>
      </c>
      <c r="E43" s="54">
        <v>379</v>
      </c>
    </row>
    <row r="44" spans="1:5">
      <c r="A44">
        <v>21592</v>
      </c>
      <c r="B44" t="s">
        <v>136</v>
      </c>
      <c r="D44" s="54">
        <v>70</v>
      </c>
    </row>
    <row r="45" spans="1:5">
      <c r="A45">
        <v>21598</v>
      </c>
      <c r="B45" t="s">
        <v>137</v>
      </c>
      <c r="C45" s="54">
        <v>200</v>
      </c>
      <c r="D45" s="54">
        <v>302</v>
      </c>
    </row>
    <row r="46" spans="1:5">
      <c r="A46">
        <v>21854</v>
      </c>
      <c r="B46" t="s">
        <v>138</v>
      </c>
      <c r="D46" s="54">
        <v>84</v>
      </c>
    </row>
    <row r="47" spans="1:5">
      <c r="A47">
        <v>22024</v>
      </c>
      <c r="B47" t="s">
        <v>139</v>
      </c>
      <c r="D47" s="54">
        <v>240</v>
      </c>
    </row>
    <row r="48" spans="1:5">
      <c r="A48">
        <v>22062</v>
      </c>
      <c r="B48" t="s">
        <v>140</v>
      </c>
      <c r="D48" s="54">
        <v>198</v>
      </c>
    </row>
    <row r="49" spans="1:5">
      <c r="A49">
        <v>22254</v>
      </c>
      <c r="B49" t="s">
        <v>141</v>
      </c>
      <c r="C49" s="54">
        <v>93</v>
      </c>
    </row>
    <row r="50" spans="1:5">
      <c r="A50">
        <v>22269</v>
      </c>
      <c r="B50" t="s">
        <v>142</v>
      </c>
      <c r="E50" s="54">
        <v>990</v>
      </c>
    </row>
    <row r="51" spans="1:5">
      <c r="A51">
        <v>22334</v>
      </c>
      <c r="B51" t="s">
        <v>143</v>
      </c>
      <c r="C51" s="54">
        <v>315.10000000000002</v>
      </c>
    </row>
    <row r="52" spans="1:5">
      <c r="A52">
        <v>22654</v>
      </c>
      <c r="B52" t="s">
        <v>144</v>
      </c>
      <c r="D52" s="54">
        <v>581</v>
      </c>
    </row>
    <row r="53" spans="1:5">
      <c r="A53">
        <v>23086</v>
      </c>
      <c r="B53" t="s">
        <v>145</v>
      </c>
      <c r="D53" s="54">
        <v>119</v>
      </c>
    </row>
    <row r="54" spans="1:5">
      <c r="A54">
        <v>23584</v>
      </c>
      <c r="B54" t="s">
        <v>146</v>
      </c>
      <c r="D54" s="54">
        <v>354</v>
      </c>
    </row>
    <row r="55" spans="1:5">
      <c r="A55">
        <v>23594</v>
      </c>
      <c r="B55" t="s">
        <v>147</v>
      </c>
      <c r="D55" s="54">
        <v>196</v>
      </c>
    </row>
    <row r="56" spans="1:5">
      <c r="A56">
        <v>23613</v>
      </c>
      <c r="B56" t="s">
        <v>148</v>
      </c>
      <c r="E56" s="54">
        <v>436</v>
      </c>
    </row>
    <row r="57" spans="1:5">
      <c r="A57">
        <v>23622</v>
      </c>
      <c r="B57" t="s">
        <v>149</v>
      </c>
      <c r="D57" s="54">
        <v>238.3</v>
      </c>
      <c r="E57" s="54">
        <v>1150.3</v>
      </c>
    </row>
    <row r="58" spans="1:5">
      <c r="A58">
        <v>23684</v>
      </c>
      <c r="B58" t="s">
        <v>150</v>
      </c>
      <c r="C58" s="54">
        <v>144</v>
      </c>
      <c r="D58" s="54">
        <v>354</v>
      </c>
      <c r="E58" s="54">
        <v>616</v>
      </c>
    </row>
    <row r="59" spans="1:5">
      <c r="A59">
        <v>24052</v>
      </c>
      <c r="B59" t="s">
        <v>151</v>
      </c>
      <c r="E59" s="54">
        <v>646</v>
      </c>
    </row>
    <row r="60" spans="1:5">
      <c r="A60">
        <v>24054</v>
      </c>
      <c r="B60" t="s">
        <v>152</v>
      </c>
      <c r="C60" s="54">
        <v>140</v>
      </c>
      <c r="D60" s="54">
        <v>354</v>
      </c>
      <c r="E60" s="54">
        <v>616</v>
      </c>
    </row>
    <row r="61" spans="1:5">
      <c r="A61">
        <v>24129</v>
      </c>
      <c r="B61" t="s">
        <v>153</v>
      </c>
      <c r="E61" s="54">
        <v>600</v>
      </c>
    </row>
    <row r="62" spans="1:5">
      <c r="A62">
        <v>24346</v>
      </c>
      <c r="B62" t="s">
        <v>154</v>
      </c>
      <c r="D62" s="54">
        <v>102</v>
      </c>
      <c r="E62" s="54">
        <v>126</v>
      </c>
    </row>
    <row r="63" spans="1:5">
      <c r="A63">
        <v>24354</v>
      </c>
      <c r="B63" t="s">
        <v>155</v>
      </c>
      <c r="D63" s="54">
        <v>119</v>
      </c>
    </row>
    <row r="64" spans="1:5">
      <c r="A64">
        <v>24431</v>
      </c>
      <c r="B64" t="s">
        <v>156</v>
      </c>
      <c r="C64" s="54">
        <v>157.5</v>
      </c>
      <c r="D64" s="54">
        <v>354.1</v>
      </c>
      <c r="E64" s="54">
        <v>979</v>
      </c>
    </row>
    <row r="65" spans="1:6">
      <c r="A65">
        <v>25052</v>
      </c>
      <c r="B65" t="s">
        <v>152</v>
      </c>
      <c r="C65" s="54">
        <v>140</v>
      </c>
    </row>
    <row r="66" spans="1:6">
      <c r="A66">
        <v>30854</v>
      </c>
      <c r="B66" t="s">
        <v>157</v>
      </c>
      <c r="D66" s="54">
        <v>326</v>
      </c>
    </row>
    <row r="67" spans="1:6">
      <c r="A67">
        <v>31010</v>
      </c>
      <c r="B67" t="s">
        <v>158</v>
      </c>
      <c r="E67" s="54">
        <v>171</v>
      </c>
    </row>
    <row r="68" spans="1:6">
      <c r="A68">
        <v>31023</v>
      </c>
      <c r="B68" t="s">
        <v>159</v>
      </c>
      <c r="E68" s="54">
        <v>389</v>
      </c>
      <c r="F68" s="54">
        <v>643</v>
      </c>
    </row>
    <row r="69" spans="1:6">
      <c r="A69">
        <v>31051</v>
      </c>
      <c r="B69" t="s">
        <v>160</v>
      </c>
      <c r="D69" s="54">
        <v>200</v>
      </c>
    </row>
    <row r="70" spans="1:6">
      <c r="A70">
        <v>33024</v>
      </c>
      <c r="B70" t="s">
        <v>161</v>
      </c>
      <c r="C70" s="54">
        <v>16.75</v>
      </c>
      <c r="D70" s="54">
        <v>413.65</v>
      </c>
      <c r="E70" s="54">
        <v>1170.4000000000001</v>
      </c>
    </row>
    <row r="71" spans="1:6">
      <c r="A71">
        <v>31058</v>
      </c>
      <c r="B71" t="s">
        <v>162</v>
      </c>
      <c r="C71" s="54">
        <v>109</v>
      </c>
      <c r="D71" s="54">
        <v>245</v>
      </c>
    </row>
    <row r="72" spans="1:6">
      <c r="A72">
        <v>31067</v>
      </c>
      <c r="B72" t="s">
        <v>163</v>
      </c>
      <c r="E72" s="54">
        <v>742</v>
      </c>
    </row>
    <row r="73" spans="1:6">
      <c r="A73">
        <v>31084</v>
      </c>
      <c r="B73" t="s">
        <v>164</v>
      </c>
      <c r="C73" s="54">
        <v>144</v>
      </c>
      <c r="D73" s="54">
        <v>216</v>
      </c>
    </row>
    <row r="74" spans="1:6">
      <c r="A74">
        <v>31407</v>
      </c>
      <c r="B74" t="s">
        <v>165</v>
      </c>
      <c r="C74" s="54">
        <v>9</v>
      </c>
      <c r="D74" s="54">
        <v>159</v>
      </c>
      <c r="E74" s="54">
        <v>215</v>
      </c>
    </row>
    <row r="75" spans="1:6">
      <c r="A75">
        <v>31436</v>
      </c>
      <c r="B75" t="s">
        <v>166</v>
      </c>
      <c r="C75" s="54">
        <v>70</v>
      </c>
      <c r="D75" s="54">
        <v>245</v>
      </c>
      <c r="E75" s="54">
        <v>521</v>
      </c>
    </row>
    <row r="76" spans="1:6">
      <c r="A76">
        <v>31454</v>
      </c>
      <c r="B76" t="s">
        <v>167</v>
      </c>
      <c r="E76" s="54">
        <v>516</v>
      </c>
    </row>
    <row r="77" spans="1:6">
      <c r="A77">
        <v>31459</v>
      </c>
      <c r="B77" t="s">
        <v>168</v>
      </c>
      <c r="D77" s="54">
        <v>217</v>
      </c>
    </row>
    <row r="78" spans="1:6">
      <c r="A78">
        <v>31486</v>
      </c>
      <c r="B78" t="s">
        <v>169</v>
      </c>
      <c r="D78" s="54">
        <v>513</v>
      </c>
    </row>
    <row r="79" spans="1:6">
      <c r="A79">
        <v>31608</v>
      </c>
      <c r="B79" t="s">
        <v>170</v>
      </c>
      <c r="C79" s="54">
        <v>104</v>
      </c>
      <c r="D79" s="54">
        <v>235</v>
      </c>
      <c r="E79" s="54">
        <v>568</v>
      </c>
      <c r="F79" s="54">
        <v>1148</v>
      </c>
    </row>
    <row r="80" spans="1:6">
      <c r="A80">
        <v>31620</v>
      </c>
      <c r="B80" t="s">
        <v>171</v>
      </c>
      <c r="C80" s="54">
        <v>70</v>
      </c>
      <c r="D80" s="54">
        <v>294</v>
      </c>
      <c r="E80" s="54">
        <v>454</v>
      </c>
    </row>
    <row r="81" spans="1:6">
      <c r="A81">
        <v>31624</v>
      </c>
      <c r="B81" t="s">
        <v>172</v>
      </c>
      <c r="C81" s="54">
        <v>70</v>
      </c>
      <c r="D81" s="54">
        <v>490</v>
      </c>
      <c r="E81" s="54">
        <v>997</v>
      </c>
    </row>
    <row r="82" spans="1:6">
      <c r="A82">
        <v>31625</v>
      </c>
      <c r="B82" t="s">
        <v>173</v>
      </c>
      <c r="E82" s="54">
        <v>630</v>
      </c>
    </row>
    <row r="83" spans="1:6">
      <c r="A83">
        <v>31633</v>
      </c>
      <c r="B83" t="s">
        <v>174</v>
      </c>
    </row>
    <row r="84" spans="1:6">
      <c r="A84">
        <v>31652</v>
      </c>
      <c r="B84" t="s">
        <v>175</v>
      </c>
      <c r="C84" s="54">
        <v>78</v>
      </c>
      <c r="D84" s="54">
        <v>280</v>
      </c>
      <c r="E84" s="54">
        <v>496</v>
      </c>
    </row>
    <row r="85" spans="1:6">
      <c r="A85">
        <v>31660</v>
      </c>
      <c r="B85" t="s">
        <v>176</v>
      </c>
      <c r="C85" s="54">
        <v>79</v>
      </c>
      <c r="D85" s="54">
        <v>227</v>
      </c>
      <c r="E85" s="54">
        <v>401</v>
      </c>
    </row>
    <row r="86" spans="1:6">
      <c r="A86">
        <v>31662</v>
      </c>
      <c r="B86" t="s">
        <v>177</v>
      </c>
      <c r="C86" s="54">
        <v>38.9</v>
      </c>
      <c r="D86" s="54">
        <v>201</v>
      </c>
    </row>
    <row r="87" spans="1:6">
      <c r="A87">
        <v>31663</v>
      </c>
      <c r="B87" t="s">
        <v>178</v>
      </c>
      <c r="C87" s="54">
        <v>110</v>
      </c>
      <c r="D87" s="54">
        <v>395</v>
      </c>
      <c r="E87" s="54">
        <v>633</v>
      </c>
      <c r="F87" s="54">
        <v>853</v>
      </c>
    </row>
    <row r="88" spans="1:6">
      <c r="A88">
        <v>31721</v>
      </c>
      <c r="B88" t="s">
        <v>179</v>
      </c>
      <c r="C88" s="54">
        <v>300</v>
      </c>
      <c r="D88" s="54">
        <v>429</v>
      </c>
      <c r="E88" s="54">
        <v>663</v>
      </c>
    </row>
    <row r="89" spans="1:6">
      <c r="A89">
        <v>31734</v>
      </c>
      <c r="B89" t="s">
        <v>180</v>
      </c>
    </row>
    <row r="90" spans="1:6">
      <c r="A90">
        <v>31742</v>
      </c>
      <c r="B90" t="s">
        <v>181</v>
      </c>
      <c r="D90" s="54">
        <v>14</v>
      </c>
    </row>
    <row r="91" spans="1:6">
      <c r="A91">
        <v>31743</v>
      </c>
      <c r="B91" t="s">
        <v>182</v>
      </c>
      <c r="C91" s="54">
        <v>300</v>
      </c>
      <c r="D91" s="54">
        <v>429</v>
      </c>
      <c r="E91" s="54">
        <v>663</v>
      </c>
    </row>
    <row r="92" spans="1:6">
      <c r="A92">
        <v>31754</v>
      </c>
      <c r="B92" t="s">
        <v>183</v>
      </c>
      <c r="C92" s="54">
        <v>35</v>
      </c>
      <c r="D92" s="54">
        <v>76</v>
      </c>
    </row>
    <row r="93" spans="1:6">
      <c r="A93">
        <v>31759</v>
      </c>
      <c r="B93" t="s">
        <v>184</v>
      </c>
      <c r="D93" s="54">
        <v>36</v>
      </c>
    </row>
    <row r="94" spans="1:6">
      <c r="A94">
        <v>31768</v>
      </c>
      <c r="B94" t="s">
        <v>185</v>
      </c>
      <c r="D94" s="54">
        <v>182</v>
      </c>
    </row>
    <row r="95" spans="1:6">
      <c r="A95">
        <v>31807</v>
      </c>
      <c r="B95" t="s">
        <v>186</v>
      </c>
      <c r="D95" s="54">
        <v>209</v>
      </c>
    </row>
    <row r="96" spans="1:6">
      <c r="A96">
        <v>31818</v>
      </c>
      <c r="B96" t="s">
        <v>187</v>
      </c>
      <c r="C96" s="54">
        <v>7</v>
      </c>
      <c r="D96" s="54">
        <v>30</v>
      </c>
    </row>
    <row r="97" spans="1:6">
      <c r="A97">
        <v>31833</v>
      </c>
      <c r="B97" t="s">
        <v>188</v>
      </c>
      <c r="D97" s="54">
        <v>480</v>
      </c>
    </row>
    <row r="98" spans="1:6">
      <c r="A98">
        <v>31854</v>
      </c>
      <c r="B98" t="s">
        <v>189</v>
      </c>
      <c r="C98" s="54">
        <v>147.30000000000001</v>
      </c>
      <c r="D98" s="54">
        <v>425.2</v>
      </c>
      <c r="E98" s="54">
        <v>698.9</v>
      </c>
    </row>
    <row r="99" spans="1:6">
      <c r="A99">
        <v>31859</v>
      </c>
      <c r="B99" t="s">
        <v>190</v>
      </c>
      <c r="C99" s="54">
        <v>253</v>
      </c>
      <c r="D99" s="54">
        <v>300</v>
      </c>
      <c r="E99" s="54">
        <v>463.6</v>
      </c>
    </row>
    <row r="100" spans="1:6">
      <c r="A100">
        <v>31862</v>
      </c>
      <c r="B100" t="s">
        <v>191</v>
      </c>
      <c r="E100" s="54">
        <v>189</v>
      </c>
    </row>
    <row r="101" spans="1:6">
      <c r="A101">
        <v>31866</v>
      </c>
      <c r="B101" t="s">
        <v>192</v>
      </c>
      <c r="C101" s="54">
        <v>63</v>
      </c>
    </row>
    <row r="102" spans="1:6">
      <c r="A102">
        <v>31872</v>
      </c>
      <c r="B102" t="s">
        <v>193</v>
      </c>
      <c r="D102" s="54">
        <v>181.5</v>
      </c>
      <c r="E102" s="54">
        <v>461.5</v>
      </c>
    </row>
    <row r="103" spans="1:6">
      <c r="A103">
        <v>31876</v>
      </c>
      <c r="B103" t="s">
        <v>194</v>
      </c>
      <c r="C103" s="54">
        <v>182</v>
      </c>
    </row>
    <row r="104" spans="1:6">
      <c r="A104">
        <v>31879</v>
      </c>
      <c r="B104" t="s">
        <v>195</v>
      </c>
      <c r="E104" s="54">
        <v>140</v>
      </c>
    </row>
    <row r="105" spans="1:6">
      <c r="A105">
        <v>31886</v>
      </c>
      <c r="B105" t="s">
        <v>196</v>
      </c>
      <c r="D105" s="54">
        <v>465</v>
      </c>
      <c r="E105" s="54">
        <v>1012</v>
      </c>
    </row>
    <row r="106" spans="1:6">
      <c r="A106">
        <v>31889</v>
      </c>
      <c r="B106" t="s">
        <v>197</v>
      </c>
      <c r="E106" s="54">
        <v>3640</v>
      </c>
    </row>
    <row r="107" spans="1:6">
      <c r="A107">
        <v>31894</v>
      </c>
      <c r="B107" t="s">
        <v>198</v>
      </c>
      <c r="E107" s="54">
        <v>275</v>
      </c>
    </row>
    <row r="108" spans="1:6">
      <c r="A108">
        <v>32008</v>
      </c>
      <c r="B108" t="s">
        <v>199</v>
      </c>
      <c r="E108" s="54">
        <v>798</v>
      </c>
    </row>
    <row r="109" spans="1:6">
      <c r="A109">
        <v>32054</v>
      </c>
      <c r="B109" t="s">
        <v>200</v>
      </c>
    </row>
    <row r="110" spans="1:6">
      <c r="A110">
        <v>32062</v>
      </c>
      <c r="B110" t="s">
        <v>201</v>
      </c>
      <c r="D110" s="54">
        <v>607</v>
      </c>
      <c r="E110" s="54">
        <v>854</v>
      </c>
      <c r="F110" s="54">
        <v>1844</v>
      </c>
    </row>
    <row r="111" spans="1:6">
      <c r="A111">
        <v>33054</v>
      </c>
      <c r="B111" t="s">
        <v>202</v>
      </c>
      <c r="C111" s="54">
        <v>218</v>
      </c>
      <c r="D111" s="54">
        <v>278</v>
      </c>
      <c r="E111" s="54">
        <v>718</v>
      </c>
    </row>
    <row r="112" spans="1:6">
      <c r="A112">
        <v>32130</v>
      </c>
      <c r="B112" t="s">
        <v>203</v>
      </c>
      <c r="D112" s="54">
        <v>180</v>
      </c>
      <c r="E112" s="54">
        <v>414</v>
      </c>
    </row>
    <row r="113" spans="1:6">
      <c r="A113">
        <v>32611</v>
      </c>
      <c r="B113" t="s">
        <v>204</v>
      </c>
      <c r="E113" s="54">
        <v>448</v>
      </c>
    </row>
    <row r="114" spans="1:6">
      <c r="A114">
        <v>35071</v>
      </c>
      <c r="B114" t="s">
        <v>205</v>
      </c>
      <c r="C114" s="54">
        <v>86</v>
      </c>
      <c r="D114" s="54">
        <v>231</v>
      </c>
    </row>
    <row r="115" spans="1:6">
      <c r="A115">
        <v>32652</v>
      </c>
      <c r="B115" t="s">
        <v>206</v>
      </c>
      <c r="D115" s="54">
        <v>222</v>
      </c>
      <c r="E115" s="54">
        <v>618</v>
      </c>
    </row>
    <row r="116" spans="1:6">
      <c r="A116">
        <v>32663</v>
      </c>
      <c r="B116" t="s">
        <v>207</v>
      </c>
      <c r="C116" s="54">
        <v>71</v>
      </c>
      <c r="D116" s="54">
        <v>414</v>
      </c>
      <c r="E116" s="54">
        <v>810</v>
      </c>
    </row>
    <row r="117" spans="1:6">
      <c r="A117">
        <v>32688</v>
      </c>
      <c r="B117" t="s">
        <v>208</v>
      </c>
      <c r="C117" s="54">
        <v>90.9</v>
      </c>
      <c r="D117" s="54">
        <v>370.9</v>
      </c>
      <c r="E117" s="54">
        <v>610.9</v>
      </c>
    </row>
    <row r="118" spans="1:6">
      <c r="A118">
        <v>33035</v>
      </c>
      <c r="B118" t="s">
        <v>209</v>
      </c>
    </row>
    <row r="119" spans="1:6">
      <c r="A119">
        <v>33052</v>
      </c>
      <c r="B119" t="s">
        <v>210</v>
      </c>
      <c r="C119" s="54">
        <v>108.2</v>
      </c>
      <c r="D119" s="54">
        <v>120</v>
      </c>
      <c r="E119" s="54">
        <v>392</v>
      </c>
    </row>
    <row r="120" spans="1:6">
      <c r="A120">
        <v>42815</v>
      </c>
      <c r="B120" t="s">
        <v>211</v>
      </c>
      <c r="C120" s="54">
        <v>62.4</v>
      </c>
      <c r="D120" s="54">
        <v>152.4</v>
      </c>
      <c r="E120" s="54">
        <v>459.4</v>
      </c>
    </row>
    <row r="121" spans="1:6">
      <c r="A121">
        <v>34002</v>
      </c>
      <c r="B121" t="s">
        <v>212</v>
      </c>
      <c r="D121" s="54">
        <v>311</v>
      </c>
      <c r="E121" s="54">
        <v>525</v>
      </c>
    </row>
    <row r="122" spans="1:6">
      <c r="A122">
        <v>34005</v>
      </c>
      <c r="B122" t="s">
        <v>213</v>
      </c>
      <c r="C122" s="54">
        <v>15</v>
      </c>
      <c r="D122" s="54">
        <v>150</v>
      </c>
      <c r="E122" s="54">
        <v>304</v>
      </c>
    </row>
    <row r="123" spans="1:6">
      <c r="A123">
        <v>34022</v>
      </c>
      <c r="B123" t="s">
        <v>214</v>
      </c>
      <c r="D123" s="54">
        <v>393</v>
      </c>
      <c r="E123" s="54">
        <v>547</v>
      </c>
    </row>
    <row r="124" spans="1:6">
      <c r="A124">
        <v>34052</v>
      </c>
      <c r="B124" t="s">
        <v>215</v>
      </c>
      <c r="C124" s="54">
        <v>144</v>
      </c>
      <c r="D124" s="54">
        <v>210</v>
      </c>
      <c r="E124" s="54">
        <v>338</v>
      </c>
      <c r="F124" s="54">
        <v>668</v>
      </c>
    </row>
    <row r="125" spans="1:6">
      <c r="A125">
        <v>34053</v>
      </c>
      <c r="B125" t="s">
        <v>216</v>
      </c>
      <c r="D125" s="54">
        <v>170</v>
      </c>
      <c r="E125" s="54">
        <v>306</v>
      </c>
    </row>
    <row r="126" spans="1:6">
      <c r="A126">
        <v>34056</v>
      </c>
      <c r="B126" t="s">
        <v>217</v>
      </c>
      <c r="C126" s="54">
        <v>178</v>
      </c>
      <c r="D126" s="54">
        <v>429</v>
      </c>
    </row>
    <row r="127" spans="1:6">
      <c r="A127">
        <v>34060</v>
      </c>
      <c r="B127" t="s">
        <v>218</v>
      </c>
      <c r="E127" s="54">
        <v>230</v>
      </c>
    </row>
    <row r="128" spans="1:6">
      <c r="A128">
        <v>34085</v>
      </c>
      <c r="B128" t="s">
        <v>219</v>
      </c>
      <c r="C128" s="54">
        <v>98</v>
      </c>
      <c r="D128" s="54">
        <v>263</v>
      </c>
      <c r="E128" s="54">
        <v>445</v>
      </c>
      <c r="F128" s="54">
        <v>690</v>
      </c>
    </row>
    <row r="129" spans="1:6">
      <c r="A129">
        <v>34093</v>
      </c>
      <c r="B129" t="s">
        <v>220</v>
      </c>
      <c r="C129" s="54">
        <v>65</v>
      </c>
      <c r="D129" s="54">
        <v>156</v>
      </c>
      <c r="E129" s="54">
        <v>513</v>
      </c>
    </row>
    <row r="130" spans="1:6">
      <c r="A130">
        <v>34254</v>
      </c>
      <c r="B130" t="s">
        <v>221</v>
      </c>
      <c r="C130" s="54">
        <v>120</v>
      </c>
      <c r="D130" s="54">
        <v>368.1</v>
      </c>
    </row>
    <row r="131" spans="1:6">
      <c r="A131">
        <v>34506</v>
      </c>
      <c r="B131" t="s">
        <v>222</v>
      </c>
      <c r="D131" s="54">
        <v>277</v>
      </c>
    </row>
    <row r="132" spans="1:6">
      <c r="A132">
        <v>34507</v>
      </c>
      <c r="B132" t="s">
        <v>223</v>
      </c>
      <c r="D132" s="54">
        <v>280</v>
      </c>
      <c r="E132" s="54">
        <v>409</v>
      </c>
    </row>
    <row r="133" spans="1:6">
      <c r="A133">
        <v>34525</v>
      </c>
      <c r="B133" t="s">
        <v>224</v>
      </c>
      <c r="C133" s="54">
        <v>150</v>
      </c>
      <c r="D133" s="54">
        <v>287</v>
      </c>
    </row>
    <row r="134" spans="1:6">
      <c r="A134">
        <v>34582</v>
      </c>
      <c r="B134" t="s">
        <v>225</v>
      </c>
      <c r="C134" s="54">
        <v>280</v>
      </c>
      <c r="D134" s="54">
        <v>300</v>
      </c>
      <c r="E134" s="54">
        <v>427</v>
      </c>
      <c r="F134" s="54">
        <v>592</v>
      </c>
    </row>
    <row r="135" spans="1:6">
      <c r="A135">
        <v>34584</v>
      </c>
      <c r="B135" t="s">
        <v>226</v>
      </c>
      <c r="C135" s="54">
        <v>103.9</v>
      </c>
      <c r="D135" s="54">
        <v>216.4</v>
      </c>
      <c r="E135" s="54">
        <v>386.4</v>
      </c>
    </row>
    <row r="136" spans="1:6">
      <c r="A136">
        <v>34592</v>
      </c>
      <c r="B136" t="s">
        <v>227</v>
      </c>
      <c r="C136" s="54">
        <v>107</v>
      </c>
      <c r="D136" s="54">
        <v>221</v>
      </c>
      <c r="E136" s="54">
        <v>407</v>
      </c>
    </row>
    <row r="137" spans="1:6">
      <c r="A137">
        <v>34593</v>
      </c>
      <c r="B137" t="s">
        <v>228</v>
      </c>
      <c r="C137" s="54">
        <v>170</v>
      </c>
      <c r="D137" s="54">
        <v>479</v>
      </c>
      <c r="E137" s="54">
        <v>851</v>
      </c>
      <c r="F137" s="54">
        <v>1264</v>
      </c>
    </row>
    <row r="138" spans="1:6">
      <c r="A138">
        <v>34597</v>
      </c>
      <c r="B138" t="s">
        <v>229</v>
      </c>
      <c r="C138" s="54">
        <v>315</v>
      </c>
      <c r="D138" s="54">
        <v>441</v>
      </c>
    </row>
    <row r="139" spans="1:6">
      <c r="A139">
        <v>35052</v>
      </c>
      <c r="B139" t="s">
        <v>230</v>
      </c>
      <c r="C139" s="54">
        <v>85.5</v>
      </c>
      <c r="D139" s="54">
        <v>140</v>
      </c>
    </row>
    <row r="140" spans="1:6">
      <c r="A140">
        <v>42022</v>
      </c>
      <c r="B140" t="s">
        <v>231</v>
      </c>
      <c r="C140" s="54">
        <v>435</v>
      </c>
      <c r="F140" s="54">
        <v>4470</v>
      </c>
    </row>
    <row r="141" spans="1:6">
      <c r="A141">
        <v>42093</v>
      </c>
      <c r="B141" t="s">
        <v>232</v>
      </c>
      <c r="D141" s="54">
        <v>424</v>
      </c>
    </row>
    <row r="142" spans="1:6">
      <c r="A142">
        <v>42661</v>
      </c>
      <c r="B142" t="s">
        <v>233</v>
      </c>
      <c r="E142" s="54">
        <v>1155</v>
      </c>
    </row>
    <row r="143" spans="1:6">
      <c r="A143">
        <v>42686</v>
      </c>
      <c r="B143" t="s">
        <v>234</v>
      </c>
      <c r="C143" s="54">
        <v>65.3</v>
      </c>
      <c r="D143" s="54">
        <v>211</v>
      </c>
    </row>
    <row r="144" spans="1:6">
      <c r="A144">
        <v>42752</v>
      </c>
      <c r="B144" t="s">
        <v>235</v>
      </c>
      <c r="C144" s="54">
        <v>125</v>
      </c>
      <c r="D144" s="54">
        <v>190</v>
      </c>
    </row>
    <row r="145" spans="1:6">
      <c r="A145">
        <v>42757</v>
      </c>
      <c r="B145" t="s">
        <v>236</v>
      </c>
      <c r="C145" s="54">
        <v>150</v>
      </c>
    </row>
    <row r="146" spans="1:6">
      <c r="A146">
        <v>42759</v>
      </c>
      <c r="B146" t="s">
        <v>237</v>
      </c>
      <c r="D146" s="54">
        <v>455.9</v>
      </c>
    </row>
    <row r="147" spans="1:6">
      <c r="A147">
        <v>46346</v>
      </c>
      <c r="B147" t="s">
        <v>238</v>
      </c>
      <c r="C147" s="54">
        <v>55</v>
      </c>
      <c r="D147" s="54">
        <v>330</v>
      </c>
      <c r="E147" s="54">
        <v>412</v>
      </c>
    </row>
    <row r="148" spans="1:6">
      <c r="A148">
        <v>42863</v>
      </c>
      <c r="B148" t="s">
        <v>239</v>
      </c>
      <c r="D148" s="54">
        <v>84</v>
      </c>
    </row>
    <row r="149" spans="1:6">
      <c r="A149">
        <v>42866</v>
      </c>
      <c r="B149" t="s">
        <v>240</v>
      </c>
      <c r="C149" s="54">
        <v>20</v>
      </c>
      <c r="D149" s="54">
        <v>296</v>
      </c>
      <c r="E149" s="54">
        <v>543</v>
      </c>
    </row>
    <row r="150" spans="1:6">
      <c r="A150">
        <v>44008</v>
      </c>
      <c r="B150" t="s">
        <v>241</v>
      </c>
      <c r="C150" s="54">
        <v>262</v>
      </c>
      <c r="D150" s="54">
        <v>472.5</v>
      </c>
    </row>
    <row r="151" spans="1:6">
      <c r="A151">
        <v>44072</v>
      </c>
      <c r="B151" t="s">
        <v>242</v>
      </c>
      <c r="C151" s="54">
        <v>164</v>
      </c>
      <c r="D151" s="54">
        <v>463</v>
      </c>
    </row>
    <row r="152" spans="1:6">
      <c r="A152">
        <v>44517</v>
      </c>
      <c r="B152" t="s">
        <v>243</v>
      </c>
      <c r="C152" s="54">
        <v>109</v>
      </c>
      <c r="D152" s="54">
        <v>317</v>
      </c>
    </row>
    <row r="153" spans="1:6">
      <c r="A153">
        <v>44542</v>
      </c>
      <c r="B153" t="s">
        <v>244</v>
      </c>
    </row>
    <row r="154" spans="1:6">
      <c r="A154">
        <v>44780</v>
      </c>
      <c r="B154" t="s">
        <v>243</v>
      </c>
      <c r="D154" s="54">
        <v>317</v>
      </c>
    </row>
    <row r="155" spans="1:6">
      <c r="A155">
        <v>46003</v>
      </c>
      <c r="B155" t="s">
        <v>245</v>
      </c>
      <c r="E155" s="54">
        <v>411</v>
      </c>
    </row>
    <row r="156" spans="1:6">
      <c r="A156">
        <v>46301</v>
      </c>
      <c r="B156" t="s">
        <v>246</v>
      </c>
      <c r="C156" s="54">
        <v>159</v>
      </c>
      <c r="D156" s="54">
        <v>324</v>
      </c>
      <c r="E156" s="54">
        <v>419</v>
      </c>
      <c r="F156" s="54">
        <v>601</v>
      </c>
    </row>
    <row r="157" spans="1:6">
      <c r="A157">
        <v>46310</v>
      </c>
      <c r="B157" t="s">
        <v>247</v>
      </c>
      <c r="D157" s="54">
        <v>334</v>
      </c>
      <c r="E157" s="54">
        <v>417</v>
      </c>
    </row>
    <row r="158" spans="1:6">
      <c r="A158">
        <v>46311</v>
      </c>
      <c r="B158" t="s">
        <v>246</v>
      </c>
      <c r="D158" s="54">
        <v>324</v>
      </c>
    </row>
    <row r="159" spans="1:6">
      <c r="A159">
        <v>46319</v>
      </c>
      <c r="B159" t="s">
        <v>248</v>
      </c>
      <c r="D159" s="54">
        <v>142</v>
      </c>
      <c r="E159" s="54">
        <v>307</v>
      </c>
    </row>
    <row r="160" spans="1:6">
      <c r="A160">
        <v>46347</v>
      </c>
      <c r="B160" t="s">
        <v>249</v>
      </c>
      <c r="D160" s="54">
        <v>322</v>
      </c>
      <c r="E160" s="54">
        <v>404</v>
      </c>
    </row>
  </sheetData>
  <autoFilter ref="A1:F160" xr:uid="{6AD36D36-9B51-4C68-A999-4F64E8E36B29}">
    <sortState xmlns:xlrd2="http://schemas.microsoft.com/office/spreadsheetml/2017/richdata2" ref="A2:F159">
      <sortCondition ref="A1:A160"/>
    </sortState>
  </autoFilter>
  <conditionalFormatting sqref="A1:A1048576">
    <cfRule type="duplicateValues" dxfId="4" priority="3"/>
  </conditionalFormatting>
  <conditionalFormatting sqref="A2:A10">
    <cfRule type="duplicateValues" dxfId="3" priority="60"/>
  </conditionalFormatting>
  <conditionalFormatting sqref="A133:A160 A11:A127">
    <cfRule type="duplicateValues" dxfId="2" priority="19"/>
  </conditionalFormatting>
  <conditionalFormatting sqref="A161:A1048576 A1">
    <cfRule type="duplicateValues" dxfId="1" priority="5"/>
  </conditionalFormatting>
  <conditionalFormatting sqref="C1:F1048576">
    <cfRule type="containsBlanks" dxfId="0" priority="1">
      <formula>LEN(TRIM(C1))=0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D18C1E9A59424E94A412655648FC88" ma:contentTypeVersion="22" ma:contentTypeDescription="Crée un document." ma:contentTypeScope="" ma:versionID="3969babdc3c640769988fff4749e696a">
  <xsd:schema xmlns:xsd="http://www.w3.org/2001/XMLSchema" xmlns:xs="http://www.w3.org/2001/XMLSchema" xmlns:p="http://schemas.microsoft.com/office/2006/metadata/properties" xmlns:ns2="f7860f64-37ba-4bd0-9062-650546c81cab" xmlns:ns3="9ccbefec-e6d9-4049-85d9-16036a305c20" xmlns:ns4="c1d954c9-a6d1-4657-aebe-0b409e03c93c" targetNamespace="http://schemas.microsoft.com/office/2006/metadata/properties" ma:root="true" ma:fieldsID="7ba29cdaf91252593d66a8df419dd42b" ns2:_="" ns3:_="" ns4:_="">
    <xsd:import namespace="f7860f64-37ba-4bd0-9062-650546c81cab"/>
    <xsd:import namespace="9ccbefec-e6d9-4049-85d9-16036a305c20"/>
    <xsd:import namespace="c1d954c9-a6d1-4657-aebe-0b409e03c9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Datedemodification" minOccurs="0"/>
                <xsd:element ref="ns2:date" minOccurs="0"/>
                <xsd:element ref="ns2:lcf76f155ced4ddcb4097134ff3c332f" minOccurs="0"/>
                <xsd:element ref="ns4:TaxCatchAll" minOccurs="0"/>
                <xsd:element ref="ns2:pardini" minOccurs="0"/>
                <xsd:element ref="ns2:MediaServiceObjectDetectorVersions" minOccurs="0"/>
                <xsd:element ref="ns2:MediaServiceSearchProperties" minOccurs="0"/>
                <xsd:element ref="ns2:Qui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860f64-37ba-4bd0-9062-650546c81c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Datedemodification" ma:index="20" nillable="true" ma:displayName="Date de modification" ma:format="DateTime" ma:internalName="Datedemodification">
      <xsd:simpleType>
        <xsd:restriction base="dms:DateTime"/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c0518c81-c1ba-45e4-9729-b2c73d8f0a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ardini" ma:index="25" nillable="true" ma:displayName="Date" ma:format="DateOnly" ma:internalName="pardini">
      <xsd:simpleType>
        <xsd:restriction base="dms:DateTim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Qui" ma:index="28" nillable="true" ma:displayName="Qui" ma:format="Dropdown" ma:list="UserInfo" ma:SharePointGroup="0" ma:internalName="Qui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cbefec-e6d9-4049-85d9-16036a305c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d954c9-a6d1-4657-aebe-0b409e03c93c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e533d4db-2efc-42e2-8afc-39bdfe1e1024}" ma:internalName="TaxCatchAll" ma:showField="CatchAllData" ma:web="c1d954c9-a6d1-4657-aebe-0b409e03c9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d954c9-a6d1-4657-aebe-0b409e03c93c" xsi:nil="true"/>
    <date xmlns="f7860f64-37ba-4bd0-9062-650546c81cab" xsi:nil="true"/>
    <lcf76f155ced4ddcb4097134ff3c332f xmlns="f7860f64-37ba-4bd0-9062-650546c81cab">
      <Terms xmlns="http://schemas.microsoft.com/office/infopath/2007/PartnerControls"/>
    </lcf76f155ced4ddcb4097134ff3c332f>
    <Qui xmlns="f7860f64-37ba-4bd0-9062-650546c81cab">
      <UserInfo>
        <DisplayName/>
        <AccountId xsi:nil="true"/>
        <AccountType/>
      </UserInfo>
    </Qui>
    <pardini xmlns="f7860f64-37ba-4bd0-9062-650546c81cab" xsi:nil="true"/>
    <Datedemodification xmlns="f7860f64-37ba-4bd0-9062-650546c81cab" xsi:nil="true"/>
  </documentManagement>
</p:properties>
</file>

<file path=customXml/itemProps1.xml><?xml version="1.0" encoding="utf-8"?>
<ds:datastoreItem xmlns:ds="http://schemas.openxmlformats.org/officeDocument/2006/customXml" ds:itemID="{5DF80437-1D28-4B19-B1E6-F491A6091161}"/>
</file>

<file path=customXml/itemProps2.xml><?xml version="1.0" encoding="utf-8"?>
<ds:datastoreItem xmlns:ds="http://schemas.openxmlformats.org/officeDocument/2006/customXml" ds:itemID="{2E1D8473-04EF-46A9-AC4F-3427CDE38B5C}"/>
</file>

<file path=customXml/itemProps3.xml><?xml version="1.0" encoding="utf-8"?>
<ds:datastoreItem xmlns:ds="http://schemas.openxmlformats.org/officeDocument/2006/customXml" ds:itemID="{DBF61359-5141-4182-9421-7E670DFCF9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Lauriane David</dc:creator>
  <cp:keywords/>
  <dc:description/>
  <cp:lastModifiedBy>Lauriane David</cp:lastModifiedBy>
  <cp:revision/>
  <dcterms:created xsi:type="dcterms:W3CDTF">2026-05-21T12:24:17Z</dcterms:created>
  <dcterms:modified xsi:type="dcterms:W3CDTF">2026-07-21T14:31:00Z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0x01010049D18C1E9A59424E94A412655648FC88</vt:lpwstr>
  </property>
  <property fmtid="{D5CDD505-2E9C-101B-9397-08002B2CF9AE}" pid="3" name="MediaServiceImageTags">
    <vt:lpwstr/>
  </property>
</Properties>
</file>