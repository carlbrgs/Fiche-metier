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amnyos.sharepoint.com/bdc/Documents Partags1/10. Outil Compétences/"/>
    </mc:Choice>
  </mc:AlternateContent>
  <xr:revisionPtr revIDLastSave="1006" documentId="13_ncr:1_{E3A8BBB1-CA2C-479A-88EA-002DE64F9BC9}" xr6:coauthVersionLast="47" xr6:coauthVersionMax="47" xr10:uidLastSave="{D8759790-62E7-445B-94ED-EACB02E6086A}"/>
  <bookViews>
    <workbookView xWindow="-110" yWindow="-110" windowWidth="19420" windowHeight="10420" xr2:uid="{00000000-000D-0000-FFFF-FFFF00000000}"/>
  </bookViews>
  <sheets>
    <sheet name="Feuil1" sheetId="1" r:id="rId1"/>
  </sheets>
  <definedNames>
    <definedName name="_xlnm._FilterDatabase" localSheetId="0" hidden="1">Feuil1!$A$1:$J$472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68" i="1" l="1"/>
  <c r="F468" i="1" s="1"/>
  <c r="F467" i="1"/>
  <c r="G466" i="1"/>
  <c r="F466" i="1" s="1"/>
  <c r="F465" i="1"/>
  <c r="G464" i="1"/>
  <c r="F464" i="1" s="1"/>
  <c r="F463" i="1"/>
  <c r="F462" i="1"/>
  <c r="G461" i="1"/>
  <c r="F461" i="1" s="1"/>
  <c r="F460" i="1"/>
  <c r="G459" i="1"/>
  <c r="F459" i="1" s="1"/>
  <c r="F458" i="1"/>
  <c r="F457" i="1"/>
  <c r="G456" i="1"/>
  <c r="F456" i="1" s="1"/>
  <c r="F455" i="1"/>
  <c r="F452" i="1"/>
  <c r="G453" i="1"/>
  <c r="F453" i="1" s="1"/>
  <c r="G451" i="1"/>
  <c r="F451" i="1" s="1"/>
  <c r="F450" i="1"/>
  <c r="G356" i="1"/>
  <c r="G449" i="1"/>
  <c r="F449" i="1" s="1"/>
  <c r="G447" i="1"/>
  <c r="F447" i="1" s="1"/>
  <c r="G445" i="1"/>
  <c r="F445" i="1" s="1"/>
  <c r="F444" i="1"/>
  <c r="F446" i="1"/>
  <c r="F448" i="1"/>
  <c r="G443" i="1" l="1"/>
  <c r="F443" i="1" s="1"/>
  <c r="F442" i="1"/>
  <c r="G399" i="1"/>
  <c r="G441" i="1"/>
  <c r="F441" i="1" s="1"/>
  <c r="F433" i="1"/>
  <c r="F434" i="1"/>
  <c r="F435" i="1"/>
  <c r="F436" i="1"/>
  <c r="F437" i="1"/>
  <c r="F438" i="1"/>
  <c r="F439" i="1"/>
  <c r="F440" i="1"/>
  <c r="F405" i="1"/>
  <c r="F404" i="1"/>
  <c r="F432" i="1"/>
  <c r="F431" i="1"/>
  <c r="F418" i="1"/>
  <c r="F419" i="1"/>
  <c r="F420" i="1"/>
  <c r="F421" i="1"/>
  <c r="F422" i="1"/>
  <c r="F423" i="1"/>
  <c r="F424" i="1"/>
  <c r="F425" i="1"/>
  <c r="F426" i="1"/>
  <c r="F427" i="1"/>
  <c r="F428" i="1"/>
  <c r="F429" i="1"/>
  <c r="F430" i="1"/>
  <c r="F417" i="1" l="1"/>
  <c r="F416" i="1"/>
  <c r="F415" i="1"/>
  <c r="F414" i="1"/>
  <c r="F413" i="1"/>
  <c r="F412" i="1"/>
  <c r="F409" i="1"/>
  <c r="F408" i="1"/>
  <c r="F406" i="1"/>
  <c r="F403" i="1"/>
  <c r="F400" i="1"/>
  <c r="F401" i="1"/>
  <c r="F402" i="1"/>
  <c r="G407" i="1"/>
  <c r="F407" i="1" s="1"/>
  <c r="F399" i="1"/>
  <c r="F398" i="1"/>
  <c r="E398" i="1" s="1"/>
  <c r="G395" i="1"/>
  <c r="F395" i="1" s="1"/>
  <c r="G396" i="1" l="1"/>
  <c r="F396" i="1" s="1"/>
  <c r="E396" i="1" s="1"/>
  <c r="F394" i="1"/>
  <c r="E394" i="1" s="1"/>
  <c r="E395" i="1"/>
  <c r="F392" i="1"/>
  <c r="G393" i="1"/>
  <c r="F393" i="1" s="1"/>
  <c r="F391" i="1"/>
  <c r="G48" i="1"/>
  <c r="F48" i="1" s="1"/>
  <c r="G32" i="1"/>
  <c r="G397" i="1" l="1"/>
  <c r="F397" i="1" s="1"/>
  <c r="E397" i="1" s="1"/>
  <c r="G387" i="1"/>
  <c r="G388" i="1" s="1"/>
  <c r="G389" i="1" s="1"/>
  <c r="G390" i="1" s="1"/>
  <c r="G386" i="1"/>
  <c r="G365" i="1"/>
  <c r="G361" i="1"/>
  <c r="G362" i="1" s="1"/>
  <c r="F334" i="1"/>
  <c r="E334" i="1" s="1"/>
  <c r="F335" i="1"/>
  <c r="E335" i="1" s="1"/>
  <c r="F336" i="1"/>
  <c r="E336" i="1" s="1"/>
  <c r="F337" i="1"/>
  <c r="F331" i="1"/>
  <c r="E331" i="1" s="1"/>
  <c r="F332" i="1"/>
  <c r="E332" i="1" s="1"/>
  <c r="F333" i="1"/>
  <c r="E333" i="1" s="1"/>
  <c r="F330" i="1"/>
  <c r="E330" i="1" s="1"/>
  <c r="F329" i="1"/>
  <c r="E329" i="1" s="1"/>
  <c r="G224" i="1"/>
  <c r="G225" i="1" s="1"/>
  <c r="F225" i="1" s="1"/>
  <c r="F326" i="1"/>
  <c r="G327" i="1"/>
  <c r="G328" i="1" s="1"/>
  <c r="F328" i="1" s="1"/>
  <c r="E328" i="1" s="1"/>
  <c r="F81" i="1"/>
  <c r="F327" i="1" l="1"/>
  <c r="F224" i="1"/>
  <c r="F163" i="1"/>
  <c r="F5" i="1" l="1"/>
  <c r="F164" i="1"/>
  <c r="F149" i="1"/>
  <c r="F169" i="1" l="1"/>
  <c r="E169" i="1" s="1"/>
  <c r="F60" i="1"/>
  <c r="F59" i="1"/>
  <c r="F50" i="1"/>
  <c r="F49" i="1"/>
  <c r="F52" i="1"/>
  <c r="F51" i="1"/>
  <c r="F53" i="1"/>
  <c r="F145" i="1"/>
  <c r="F63" i="1" l="1"/>
  <c r="F66" i="1"/>
  <c r="G84" i="1"/>
  <c r="F84" i="1" s="1"/>
  <c r="F45" i="1"/>
  <c r="F44" i="1"/>
  <c r="F82" i="1"/>
  <c r="F58" i="1"/>
  <c r="F64" i="1"/>
  <c r="F65" i="1"/>
  <c r="F166" i="1"/>
  <c r="F167" i="1"/>
  <c r="F80" i="1"/>
  <c r="G8" i="1"/>
  <c r="F8" i="1" s="1"/>
  <c r="G160" i="1"/>
  <c r="F160" i="1" s="1"/>
  <c r="F162" i="1"/>
  <c r="F159" i="1"/>
  <c r="F266" i="1"/>
  <c r="F173" i="1"/>
  <c r="F190" i="1"/>
  <c r="F189" i="1"/>
  <c r="F89" i="1"/>
  <c r="F88" i="1"/>
  <c r="F263" i="1"/>
  <c r="G136" i="1"/>
  <c r="G137" i="1" s="1"/>
  <c r="F137" i="1" s="1"/>
  <c r="F96" i="1"/>
  <c r="G95" i="1"/>
  <c r="F95" i="1" s="1"/>
  <c r="F94" i="1"/>
  <c r="F93" i="1"/>
  <c r="F109" i="1"/>
  <c r="F108" i="1"/>
  <c r="F107" i="1"/>
  <c r="G183" i="1"/>
  <c r="F183" i="1" s="1"/>
  <c r="F34" i="1"/>
  <c r="F33" i="1"/>
  <c r="F25" i="1"/>
  <c r="F26" i="1"/>
  <c r="F46" i="1"/>
  <c r="G324" i="1"/>
  <c r="G325" i="1" s="1"/>
  <c r="F325" i="1" s="1"/>
  <c r="G192" i="1"/>
  <c r="G193" i="1" s="1"/>
  <c r="F193" i="1" s="1"/>
  <c r="F267" i="1"/>
  <c r="F233" i="1"/>
  <c r="F232" i="1"/>
  <c r="F24" i="1"/>
  <c r="F23" i="1"/>
  <c r="F20" i="1"/>
  <c r="F19" i="1"/>
  <c r="F231" i="1"/>
  <c r="F230" i="1"/>
  <c r="G269" i="1"/>
  <c r="F269" i="1" s="1"/>
  <c r="E269" i="1" s="1"/>
  <c r="F238" i="1"/>
  <c r="F237" i="1"/>
  <c r="F43" i="1"/>
  <c r="F38" i="1"/>
  <c r="G41" i="1"/>
  <c r="F41" i="1" s="1"/>
  <c r="E41" i="1" s="1"/>
  <c r="F321" i="1"/>
  <c r="F322" i="1"/>
  <c r="F318" i="1"/>
  <c r="G319" i="1"/>
  <c r="F319" i="1" s="1"/>
  <c r="F315" i="1"/>
  <c r="G316" i="1"/>
  <c r="G317" i="1" s="1"/>
  <c r="F317" i="1" s="1"/>
  <c r="F312" i="1"/>
  <c r="F313" i="1"/>
  <c r="G314" i="1"/>
  <c r="F314" i="1" s="1"/>
  <c r="F309" i="1"/>
  <c r="G310" i="1"/>
  <c r="G311" i="1" s="1"/>
  <c r="F311" i="1" s="1"/>
  <c r="G254" i="1"/>
  <c r="F254" i="1" s="1"/>
  <c r="F253" i="1"/>
  <c r="F40" i="1"/>
  <c r="E40" i="1" s="1"/>
  <c r="F265" i="1"/>
  <c r="F264" i="1"/>
  <c r="F268" i="1"/>
  <c r="F191" i="1"/>
  <c r="G98" i="1"/>
  <c r="F98" i="1" s="1"/>
  <c r="F97" i="1"/>
  <c r="G101" i="1"/>
  <c r="F101" i="1" s="1"/>
  <c r="G196" i="1"/>
  <c r="F196" i="1" s="1"/>
  <c r="F195" i="1"/>
  <c r="F294" i="1"/>
  <c r="G295" i="1"/>
  <c r="G296" i="1" s="1"/>
  <c r="F296" i="1" s="1"/>
  <c r="F297" i="1"/>
  <c r="G298" i="1"/>
  <c r="G299" i="1" s="1"/>
  <c r="F299" i="1" s="1"/>
  <c r="F300" i="1"/>
  <c r="G301" i="1"/>
  <c r="F301" i="1" s="1"/>
  <c r="F303" i="1"/>
  <c r="G304" i="1"/>
  <c r="F304" i="1" s="1"/>
  <c r="F306" i="1"/>
  <c r="G307" i="1"/>
  <c r="G308" i="1" s="1"/>
  <c r="F308" i="1" s="1"/>
  <c r="F27" i="1"/>
  <c r="F290" i="1"/>
  <c r="G291" i="1"/>
  <c r="F291" i="1" s="1"/>
  <c r="G256" i="1"/>
  <c r="G257" i="1" s="1"/>
  <c r="G258" i="1" s="1"/>
  <c r="G13" i="1"/>
  <c r="G10" i="1"/>
  <c r="G11" i="1" s="1"/>
  <c r="G77" i="1"/>
  <c r="G78" i="1" s="1"/>
  <c r="G184" i="1"/>
  <c r="F185" i="1"/>
  <c r="G186" i="1"/>
  <c r="F186" i="1" s="1"/>
  <c r="G215" i="1"/>
  <c r="F215" i="1" s="1"/>
  <c r="F214" i="1"/>
  <c r="F177" i="1"/>
  <c r="G91" i="1"/>
  <c r="G92" i="1" s="1"/>
  <c r="F92" i="1" s="1"/>
  <c r="F272" i="1"/>
  <c r="G271" i="1"/>
  <c r="F271" i="1" s="1"/>
  <c r="G280" i="1"/>
  <c r="F280" i="1" s="1"/>
  <c r="G212" i="1"/>
  <c r="F212" i="1" s="1"/>
  <c r="G276" i="1"/>
  <c r="G277" i="1" s="1"/>
  <c r="F277" i="1" s="1"/>
  <c r="G72" i="1"/>
  <c r="F72" i="1" s="1"/>
  <c r="G75" i="1"/>
  <c r="F75" i="1" s="1"/>
  <c r="F47" i="1"/>
  <c r="G69" i="1"/>
  <c r="F69" i="1" s="1"/>
  <c r="G114" i="1"/>
  <c r="F114" i="1" s="1"/>
  <c r="F113" i="1"/>
  <c r="G153" i="1"/>
  <c r="F153" i="1" s="1"/>
  <c r="G235" i="1"/>
  <c r="G236" i="1" s="1"/>
  <c r="F236" i="1" s="1"/>
  <c r="E236" i="1" s="1"/>
  <c r="F208" i="1"/>
  <c r="F216" i="1"/>
  <c r="F287" i="1"/>
  <c r="F197" i="1"/>
  <c r="F68" i="1"/>
  <c r="F67" i="1"/>
  <c r="G130" i="1"/>
  <c r="G131" i="1" s="1"/>
  <c r="F234" i="1"/>
  <c r="G245" i="1"/>
  <c r="G246" i="1" s="1"/>
  <c r="F246" i="1" s="1"/>
  <c r="G248" i="1"/>
  <c r="F248" i="1" s="1"/>
  <c r="G240" i="1"/>
  <c r="G241" i="1" s="1"/>
  <c r="F239" i="1"/>
  <c r="F247" i="1"/>
  <c r="F244" i="1"/>
  <c r="F243" i="1"/>
  <c r="G106" i="1"/>
  <c r="F106" i="1" s="1"/>
  <c r="G155" i="1"/>
  <c r="F155" i="1" s="1"/>
  <c r="F154" i="1"/>
  <c r="G36" i="1"/>
  <c r="G37" i="1" s="1"/>
  <c r="F37" i="1" s="1"/>
  <c r="G151" i="1"/>
  <c r="F151" i="1" s="1"/>
  <c r="F142" i="1"/>
  <c r="G143" i="1"/>
  <c r="G144" i="1" s="1"/>
  <c r="F144" i="1" s="1"/>
  <c r="G140" i="1"/>
  <c r="G141" i="1" s="1"/>
  <c r="F141" i="1" s="1"/>
  <c r="F139" i="1"/>
  <c r="G220" i="1"/>
  <c r="G221" i="1" s="1"/>
  <c r="G204" i="1"/>
  <c r="F204" i="1" s="1"/>
  <c r="G198" i="1"/>
  <c r="F198" i="1" s="1"/>
  <c r="F200" i="1"/>
  <c r="G201" i="1"/>
  <c r="G202" i="1" s="1"/>
  <c r="F202" i="1" s="1"/>
  <c r="G251" i="1"/>
  <c r="G252" i="1" s="1"/>
  <c r="F252" i="1" s="1"/>
  <c r="G3" i="1"/>
  <c r="F295" i="1" l="1"/>
  <c r="F235" i="1"/>
  <c r="F136" i="1"/>
  <c r="G205" i="1"/>
  <c r="F205" i="1" s="1"/>
  <c r="F143" i="1"/>
  <c r="G187" i="1"/>
  <c r="F187" i="1" s="1"/>
  <c r="F192" i="1"/>
  <c r="F316" i="1"/>
  <c r="F220" i="1"/>
  <c r="F310" i="1"/>
  <c r="G199" i="1"/>
  <c r="F199" i="1" s="1"/>
  <c r="G320" i="1"/>
  <c r="F320" i="1" s="1"/>
  <c r="F91" i="1"/>
  <c r="F307" i="1"/>
  <c r="F324" i="1"/>
  <c r="F36" i="1"/>
  <c r="G305" i="1"/>
  <c r="F305" i="1" s="1"/>
  <c r="F276" i="1"/>
  <c r="F298" i="1"/>
  <c r="G242" i="1"/>
  <c r="F242" i="1" s="1"/>
  <c r="F241" i="1"/>
  <c r="F221" i="1"/>
  <c r="G222" i="1"/>
  <c r="F222" i="1" s="1"/>
  <c r="G132" i="1"/>
  <c r="F132" i="1" s="1"/>
  <c r="F131" i="1"/>
  <c r="F201" i="1"/>
  <c r="G249" i="1"/>
  <c r="F240" i="1"/>
  <c r="G302" i="1"/>
  <c r="F302" i="1" s="1"/>
  <c r="F245" i="1"/>
  <c r="F140" i="1"/>
  <c r="F130" i="1"/>
  <c r="G292" i="1"/>
  <c r="F292" i="1" s="1"/>
  <c r="G138" i="1"/>
  <c r="F138" i="1" s="1"/>
  <c r="F249" i="1" l="1"/>
  <c r="G250" i="1"/>
  <c r="F250" i="1" s="1"/>
</calcChain>
</file>

<file path=xl/sharedStrings.xml><?xml version="1.0" encoding="utf-8"?>
<sst xmlns="http://schemas.openxmlformats.org/spreadsheetml/2006/main" count="1313" uniqueCount="928">
  <si>
    <t>NSF</t>
  </si>
  <si>
    <t>Formacode</t>
  </si>
  <si>
    <t>INTITULE</t>
  </si>
  <si>
    <t>Niveau d'approfondissement</t>
  </si>
  <si>
    <t>Durée mois (durée retenue milieu intervalle)</t>
  </si>
  <si>
    <t>Durée réelle en semaines</t>
  </si>
  <si>
    <t>Durée réelle en heures</t>
  </si>
  <si>
    <t>Méthode de calcul</t>
  </si>
  <si>
    <t>Source</t>
  </si>
  <si>
    <t>Mathématiques</t>
  </si>
  <si>
    <t>Correspond à une licence dans le domaine des mathématiques et au pré-requis attendu pour s'engager dans des études de mathématiques spécialisées</t>
  </si>
  <si>
    <t>2 mois</t>
  </si>
  <si>
    <t>- Calcul 180 heures par an sur 2 ans + 1/6ème du temps de stage (16 semaines de stage comme durée maximale soit 2,6 semaines) 
Total de 7,5 semaines</t>
  </si>
  <si>
    <t>Correspond à la partie du volume horaire"mathématiques" du programme du BTS Systèmes Numériques</t>
  </si>
  <si>
    <t>1/2 * 82,5 heures enseignements pro maths, 1/2 * 82,5 heures enseignements maths + 21 heures période stage = 103,5 heures, soit 3,0 semaines</t>
  </si>
  <si>
    <t>Correspond aux enseignements mathématiques prévus en cap</t>
  </si>
  <si>
    <t>Météorologie</t>
  </si>
  <si>
    <t xml:space="preserve">je retiens météorologie générale (24 heures) + météorologie aéronautique (24 heures) + dossier de vol météorologique (12 heures) = 60 heures </t>
  </si>
  <si>
    <t>Formation flight dispacher (agent d'opérations) de l'Ecole nationale de l'aviation civile (RNCP34587) - niv 4</t>
  </si>
  <si>
    <t>Insémination animale</t>
  </si>
  <si>
    <t>4 unités de savoir parmi 119 unités, à savoir Mobiliser des connaissances scientifiques et techniques en vue de conduire la reproduction des animaux d’élevage (cad Caractériser et comparer les appareils reproducteurs mâle et femelle, Exposer la physiologie de la reproduction et de la lactation, Justifier les techniques de conduite de la reproduction) et Planifie et met en œuvre la reproduction des animaux. Durée de formation égale à 1568 heures, avec 560 heures de stage. 
Total = 52,7 heures + 18,8 de PFMP = 71,5 heures soit 2 semaines</t>
  </si>
  <si>
    <t>Bac pro conduite et gestion de l'exploitation animale</t>
  </si>
  <si>
    <t>10 unités de savoir parmi 172 unités, à savoir "1.3. Approfondir les connaissances anatomiques et physiologiques relatives à la reproduction des animaux d’élevage" + "Approfondir les connaissances de l’amélioration génétique permettant de comprendre la mise en œuvre de la sélection et des croisements" + "Approfondir les connaissances en reproduction animale pour analyser les indicateurs de réussite d’un élevage dans son contexte" + unités 2.2 à 2.8... Durée de formation égale à 1740 heures avec 664 heures de stage et projet tutoré. 
Total = Niv 1 + 101,2 heures + 38,6 de PFMP = 211,3 heures soit 6 semaines</t>
  </si>
  <si>
    <t>BTS Production animale</t>
  </si>
  <si>
    <t>9 unités de savoir sur 10 (toutes à l'exception de l'entretien du matériel et de la verrerie). Durée de formation totale égale à 6 semaines (mêlant théorie et pratique), soit 210 heures. Total = niv 2 + 189 heures soit 11,4 semaines</t>
  </si>
  <si>
    <t>Certificat d’aptitude aux fonctions d’inséminateur (licence d’insémination)</t>
  </si>
  <si>
    <t>Gestion exploitation agricole</t>
  </si>
  <si>
    <t>70 heures correspondant au module Entreprise agricole, marchés et territoires. Durée totale de formation égale à 1568 heures, avec 560 heures de stage. 
Total = 70 heures + 25 PFMP = 95 heures soit 2,7 semaines</t>
  </si>
  <si>
    <t>Bac pro Conduite et gestion de l’entreprise agricole</t>
  </si>
  <si>
    <t>6 unités de savoir parmi 38, à savoir les unités de "raisonner un investissement", "tenir compte des enjeux juridiques et fiscaux", et  les 4 unités présentes dans la catégorie "Raisonner une stratégie de l'entreprise agricole conciliant compétitivité et respect de l'environnement". Durée totale de formation égale à 1740 heures, avec 490 heures de stage. 
Total = Niv 1 + 274,7 heures + 77,4 de PFMP = 447,1 heures soit 12,8 semaines</t>
  </si>
  <si>
    <t xml:space="preserve">BTSA Analyse, conduite et stratégie de l’entreprise agricole </t>
  </si>
  <si>
    <t>247,5 heures correspondant aux savoirs "Diagnostic de l'exploitation" et "Réglementation et aspects juridiques". Durée de formation totale égale à 1650 heures, avec 577,5 heures de stage. 
Total = Niv 2 + 247,5 + 86,6 de PFMP = 781,2 heures soit 22,3 semaines</t>
  </si>
  <si>
    <t>Licence professionnelle Agronomie - Université Grenoble Alpes</t>
  </si>
  <si>
    <t>Elevage</t>
  </si>
  <si>
    <t>62 heures correspondant au volume horaire dédié à Zootechnie (sciences de l'élevage). Durée de formation de 1922 heures, avec 280 heures de stage.
Total = 62 heures + 9 de PFMP = 71 heures soit 2 semaines</t>
  </si>
  <si>
    <t>Bac pro SCIENCES ET TECHNOLOGIES DE L'AGRONOMIE ET DU VIVANT</t>
  </si>
  <si>
    <t>239,5 heures correspondant à 2/3 du module "Appréciation, manipulations et interventions sur les animaux et les surfaces
fourragères" et au module "Conduites d’élevages". Durée de formation égale à 1740 heures avec une durée de stage et projet tutoré de 664 heures. 
Total = Niv 1 + 239,5 heures + 91,3 de PFMP = 401,6 heures soit 11,5 semaines</t>
  </si>
  <si>
    <t xml:space="preserve">Fromage </t>
  </si>
  <si>
    <t xml:space="preserve">4 unités de compétences. Je retiens UC3 être capable de mettre en oeuvre les techniques de transformation pour des produits fermiers dans le respect de l'hygiène, de l'environnement, de la sécurité alimentaire et du travail dans laquelle je retiens OI 33/OI34/OI36 (soit 3 sur 6). Programme EFEA : 16 semaines en centre (560h) + 36 semaines en entreprise                                                       560 : 4 = 140 heures. 140 : 6 x 3 = 70 heures. Même raisonnement appliqué à la période en entreprise : 157,5 heures. TOTAL : 70 + 157,5 = 227,5 heures (j'applique le système des poupées russes, je retiens 1/3 du CS) niv 2 = niv 1 + un tiers de 227,5 = 187,5 + 75,8 = 263 heures = 7,5 semaines </t>
  </si>
  <si>
    <t>CS production transformation et commercialisation de produits fermiers (niveau bac)</t>
  </si>
  <si>
    <t>2 blocs de compétences correspondent aux activités professionnelles. 
Dans bloc 1, il y a 6 compétences globales. On retient C2 veiller à la qualité de l’affinage, C4 assurer l’élaboration et le stockage de préparations laitières/fromagères (seulement la moitié, partie sur l'élaboration)
1500 : 2 = 750  heures par bloc
750 : 6 = 125 par compétence globale. 125 x 1,5 = 187,5 heures = 5,3 semaines</t>
  </si>
  <si>
    <t>CAP crémier-fromager</t>
  </si>
  <si>
    <t>VINIFICATION ŒNOLOGIE</t>
  </si>
  <si>
    <t>Correspond à 4 capacités associées au bloc Conduire une production vinicole + 1/2 capacité du bloc 7 Stratgéie de production, soit 140,65 heures de formation
+ 97,8 heures en entreprise
Total niv 3 = niv 2 + 238,45 heures = 518,6 heures soit 14,8 semaines</t>
  </si>
  <si>
    <t>BTS viti/ vini</t>
  </si>
  <si>
    <t>Correspond à 2/5 compétences de l'unité 5 Réaliser des choix techniques  + 1/4 compétences de l'unité 6 Piloter une entreprise + 4/4 compétences de l'une 7 Conduire des travaux en cave. Au total 7/27 compétences techniques du bac pro soit 134,7 heures
+ 145,6 heures en entreprise
Total niv 2 =  280,3 heures = 8,1 semaines
on ne cumule pas niv. 1 et 2 car le capa recoupe pour partie le bac pro</t>
  </si>
  <si>
    <t>Bac Pro Conduite et gestion de l'entreprise viti/vinicole</t>
  </si>
  <si>
    <t>Correspond à mise en œuvre des travaux de cave = 103 heures de formation (1UC/7)
+ période en entreprise 65 heures
Total niv 1 = 168 heures soit 4,8 semaines</t>
  </si>
  <si>
    <t>CAPA Vigne et Vin</t>
  </si>
  <si>
    <t>CONFISERIE CHOCOLATERIE</t>
  </si>
  <si>
    <t xml:space="preserve">23 compétences terminales. Je retiens 2 compétences terminales C22 réaliser des produits de chocolaterie, C23 confectionner des confiseries et C24 fabriquer des pâtisseries spécialisées à base de chocolat. 1500 : 23 x 3 = 196 heures </t>
  </si>
  <si>
    <t xml:space="preserve">CAP chocolatier confiseur </t>
  </si>
  <si>
    <t>Dans le référentiel de certification, je retiens  C2-12 et C2-13. La formation se fait sur 2 ans (34 semaines en entreprise et 13 semaines au campus par an selon le campus des métiers du 37). 47 semaines x 2 = 94 semaines de formation, soit 3290 heures. 3290 : 29 x 2 =  227 heures (quand niv 1 est un CAP et niv 2 un bac pro, on retient 1/3 du bac pro. Pour un BP, je choisis de retenir 1/2) Donc niv 2 = niv 1 + la moitié des 227 heures = 309 heures</t>
  </si>
  <si>
    <t>BTM pâtissier confiseur glacier traiteur niveau 4</t>
  </si>
  <si>
    <t>Pâtisserie</t>
  </si>
  <si>
    <t xml:space="preserve">5 domaines de compétences. Je retiens le domaine de compétences "production". Dans ce domaine de compétences, il y a 6 capacités de référence (C). J'en retiens 2 : les mélanges et les développements. La formation se fait sur 2 ans (34 semaines en entreprise et 13 semaines au campus par an selon le campus des métiers du 37). 47 semaines x 2 = 94 semaines de formation, soit 3290 heures. 3290 : 5 = 658 heures par domaine de compétences. 658 : 6 x 2 = 219 heures  (quand niv 1 est un CAP et niv 2 un bac pro, on retient 1/3 du bac pro. Pour un BP, je choisis de retenir 1/2) Donc niv 2 = niv 1 + la moitié des 219 heures = 303,5 heures = 8,6 semaines </t>
  </si>
  <si>
    <t xml:space="preserve">54 compétences opérationnelles. On retient les compétences relatives à l'élaboration d'une pâte (C3.4, C3.5, C3.6, C3.7, C3.11, C5.1 et C5.2), soit 7 compétences. 1500 : 54 = 27,7 x 7 = 194,4 heures (= 5,6 semaines) </t>
  </si>
  <si>
    <t xml:space="preserve">CAP Pâtissier </t>
  </si>
  <si>
    <t>GLACERIE</t>
  </si>
  <si>
    <t>je retiens C22 réaliser les mix à turbiner, C23 réaliser les produits non turbinés, C24 réaliser les produits de pâtisserie, de confiserie et de chocolaterie du glacier (3/22). 1500 : 22 x 3 = 205 heures</t>
  </si>
  <si>
    <t xml:space="preserve">CAP Glacier fabricant </t>
  </si>
  <si>
    <t>Dans le référentiel de certification, je retiens C214. La formation se fait sur 2 ans (34 semaines en entreprise et 13 semaines au campus par an selon le campus des métiers du 37). 47 semaines x 2 = 94 semaines de formation, soit 3290 heures. 3290 : 29 = 113 heures (quand niv 1 est un CAP et niv 2 un bac pro, on retient 1/3 du bac pro. Pour un BP, je choisis de retenir 1/2) Donc niv 2 = niv 1 + la moitié des 113 heures = 262 heures</t>
  </si>
  <si>
    <t xml:space="preserve">Boulangerie </t>
  </si>
  <si>
    <t xml:space="preserve">34 compétences terminales. Je retiens C1.4 maîtriser les différents process de panification et de production boulangère et C2.2 préparer fabriquer. (34 semaines en entreprise et 13 semaines au campus par an selon le campus des métiers du 37) 47 semaines x 2 = 94 semaines de formation, soit 3290 heures. 3290 : 34 x 2 = 193 heures. (quand niv 1 est un CAP et niv 2 un bac pro, on retient 1/3 du bac pro. Pour un BP, je choisis de retenir 1/2). niv 2 = niv 1 + la moitié des 193 heures = 272 heures = 7,8 semaines </t>
  </si>
  <si>
    <t>Brevet professionnel boulanger</t>
  </si>
  <si>
    <t xml:space="preserve">Méthode de calcul : 17 compétences terminales. Je retiens C2.2 et C2.3. 1500 : 17 x 2 = 176 heures </t>
  </si>
  <si>
    <t>CAP Boulanger</t>
  </si>
  <si>
    <t>Laboratoire analyse agroalimentaire</t>
  </si>
  <si>
    <t>2/3 du Bac pro Laboratoire contrôle qualité, 434*2/3</t>
  </si>
  <si>
    <t>Bac pro Laboratoire contrôle qualité</t>
  </si>
  <si>
    <t xml:space="preserve">unités de capacité 9 et 10 : Raisonner le choix des méthodes et des appareillages  et   Réaliser les analyses physico-chimiques, biochimiques, microbiologiques et biologiques adaptées aux objectifs retenus dans le respect des procédures et des règles en matière de santé, de sécurité au travail et d’environnement. : 434 heures
</t>
  </si>
  <si>
    <t>On retient 5 unités de savoirs du bloc Analyses microbiologiques et 6 unités de savoirs du bloc analyse biochimique, soit 11 unités de savoirs / 143 unités de savoirs qui constituent le BTS.
Période de formation : 117,6 heures + 31,85 heures de PMSMP = 149,5 heures
Total niv 3 = niv 2 + 149,5 = 434 + 149,5 = 583,5 heures</t>
  </si>
  <si>
    <t>BTS Bioanalyses et contrôles</t>
  </si>
  <si>
    <t xml:space="preserve">Bonnes pratiques hygiène agroalmentaire </t>
  </si>
  <si>
    <t>Durée totale de la formation : 735 heures / 2 modules de formation (1. préparation de la production (4 semaines) / 2. conduite d'un équipement (9 semaines)) / Période en entreprise : 5 semaines / Le module 1 permet l'acquisition de 3 compétences dont "appliquer et respecter les bonnes pratiques d'hygiène relatives à l'entreprise et aux produits à traiter" / 4 semaines x 35 heures = 140 heures / 140 : 3 = 46,6 heures par compétence / répartition du stage : 4/15ème des 5 semaines correspond au module 1 = 2 semaines soit 70 heures (soit 23,3 heures par compétence (70 : 3) / 46,6 + 23,3 = 69,9 heures (arrondi à 70)</t>
  </si>
  <si>
    <t>Titre pro Conducteur d’équipements agroalimentaires - niveau 3 (programme de l’AFPA)</t>
  </si>
  <si>
    <t xml:space="preserve"> C45 appliquer et/ou vérifier l'application des mesures d'hygiène, de sécurité, d'environnement, de prévention ou de sauvegarde ; et C47 Effectuer des opérations de nettoyage et de désinfection. Le bac pro compte 16 compétences. 1960 : 16 x 2 = 245 heures (pas de système de poupées russes avec le titre pro)</t>
  </si>
  <si>
    <t>Bac pro Bio industries de transformation</t>
  </si>
  <si>
    <t>On retient "Le management de la qualité, de la sécurité sanitaire des aliments et de l’environnement" soit 72,5 + niv 2</t>
  </si>
  <si>
    <t>BTS BIOQUALIM</t>
  </si>
  <si>
    <t>Transformation produit mer</t>
  </si>
  <si>
    <t xml:space="preserve">dans la fonction 2, je retiens les tâches 2 et 3. 1500 : 5 : 4 x 2 = 150 heures = 4,2 semaines </t>
  </si>
  <si>
    <t xml:space="preserve">CAP Poissonnier </t>
  </si>
  <si>
    <t xml:space="preserve">ancien calcul : 15 compétences
On retient effectuer les opérations techniques de transformation des poissons, coquillages, crustacés et mollusques
1500 : 15 = 100 heures = 2,8 semaines </t>
  </si>
  <si>
    <t>28 compétences 
On retient 6 compétences : C1.4 Préparer les espaces de travail / C2.3 : peser, mesurer, quantifier / C2.4 : préparer, transformer, fabriquer /C2.7 maintenir en état des postes de travail, les matériels, les locaux, les équipements et le soutillages / C.2.9 réagir aux aléas et mener des actions correctives / C3.4 : vérifier le bon fonctionnement des appareils utilisés et de leurs dispositifs de sécurité 
1960 : 28 x 6 = 420 heures. niv 2 = niv 1 + 1/3 du niv 2 = 240 heures = 6,8 semaines</t>
  </si>
  <si>
    <t xml:space="preserve">bac pro poissonnier écailleur traiteur </t>
  </si>
  <si>
    <t>Règlementation hygiène agroalimentaire</t>
  </si>
  <si>
    <t xml:space="preserve"> Assurer et faire assurer un entretien quotidien par l’hygiène, la prévention des infections et accidents et l’application des instructions qualité, 80h</t>
  </si>
  <si>
    <t>Bac pro Conduite et gestion de l'exploitation agricole, Agrocampus Perpignan</t>
  </si>
  <si>
    <t>Les savoirs suivants ont été retenus : Identifier les préconisations en matière de nutrition et de santé, Appliquer / prendre en compte les textes réglementaires et normatifs, Organiser la traçabilité des produits dans l’atelier, Expliquer les méthodes d’analyse et de gestion des risques associés aux produits alimentaires
Ainsi, 4 savoirs sur 36 pour une durée de formation égale à 1800 heures, ce qui donne le calcul suivant : 4/36*1800  = 198 heures de formation + 50h période en  entreprise
Niv 2 = niv 1 + 248 = 328 heures, soit 9,4 semaines</t>
  </si>
  <si>
    <t>BTSA Sciences et Technologies des aliments</t>
  </si>
  <si>
    <t>UE3 règlementation, hygiène et sécurité alimentaire = 6 ECTS [1 ECTS équivaut à 25 à 30 heures de travail soit une moyenne de 27,5 heures (cours, séminaires, projets, travaux pratiques, stages en entreprise et études personnelles) - source : Guide d'utilisation ECTS - 2015 - Erasmus plus - Commission Européenne.] 6 x 27,5 = 165 heures 
Niv 3 = Niv 2 + 165 =  493 heures, soit 14,1 semaines</t>
  </si>
  <si>
    <t>Licence pro industrie agroalimentaire : gestion, production et valorisation, parcours développement de projets, innovations alimentaires - Université Lyon 1</t>
  </si>
  <si>
    <t xml:space="preserve">Vollaillerie </t>
  </si>
  <si>
    <t xml:space="preserve">le référentiel compte 5 fonctions. Dans la fonction transformation, je retiens la moitié de la tâche 3 habillage d'une vollaille, préparation des produits tripiers. 1500 : 5 : 3 : 2 = 50 heures = 1,4 semaines </t>
  </si>
  <si>
    <t>CAP boucher</t>
  </si>
  <si>
    <t>Traçabilité agroalimentaire (non utilisé pour le moment)</t>
  </si>
  <si>
    <t>Mélange d’éléments de l’unité Contrôler la qualité de fabrication et d’éléments de l’unité Agréer, évaluer et qualifier le produit des entrées aux sorties, 160h</t>
  </si>
  <si>
    <t>CHARCUTERIE</t>
  </si>
  <si>
    <t xml:space="preserve">dans le savoir-faire "produire et réaliser", je retiens réaliser des fabrications charcutières (1/12) = 125 heures </t>
  </si>
  <si>
    <t xml:space="preserve">CAP charcutier traiteur </t>
  </si>
  <si>
    <t>le référentiel comprend 6 savoirs associés. Dans le savoir S1 technologie, je retiens  S1.9 et S1.10 (donc 2/11). BP se fait sur 2 ans : 26 semaines de cours et 52 semaines en entreprise, donc au total 2730 heures. Prérequis pour entrer en BP, être notamment titulaire du CAP charcutier traiteur. Je vais donc appliquer le système des poupées russes entre niv 1 et niv 2. 2730 : 6 : 11 x 2 = 83 heures. niv 2 = niv 1 + 83 = 208 heures</t>
  </si>
  <si>
    <t xml:space="preserve">Brevet professionnel charcutier traiteur - organisation des cours selon le CFA de la CMA Bretagne </t>
  </si>
  <si>
    <t>Conserve</t>
  </si>
  <si>
    <t>Pas de certification esistante au RNCP abordant ce sujet .
Formation CTPA  : 5 jours + 5 jours  de mise en pratique</t>
  </si>
  <si>
    <t>Certification CTPA « conduire une activité de conserverie »</t>
  </si>
  <si>
    <t>TRIPERIE</t>
  </si>
  <si>
    <t>Abattage</t>
  </si>
  <si>
    <t xml:space="preserve">Par soucis d'efficacité, calcul identique au DC viande 
Je retiens la fonction 2 transformation (1 sur 5). Dans la fonction 2, je retiens les tâches 2 et 3 (2 sur 3)1500 : 5 = 300 heures : 3 x 2 = 200 heures </t>
  </si>
  <si>
    <t>CAP Boucher</t>
  </si>
  <si>
    <t>Par soucis d'efficacité, calcul identique au DC viande 
je retiens la fonction 2 production (1 sur 4). 1960 : 4 = 490. dans production je retiens 5 tâches sur 8. (490 : 8 x 5 = 306,25)J'applique la méthode des poupées russes et je retiens 1/3 de la durée. 306,25 : 3 = 102. niv 2 = niv 1 + 102 = 302 heures = 8,6 semaines</t>
  </si>
  <si>
    <t xml:space="preserve">bac pro boucher charcutier traiteur </t>
  </si>
  <si>
    <t>viande</t>
  </si>
  <si>
    <t xml:space="preserve">Je retiens la fonction 2 transformation (1 sur 5). Dans la fonction 2, je retiens les tâches 2 et 3 (2 sur 3)1500 : 5 = 300 heures : 3 x 2 = 200 heures </t>
  </si>
  <si>
    <t>ancien calcul sur le CAP Boucher 38 compétences terminales
On retient C2.4 réaliser les opérations de préparation / C2.9 valoriser l’intégralité de la carcasse dans une démarche de développement durable 
1500 : 38 x2 = 79 heures = 2,2 semaines</t>
  </si>
  <si>
    <t>je retiens la fonction 2 production (1 sur 4). 1960 : 4 = 490. dans production je retiens 5 tâches sur 8. (490 : 8 x 5 = 306,25)J'applique la méthode des poupées russes et je retiens 1/3 de la durée. 306,25 : 3 = 102. niv 2 = niv 1 + 102 = 302 heures = 8,6 semaines</t>
  </si>
  <si>
    <t>ancien calcul sur BP boucher 38 compétences terminales. Je retiens C2.3 stocker les marchandises, C2.4 réaliser les opérations de préparation et C2.9 valoriser l'intégralité de la carcasse (34 semaines en entreprise et 13 semaines au campus par an selon le campus des métiers du 37) 47 semaines x 2 = 94 semaines de formation, soit 3290 heures. (quand niv 1 est un CAP et niv 2 un bac pro, on retient 1/3 du bac pro. Pour un BP, je choisis de retenir 1/2)  3290 : 38 x 3 = 260 heures. Niv 2 = niv 1  + la moitié de 260 =209 heures</t>
  </si>
  <si>
    <t>On retient "superviser et maitriser la gestion des productions bouchères  (51,3h) et la moitié de "concevoir des offres de prestations bouchères - charcutières" (25,6h) = 77H + niv 2</t>
  </si>
  <si>
    <t>BM boucher charcutier traiteur</t>
  </si>
  <si>
    <t xml:space="preserve">Génie civil </t>
  </si>
  <si>
    <t xml:space="preserve">Je retiens S7 techniques et procédés de mise en oeuvre (1 savoir sur 9)
1500 : 9 = 167 heures = 4,8 semaines </t>
  </si>
  <si>
    <t xml:space="preserve">BEP travaux publics </t>
  </si>
  <si>
    <t xml:space="preserve">Je retiens S7 techniques et procédés de mise en oeuvre (1 savoir sur 9)
1960 : 9 = 218 heures
j'applique le système des poupées russes
niv 2 = niv 1 + un tiers de 218 = 240 heures = 6,9 semaines </t>
  </si>
  <si>
    <t>Bac pro travaux publics</t>
  </si>
  <si>
    <t>VRD</t>
  </si>
  <si>
    <t xml:space="preserve">je retiens S5.2 les réseaux de canalisation / S5.3 les réseaux routiers et voirie urbaine / S7.8 assemblage et pose d'éléments de réseaux, soit 3 savoirs sur 33.
niv 1 = 1500 : 33 x 3 = 136 heures = 3,9 semaines </t>
  </si>
  <si>
    <t xml:space="preserve">je retiens C3.9 réaliser des réseaux (adduction d'eau) / C3.10 réaliser des ouvrages routiers, soit 2 compétences sur 21
1960 : 21 x 2 = 187
j'applique la mathode des poupées russes :
niv 2 = niv 1 + 1/3 de 187 = 198 heures = 5,7 semaines </t>
  </si>
  <si>
    <t xml:space="preserve">BTP conception organisation </t>
  </si>
  <si>
    <t>sur 21 compétences, je retiens C2-1 organiser le chantier 
1960 : 21  = 93 heures = 2,7 semaines</t>
  </si>
  <si>
    <t>Maitrise d'ouvrages</t>
  </si>
  <si>
    <t>1960 heures avec stage 
On retient 10 domaines de savoirs .
S5 : Technologie de construction +S7 : Techniques de construction et de mise en œuvre : 392 HEURES</t>
  </si>
  <si>
    <t>Bac pro Technicien du bâtiment : organisation et réalisation du gros œuvre</t>
  </si>
  <si>
    <t>On retient : Technique de construction et de mise en œuvre : 2 ECTS = Plans de structure 2ECTS DONC 110  heures + 
Durée de stage  : 8 semaines / 280 heures. On conserve 1/3 (3 blocs de compétences : 90 HEURES 
Donc 200 heures + niveau 1 : 592</t>
  </si>
  <si>
    <t>BTS Bâtiment</t>
  </si>
  <si>
    <t>On retient : 94 h construction + 164 h maintenance et réhabilitation du patrimoine : 258h  soit 7,3 semaines
= 16 semaines de stage (on retient 1/5 pour les 4 modules) soit 4 semaines / 140 heures
Donc 398 heures</t>
  </si>
  <si>
    <t>Licence professionnelle mention Métiers du BTP : bâtiment et construction, parcours type Maintenance et réhabilitation</t>
  </si>
  <si>
    <t xml:space="preserve">Génie climatique </t>
  </si>
  <si>
    <t xml:space="preserve">je retiens les tâches suivantes : positionner les équipements ; repérer, raccorder, assembler les réseaux fluidiques, aérauliques et électriques ; contrôler les circuits hors fonctionnement; tirer au vide, charger et contrôler l'installation sous tension. 4/16 tâches. 
1500 : 16 = 93,75 x 4 = 375 heures = 10,7 semaines </t>
  </si>
  <si>
    <t xml:space="preserve">CAP installateur en froid et conditionnement d'air </t>
  </si>
  <si>
    <t>je retiens les tâches suivantes : implanter les appareils et accessoires / réaliser des modifications sur les réseaux fluidiques / câbler, raccorder les équipements électriques  / réaliser la mise en service et/ou l'arrêt de l'installation / réaliser une opération de maintenance préventive / réaliser une opération de maintenance corrective, soit 6 tâches sur 19. 
1960 : 19 x 6 = 619 heures 
j'applique le système des poupées russes. niv 2 = niv 1 + 1/3 de 619 = 581 heures = 16,6 semaines</t>
  </si>
  <si>
    <t>Bac pro spécialité maintenance et efficacité énergétique</t>
  </si>
  <si>
    <t xml:space="preserve">Chaudronnerie aéronautique </t>
  </si>
  <si>
    <t xml:space="preserve">Je retiens S5.3 l'usinage / S5.10 procédés de fabrication de pièces métalliques en tôle / S5.15 techniques de réparation structurale / S5.17 métallisation / S5.26 techniques de soudage, de brassage fort et tendre et de collage, soit 5 savoirs sur 94. 
1500 : 94 x 5 = 80 heures = 2,3 semaines </t>
  </si>
  <si>
    <t xml:space="preserve">CAP aéronautique </t>
  </si>
  <si>
    <t xml:space="preserve">Je retiens S5.3 l'usinage (=4 savoirs) / S5.10 procédés de fabrication de pièces métalliques en tôle / S5.15 techniques de réparation structurale / S5.17 métallisation / S5.28 techniques de soudage, de brassage fort et tendre et de collage, soit 8 savoirs sur 134.
1960 : 134 x 8 = 117. 
j'applique le systèmes des poupées russes : niv 2 = niv 1 + 1/3 de 117 = 119 heures = 3,4 semaines </t>
  </si>
  <si>
    <t xml:space="preserve">Bac pro aéronautique </t>
  </si>
  <si>
    <t>Mécanique vol</t>
  </si>
  <si>
    <t xml:space="preserve">je retiens S2 principes du vol, propulsion, soit un savoir sur 10. 
1500 : 10 = 150 heures = 4,3 semaines </t>
  </si>
  <si>
    <t xml:space="preserve">je retiens S2 aérodynamique, théorie du vol et de la propulsion, soit 1 savoir sur 10. 
1960 : 10 = 196 heures = 5,6 semaines </t>
  </si>
  <si>
    <t xml:space="preserve">Dans le savoir 6 étude de l’aéronef et de ses systèmes, je retiens l’étude du comportement de l’aéronef (1/3). 
Le savoir 6 = 660 heures sur 2 ans. 660 : 3 = 220 heures
Niv 3 = niv 2 + 220 heures = 416 heures = 11,9 semaines </t>
  </si>
  <si>
    <t>BTS aéronautique</t>
  </si>
  <si>
    <t>Construction aéronautique</t>
  </si>
  <si>
    <t xml:space="preserve">je retiens S1.1 présentation fonctionnelle et structurelle / tout S4 étude des matériaux et produits associés / S6.1.2 structures, soit 10 sur 94. 
1500 : 94 x 10 = 160 heures = 4,6 semaines </t>
  </si>
  <si>
    <t>je retiens tout S4 étude des matériaux et produits associés / S6.1.2 structures, soit 12 savoirs sur 134. 196 + 14,6 = 211 heures
j'applique le système des poupées russes : niv 2 = niv 1 + /3 de 211 = 230 heures = 7 semaines</t>
  </si>
  <si>
    <t xml:space="preserve">Dans le savoir 7 procédés et processus d’assemblage et de maintenance des aéronefs (480 heures), je retiens les procédés de production d’assemblage et de maintenance + les outillages de production + la préparation d’une activité d’assemblage ou de maintenance, soit 3 savoirs sur 7. 
 480 : 7 x 3 = 205 heures
Niv 3 = niv 2 + 206 = 436 heures = 12 semaines </t>
  </si>
  <si>
    <t>Entretien mécanique</t>
  </si>
  <si>
    <t xml:space="preserve">2/3 Module 1 Remettre en état des éléments mécaniques = 116,7 heures de formation + 27,4 heures en période de stage
Total : 144,1 heures, soit 4,1 semaines </t>
  </si>
  <si>
    <t>Titre pro  Electromécanicien de maintenance industrielle niveau 3</t>
  </si>
  <si>
    <t>1960 heures pour un bac pro (formation + stage)
5 domaines de savoirs professionnels / on retient le domaine de savoirs sur les interventions de maintenance dans  les 5 domaines de maintenance (mécanique, électrique, pneumatique, hydraulique et automatisme) et on ne prend que la mécanique (1/5) et S1 sur les systèmes mécaniques soit 78,5 + 276 soit 354,1 
(pas de poupée russe pour ne pas compter deux fois un niv de certif 3)</t>
  </si>
  <si>
    <t xml:space="preserve">Bac pro MEI : formation mécanique </t>
  </si>
  <si>
    <t>Pour le BTS : 4+6 semaines de stage donc 10 semaines. On retient 1/5 (la mécanique est un des 5 domaines de maintenance) soit 2 semaines ou 70 heures
Pour les domaines de savoirs, on retient l'enseignement sur les techniques de maintenance : 340 h et on ne prend que la mécaniquedonc 1/5 soit 68 h + l'étude des systèmes (1/5) soit 124h soit 192 heures donc au total 262 heures
+ niveau 2</t>
  </si>
  <si>
    <t>BTS Maintenance des systèmes</t>
  </si>
  <si>
    <t>Electromécanique</t>
  </si>
  <si>
    <t>On retient : le Module3  "Dépanner des équipements industriels par échanges standard mécaniques, électriques, pneumatiques et hydrauliques": 6  semaines. On retient 1/2 soit 3 semaines ou 105  heures 
+ 4 semaines de stage au total pour les 4 modules donc on retient 1/4 
Donc 4 semaines soit 140 heures</t>
  </si>
  <si>
    <t>Titre pro Electromécanicien de maintenance industrielle niveau 3</t>
  </si>
  <si>
    <t>1960 heures pour un bac pro (formation + stage)
5 domaines de savoirs professionnels / on retient le domaine de savoirs sur les interventions de maintenance dans  les 5 domaines de maintenance (mécanique, électrique, pneumatique, hydraulique et automatisme) et on ne prend que l'électrotech   (2/5)  + 276 soit 384 h
(pas de poupée russe pour ne pas compter deux fois un niv de certif 3)</t>
  </si>
  <si>
    <t>Bac pro MEI : formation électromécanique - pneumatique</t>
  </si>
  <si>
    <t>Pour le BTS : stage de 4 (1ère année) + de 6 semaines (2ème année) donc 10 semaines de stage. On retient 1/5 (électrotech - pneumatique  est un des 5 domaines de maintenance) soit 2 semaines ou 70 heures
Pour les domaines de savoirs, on retient l'enseignement sur les techniques de maintenance : 340 h et on ne prend que l'électro-tech  donc 1/5 soit 68 h + l'étude des systèmes (1/5) soit 124h soit 192 heures donc au total 262 heures
+ niveau 2</t>
  </si>
  <si>
    <t>BTS Maintenance des systèmes option A</t>
  </si>
  <si>
    <t>Electricité</t>
  </si>
  <si>
    <t>On retient : le Module 2 "Remettre en état les éléments de circuits électriques d'un équipement industriel": 3 semaines
+ 4 semaines de stage au total pour les 4 modules donc on retient 1/4 
Donc 4 semaines soit 140 heures</t>
  </si>
  <si>
    <t>1960 heures pour un bac pro (formation + stage)
5 domaines de savoirs professionnels / on retient le domaine de savoirs sur les interventions de maintenance dans  les 5 domaines de maintenance (mécanique, électrique, pneumatique, hydraulique et automatisme) et on ne prend que l'élecrticité  (1/5) et Saoir sur l'lélectricité soit 78,5 + 276 soit 354,1 
(pas de poupée russe pour ne pas compter deux fois un niv de certif 3)</t>
  </si>
  <si>
    <t>Bac pro MEI : formation électricité</t>
  </si>
  <si>
    <t>Pour le BTS : 4+6 semaines de stage donc 10 semaines. On retient 1/5 (l'électricité est un des 5 domaines de maintenance) soit 2 semaines ou 70 heures
Pour les domaines de savoirs, on retient l'enseignement sur les techniques de maintenance : 340 h et on ne prend que l'électricité donc 1/5 soit 68 h + l'étude des systèmes (1/5) soit 124h soit 192 heures donc au total 262 heures
+ niveau 2</t>
  </si>
  <si>
    <t>BIOMASSE</t>
  </si>
  <si>
    <t>La moitié de "Mobiliser des ressources en liens avec les productions animales" (partie qui porte sur la méthanisation), soit 0,5 objectif de formation sur 32. Durée de formation de 1568 heures, avec 560 heures de stage. 
Total = 24,5 heures + 8,75 de PFMP = 33,25 heures soit 0,95 semaine</t>
  </si>
  <si>
    <t>Bac pro Conduite et gestion de
l’entreprise agricole</t>
  </si>
  <si>
    <t>163,3 heures correspondant aux modules suivants : "33B01 Module microbiologie"+"Travaux pratiques Microbiologie"+"1/3 de Energies alternatives et
développement durable" + "Réacteurs biologiques"+"Travaux pratiques Réacteurs biologiques et Bioprocédés". Durée de formation totale de 1800 heures, avec durée de stages et de projet tutoré de 650 heures. 
Total = Niv1 + 163,3 + 59 de PFMP = 255,6 heures soit 7,3 semaines</t>
  </si>
  <si>
    <t>DUT GENIE CHIMIQUE – GENIE DES PROCEDES</t>
  </si>
  <si>
    <t>114,3 heures correspondant aux enseignements suivants : "UE3 – Énergie, matière et cycle de vie" et une partie de "UE4 – Exploitation agricole du futur, sobre et à énergie positive" (Fonctionnement des différents systèmes de production d’énergie : méthanisation photovoltaïque). Durée de formation de 660 heures et de 140 heures de projets tutorés + 34 semaines de stage. 
Total = Niv 2 + 114,3 heures + 230,3 de PFMP = 600,2 heures soit 17,1 semaines</t>
  </si>
  <si>
    <t>Licence Professionnelle Parcours Agroéquipements et Eco-technologies  Aprodema</t>
  </si>
  <si>
    <t>ELECTRONIQUE EMBARQUEE</t>
  </si>
  <si>
    <t xml:space="preserve">je retiens S1.3.2 comportement des systèmes électroniques et S5.24 techniques de montage et démontage de composants électroniques sur cartes imprimées, soit 2 savoirs sur 94. 1500 : 94 x 2 = 32 heures = 1 semaine </t>
  </si>
  <si>
    <t xml:space="preserve">je retiens S1.1.4.1 systèmes d'instrumentation électronique / S1.1.4.2 systèmes de numération / S1.1.4.3 circuits logiques / S1.1.4.4 affichages électroniques / S1.1.5 systèmes asservis et régulés / S1.2.2 comportement des systèmes électroniques / S6.4.2 systèmes électroniques et numériques utilisés sur aéronefs, soit 7 savoirs sur 134. 1960 : 134 x 7 = 102 heures = 3 semaines </t>
  </si>
  <si>
    <t xml:space="preserve">dans S4 sciences physiques et chimiques appliquées, je retiens S4.5.2 acquisition de l'information + S4.5.3 traitement analogique du signal + S4.5.4 transmission de l'information + S5.4.6intégrité et contrôle de l'information sur les systèmes embarqués.  
Le savoir S4 représente 180 heures d'enseignement et compte 30 sous-savoirs.
180 : 30 x 4 = 24 heures.
niv 3 = niv 2 + 24 = 126 heures = 3,6 semaines </t>
  </si>
  <si>
    <t xml:space="preserve">BTS aéronautique </t>
  </si>
  <si>
    <t xml:space="preserve">Ancien calcul : 
BTS Systèmes numériques option informatique et réseaux 
Dans l'option informatique et réseaux, il y a 9 savoirs associés aux compétences. Dans le savoir S6 systèmes d'exploitation, je retiens S6.4 systèmes embarqués (1/5). 
Volume horaire de l'option : 960 heures sur 2 ans. 
960 : 9 = 107 heures / 107 : 5 = 21 heures
niv 3 = niv 2 + 21 = 123 heures = 3,5 semaines </t>
  </si>
  <si>
    <t xml:space="preserve">Electronique </t>
  </si>
  <si>
    <t>dans les savoirs, je retiens S1 1.3 électronique (1/59)
1500 : 59 = 26 heures</t>
  </si>
  <si>
    <t xml:space="preserve">BEP systèmes numériques </t>
  </si>
  <si>
    <t xml:space="preserve">Electronique  </t>
  </si>
  <si>
    <t xml:space="preserve">je retiens les compétences en lien avec les savoirs Electricité/électronique :
C1-1 appréhender la mise en œuvre d'un projet simulé ou réel d'installation d'un système
C2-1 : faire un bilan de l'existant et recueillir les informations relatives à l'exploitation et aux caractéristiques des matériels de l'installation
C4-3 effectuer les tests, certifier le support physique 
C5-2 vérifier la conformité du support et des alimentations en énergie, le fonctionnement des matériels et logiciels en interaction
C5-3 analyser et interpréter les indicateurs de fonctionnemnet et établir un diagnostic
C5-4 réaliser l'intervention. 
soit 6/21. Comme le savoir associé comprend également l'électricité, je retiens la moitié de la durée calculée.
1960 : 21 x 6 : 2 = 280 heures. 
j'applique la mathode des poupées russes. niv 2 = niv 1 + 1/3 du niv 2 = 119 heures = 3,4 semaines </t>
  </si>
  <si>
    <t>Bac pro systèmes numériques option RISC</t>
  </si>
  <si>
    <t xml:space="preserve">je retiens MTSb (maintenance, technologie et sécurité) 30 heures + la moitié du volume horaire de ETEMP (135 : 2 = 67,5 heures) + ENA (30 + 45 = 75 heures). 
Niv 2 = niv 1 + 172,5 = 292 heures = 8 semaines </t>
  </si>
  <si>
    <t>DUT génie industriel et maintenance</t>
  </si>
  <si>
    <t>Maintenance système automatisé</t>
  </si>
  <si>
    <t>On retient le module 2 : "Assurer la maintenance des équipements automatisés" : 11 semaines dont 3 semaines spécifiques automatismes  + 1,5 semaines en stage (Durée totale : 3 semaines) donc 4,5 semaines soit 157,5 heures</t>
  </si>
  <si>
    <t>Titre professionnel Electricien d'installation et de maintenance des systèmes automatisés</t>
  </si>
  <si>
    <t>1960 heures pour un bac pro (formation + stage)
5 domaines de savoirs professionnels / on retient le domaine de savoirs sur les interventions de maintenance dans  les 5 domaines de maintenance (mécanique, électrique, pneumatique, hydraulique et automatisme) et on ne prend que l'automatisme  (1/5) et Savoir 2  sur les systèmes automatisés soit 78,5 + 276 soit 354,1 
(pas de poupée russe pour ne pas compter deux fois un niv de certif 3)</t>
  </si>
  <si>
    <t>Bac pro Maintenance des Systèmes de Production Connectés</t>
  </si>
  <si>
    <t xml:space="preserve">1500 heures de formation technique réparties en 3 UE soit 500 heures. On retient l' UE2 – Technologie et Maintenance en Electricité, Electronique, Electrotechnique, Automatique (TM3EA) sur les 3 UE techniques donc 500 heures (pour les 4 domaines de maintenance). On conserve 125 heures + 500 soit 625 heures + niveau 2 : 354 soit 979 heures
</t>
  </si>
  <si>
    <t>DUT « Génie industriel et maintenance »</t>
  </si>
  <si>
    <t xml:space="preserve">Langages informatiques </t>
  </si>
  <si>
    <t>le référentiel comporte 4 fonctions. Dans la fonction F1, je retiens A1-3 intégration des logiciels ( 1/4). 1960 : 4 : 4 = 122,5 heures</t>
  </si>
  <si>
    <t xml:space="preserve">bac pro systèmes numériques  </t>
  </si>
  <si>
    <t xml:space="preserve">je retiens connaître un langage algorithmique élémentaire (50h) + concepts de base d'un langage objet (dans 5.1.1.4, soit 1/11) 85h : 11 = 7,2 h + langages de description et de mise en page basés sur des balises (dans 5.1.1.5, soit 1/5) 30 : 5 = 6h + comprendre l'implémentation bas niveau des mécanismes liés aux langages de haut niveau (30h) + langages de modélisation (20h) + maîtriser le langage S Q L (45h) + langages de spécification d'un systèmes d'information : compléments (20h) + transcrire un langage d'un modélisation à une autre (25h) = 203,2 heures. niv 2 = niv 1 + 203,2 = 326 heures </t>
  </si>
  <si>
    <t xml:space="preserve">DUT informatique </t>
  </si>
  <si>
    <t>ARCHITECTURE WEB</t>
  </si>
  <si>
    <t xml:space="preserve">Je retiens le domaine d'activité D3.1 conception d'une solution d'infrastructure (qui représente 1/3 des enseignements de spécialisation ) (enseignements de spécialiation représentent 264 heures sur 2 ans) niv 2 = 1/3 x 264 = 88 heures = 2,5 semaines </t>
  </si>
  <si>
    <t xml:space="preserve">BTS services informatiques aux organisations parcours solutions d'infrastructure, systèmes et réseaux </t>
  </si>
  <si>
    <t xml:space="preserve">je retiens dans l'UE techniques et technologies du web : conception et mise en page xeb (3 ECTS). 3 x 27,5 = 82,5 heures. Niv 3 = niv 2 + 82,5 = 171 heures = 4,9 semaines  </t>
  </si>
  <si>
    <t>Licence pro métiers du numérique. Parcours conception, rédaction et réalisation web (programme de l'université de Grenoble)</t>
  </si>
  <si>
    <t xml:space="preserve">je retiens l'UE analyse sémiologique et ergonomique de sites web (3 ECTS) 2 x 27,5 = 82,5 heures. Niv 3 = niv 2 + 82,5 = 253 heures = 7,2 semaines </t>
  </si>
  <si>
    <t>Master 1 communication numérique et conduite de projets - paris 8</t>
  </si>
  <si>
    <t>DONNEES MASSIVES</t>
  </si>
  <si>
    <t xml:space="preserve">Enseignement de spécialité : enseignement commun : management, sciences de gestion et numérique + 1 enseignement spécifique parmi : gestion et finance ; mercatique (marketing) ; ressources humaines et communication ; systèmes d’information de gestion 
10 heures par semaine en terminale soit 360 heures sur l’année (Une année scolaire = 36 semaines)
60% sur l’enseignement commun (216 heures) et 40% sur l’enseignement spécifique (144). je retiens 3.1 dans les enseignements spécifiques (soit 1/9). niv 1 = 16 heures = 0,5 semaines </t>
  </si>
  <si>
    <t>Bac STMG</t>
  </si>
  <si>
    <t xml:space="preserve">je retiens principes des bases de données (90h)  algorithmes et utilisation de structures de données (50h) + conception de structures de données (50h) + prorata sur le stage de 10 semaines (27,2 heures) = 167 heures. Niv 2 = niv 1 + 167 heures = </t>
  </si>
  <si>
    <t>ancien calcul : certificat de spécialisation analyste de données massives CNAM (code certificat CS5900A) 27 crédits composé de 4 UE : entreposage et fouille de données (STA211), bases de données documentaires et distribuées (NFE 204), ingénierie de la fouille et de la visualisation de données massives (RCP216) et projet de certificat analyste de données (UASB03) 27 crédits soit 742.5 heures soit 21.2 semaines</t>
  </si>
  <si>
    <t xml:space="preserve">semestre 6 : je retiens UE3 gestion et traitement de données massives (big data) = 6 ECTS + le protata sur le stage (1,5 ECTS). 7,5 x 27,5 = 206,25 heures. Niv 3 = niv 2 + 206 = 389 heures = 11,1 semaines </t>
  </si>
  <si>
    <t>licence pro métiers du décisionnel et de la statistique parcours statistique et informatique décisionnelle : big data - université de Lille</t>
  </si>
  <si>
    <t xml:space="preserve">je retiens data mining (3 ECTS) + big data analytics (3 ECTS) 6 x 27,5 = 165 heures + le prorata du stage (3,2 ECTS = 89 heures). Niv 4 = niv 3 + 254 = 643 heures = 18,4 semaines </t>
  </si>
  <si>
    <t xml:space="preserve">Master mathématiques appliquées, statistique - Université Claude Bernard Lyon 1 parcours data science </t>
  </si>
  <si>
    <t>ADMINISTRATION BASES DE DONNEES</t>
  </si>
  <si>
    <t xml:space="preserve">Le référentiel contient 3 pôles d'activités. Dans chaque pôle, il y a 3 activités. Dans chaque activité, il y a des activités détaillées. Au total, il y a 33 activités détaillées. Je retiens mise à jour des tableaux de bord commerciaux (1.3) / mise à jour des tableaux de bord sociaux (3.3). 1960 : 33 x 2 = 119 heures = 3,4 semaines </t>
  </si>
  <si>
    <t xml:space="preserve">Bac pro AGORA </t>
  </si>
  <si>
    <t xml:space="preserve">enseignements orientés bases de données : introduction aux bases de données (60 heures), programmation et administration de bases de données (45 heures), bases de données avancées (30 heures). 135 heures soit 3.8 semaines. Niv 2 = niv 1 + 135 = 254 heures = 7,3 semaines </t>
  </si>
  <si>
    <t xml:space="preserve">je retiens administration des bases de données (donc 1/3 de 16 ECTS = 5,33 ECTS) + prorata du stage (1,33 ECTS) niv 3 = niv 2 + 183 = 437 heures = 12,5 semaines </t>
  </si>
  <si>
    <t>Licence pro métiers de l'informatique : applications et données paris saclay</t>
  </si>
  <si>
    <t xml:space="preserve">MAINTENANCE ASSISTANCE INFORMATIQUE </t>
  </si>
  <si>
    <t>31 savoirs. Je retiens le savoir S5-5 maintenance préventive et corrective. 1960 : 31 = 63,2 heures = 1,8 semaines</t>
  </si>
  <si>
    <t xml:space="preserve">je retiens 1 capacité sur 7 : maintenir. Temps de formation informatique et réseaux : 960 heures sur 2 ans. 960 : 7 = 137 heures. Niv 2 = niv 1 + 137 heures = 200 heures = 5,7 semaines </t>
  </si>
  <si>
    <t xml:space="preserve">BTS Systèmes numériques option informatique et réseaux </t>
  </si>
  <si>
    <t>INFORMATIQUE ET SYSTEMES D'INFORMATION</t>
  </si>
  <si>
    <t>31 savoirs. Je retiens le savoir S7-2 communication écrite - utilisation de l'outil informatique. 1960 : 31 = 63,2 heures = 1,8 semaines</t>
  </si>
  <si>
    <t xml:space="preserve">je retiens bases informatiques (30h) + outils informatiques (30h) + PAO (30h) + multimédia et web (35h) = 125 heures. Niv 2 = 125 + niv 1 = 188 heures = 5,3 semaines </t>
  </si>
  <si>
    <t xml:space="preserve">DUT information communication option communication des organisations </t>
  </si>
  <si>
    <t xml:space="preserve">Je retiens système et réseaux, système d'information  (donc 2 items sur 9 dans l'UE1 qui équivaut à 15 ECTS, donc je retiens 1,66 ECTS par item),  gestion de systèmes d'information (2 ECTS) = 146,3 heures + protata du stage (2,66 ECTS). Niv 3 = niv 2 +  219 = 407 heures = 11,6 semaines </t>
  </si>
  <si>
    <t>Licence pro métiers de l'informatique - programme Paris Rives de seine</t>
  </si>
  <si>
    <t>INFORMATIQUE INDUSTRIELLE</t>
  </si>
  <si>
    <t xml:space="preserve">Savoir associé : S3 : informatique industrielle et automatique dont S31 informatique industrielle
Au total 9 savoirs
1960 : 9 : 2 = 109 heures = 3,1 semaines </t>
  </si>
  <si>
    <t xml:space="preserve">Bac pro pilote de ligne de production </t>
  </si>
  <si>
    <t>qua</t>
  </si>
  <si>
    <t>BTS pilotage de procédés</t>
  </si>
  <si>
    <t xml:space="preserve">ANALYSE PROGRAMMATION </t>
  </si>
  <si>
    <t>4 enseignements de spécialité : 
-	Innovation technologique (= 36 x 3 = 108 heures)
-	Ingénierie et développement durable (= 9 x 36 = 324 heures)
-	Ingénierie, innovation et développement durable (12 x 36 = 432 heures)
-	Physique, chimie et maths (12 x 36 = 432 heures)
Durée total des enseignements de spécialité : 1296 heures 
36 semaines de cours par an. Bac sur 2 ans. 
Dans le référentiel : 60 sous-domaines d’activités
je retiens 2.4.3 / 2.4.5 / 4.3.5. 1296 : 60 x 3 = 65 heures</t>
  </si>
  <si>
    <t>Bac STI2D</t>
  </si>
  <si>
    <t xml:space="preserve">algorithmique et programmation (265 heures) + prorata du stage (52 heures). Niv 2 = niv 1 + 317 = 382 heures = 10,9 semaines </t>
  </si>
  <si>
    <t xml:space="preserve">ancien calcul sur le DUT informatique. enseignements orientés programmation : intro à l'algorithmique et à la programmation (60 heures), structures de données et algorithmes fondamentaux (45 heures), architecture et programmation des mécanismes de base d'un système informatique (30 heures)bases de programmation orientée objet (60 heures), bases de la conception orientée objet (45 heures), algorithmique avancée (30 heures), programmation web côté serveur (45 heures), conception et programmation objet avancées (45 heures), programmation répartie (30 heures), programmation web client riche (30 heures). Total : 420 heures. je n'ai pas retrouvé le même programme </t>
  </si>
  <si>
    <t xml:space="preserve">je retiens remise à niveau programmation, programmation orientée objet, programmation web (donc 3 items sur 9 dans l'UE1 qui équivaut à 15 ECTS, donc je retiens 1,66 ECTS par item) + programmation des interfaces utilisateurs et programmation avancée (2 items sur 8 de l'UE 2 qui équivaut à 15 ECTS - donc je retiens 1,87 ECTS par item), soit un total de 8,72 ECTS + protata du stage (4,36 ETCS). 13,08 ECTS = 359,7 heures. donc niv 3 = niv 2 + 360 = 742 heures = 21,2 semaines </t>
  </si>
  <si>
    <t>Informatique de gestion</t>
  </si>
  <si>
    <t>volume horaire de l’enseignement numérique et sciences informatiques en première filière générale : 4h00 par semaine sur 36 semaines
4 x 36 = 144 heures = 4,1 semaines</t>
  </si>
  <si>
    <t xml:space="preserve">Première filière générale </t>
  </si>
  <si>
    <t>volume horaire de l’enseignement numérique et sciences informatiques en terminale filière générale : 6h00 par semaine sur 36 semaines
6 x 36 = 216 heures = 6,2 semaines</t>
  </si>
  <si>
    <t xml:space="preserve">Terminale filière générale </t>
  </si>
  <si>
    <t>CONTRÔLE QUALITE</t>
  </si>
  <si>
    <t>Durée totale de la formation : 735 heures
2 modules de formation : 1. préparation de la production (4 semaines) / 2. conduite d’un équipement (9 semaines)
Période en entreprise : 5 semaines 
9 semaines x 35 heures = 315 heures 
Le module 2 vise l’acquisition de 6 compétences :
315 : 6 = 52,5 heures par compétence 
Parmi les 6 compétences, l’une s’intitule « contrôler les productions issues d’un équipement agroalimentaire » et correspond au contrôle qualité. 
Répartition du stage : 9/15ème des 5 semaines correspond au module 2 = 3 semaines soit 105 heures (soit 17,5 heures par compétence (105 :6) 
52,5 + 17,5 = 70 heures
Soit 2 semaines</t>
  </si>
  <si>
    <t>Titre pro Conducteur d’équipements agroalimentaires (programme de l’AFPA) - niveau 3</t>
  </si>
  <si>
    <t>C21analyser des résultats et des données + C41 contrôler les produits, les appareils et les installations 
1960 : 16 = 245 heures 
Niv 2 : ne pas faire les poupées russes</t>
  </si>
  <si>
    <t>bac pro bio-industries de transformation</t>
  </si>
  <si>
    <t xml:space="preserve">Durée du niveau 2 Contrôle qualité (315 semaines) + durée affiliée à la catégorie "qualité" pour le BTS Bioqualité, qui correspond à 5 heures hebdomadaires, soit 276 heures sur toute la durée de la formation. Total = 276 + niv 2 = 521 heures, ce qui correspond à 14,9 semaines. </t>
  </si>
  <si>
    <t>BTS Bioqualité</t>
  </si>
  <si>
    <t>GENIE PROCEDES</t>
  </si>
  <si>
    <t xml:space="preserve">5 savoirs sur 58, intitulés "Circuit/trajet et actions subies par les matières premières pendant la production • Rôle et principe général de fonctionnement des matériels utilisés • Process de fabrication : de la matière première au produit fini • Modes de conservation des matières premières, produits finis ou semi-finis • Notion de 1ère et de 2ème transformation", pour une durée de formation de 1212 heures de formation. </t>
  </si>
  <si>
    <t>CAPA OPÉRATEUR EN INDUSTRIES ALIMENTAIRES</t>
  </si>
  <si>
    <t xml:space="preserve">Je retiens le savoir 2 processus technologiques (1 savoir sur 5). 
1960 : 5 = 392 heures
Je retiens 1/3 de la durée calculée et j'ajoute le niv1. Donc niv 2 = 130,6 + niv 1 = 235 heures = 6,7 semaines </t>
  </si>
  <si>
    <t>durée du niveau 2 + durée correspondant à 4 unités de compétences sur 18, intitulées "C7 Participer à un processus collaboratif de conception et de réalisation d’un produit C8 Recenser et spécifier des technologies et des moyens de réalisation C9 Concevoir et définir, en collaboration ou en autonomie, tout ou partie d'un ensemble mécanique unitaire C10 Définir des processus de réalisation", pour une durée de formation d'environ 1500 heures. 
Total niv 3 = niv 2 + 333,3 = 568,3 heures soit 16,2 semaines</t>
  </si>
  <si>
    <t>BTS Conception des Processus de Réalisation de Produit</t>
  </si>
  <si>
    <t>Comprend 2 blocs de connaissance et de compétences + projet
On retient le Bloc de connaissance et de compétences 1 : Mise en œuvre et amélioration des procédés et bioprocédés : 300 heures 
Stage de 16 semaines : 560 heures. On retient la moité : 280 heures soit total de 580 h + niveau 3</t>
  </si>
  <si>
    <t>Licence pro Génie des procédés et bioprocédés industriels</t>
  </si>
  <si>
    <t xml:space="preserve">Autre calcul : Master Génie alimentaire - Génie des procédés et des bioprocédés : 
On retient "Génie industriel alimentaire" (3ECTS) et "Innovation et transfert de technologie" (6ECTS) SOIT 9 ECTS : 247,5
+ stage (30 ECTS : 825 h) On retient 1/3 (selon les 3  domaines) : 275 H
Soit :  522 h
</t>
  </si>
  <si>
    <t xml:space="preserve">Conduite installation industrielle </t>
  </si>
  <si>
    <t xml:space="preserve">Durée totale de la formation : 735 heures
2 modules de formation : 1. préparation de la production (4 semaines) / 2. conduite d’un équipement (9 semaines)
Période en entreprise : 5 semaines 
1 semaine = 35 heures
9 semaines x 35 heures = 315 heures 
Le module 2 vise l’acquisition de 6 compétences :
315 : 6 = 52,5 heures par compétence 
Parmi les 6 compétences,on retient "conduite d'une opération de fabrication ou de conditionnement stabilisée"
Répartition du stage : 9/15ème des 5 semaines correspond au module 2 = 3 semaines soit 105 heures (soit 17,5 heures par compétence (105 :6) 
52,5 + 17,5 = 70 heures = 2 semaines </t>
  </si>
  <si>
    <t>Bac pro pilote de ligne de production 
10 unités de compétences. On retient CP04 Piloter une ligne ou un système de production, CP05 Assurer le suivi de production lié à l’analyse des indicateurs et paramètres de production, des spécifications de produits, (CP05 en partie – pas traçabilité) 1960 : 10 x 1,5 = 294  heures (pas de système de poupées russes avec le titre pro)</t>
  </si>
  <si>
    <t>18 compétences. On retient les compétences C5 piloter en fonctionnement normal, C6 piloter en régime transitoire et C7 piloter en mode dégradé. 
Prendre la partie pro seulement en terme d’heures 
960 : 6 = 160 heures 
J’ajoute le niv 2 : 160 + 294 = 454 heures = 12,9</t>
  </si>
  <si>
    <t xml:space="preserve">Maintenance industrielle </t>
  </si>
  <si>
    <t>Durée totale de la formation : 735 heures
2 modules de formation : 1. préparation de la production (4 semaines) / 2. conduite d’un équipement (9 semaines)
Période en entreprise : 5 semaines 
1 semaine = 35 heures
9 semaines x 35 heures = 315 heures 
Le module 2 vise l’acquisition de 6 compétences :
315 : 6 = 52,5 heures par compétence 
Parmi les 6 compétences, on retient "diagnostic d’un dysfonctionnement"
Répartition du stage : 9/15ème des 5 semaines correspond au module 2 = 3 semaines soit 105 heures (soit 17,5 heures par compétence (105 :6) 
52,5 + 17,5 = 70 heures = 2 semaines</t>
  </si>
  <si>
    <t>titre pro conducteur d'équipement agroalimentaire (niveau 3) - programme AFPA</t>
  </si>
  <si>
    <t>1350 heures de formation technique. + 22 semaines de stage
On retient : Analyse fonctionnelle et mécanique, Génie mécanique, Méthodologie d'intervention et Maintenance des systèmes
En formation :135 h réaliser les interventions de maintenance + 180 h analyser le fonctionnement d'un bien : soit 315 heures 9 semaines + 5 semaines de stage : 14 semaines ou 490</t>
  </si>
  <si>
    <t>Bac pro MEI Maintenance des équipements industriels</t>
  </si>
  <si>
    <t xml:space="preserve">
Pour le BTS on retient Technique de maintenance 192h en 1ère année +210H en 2ème année soit : 402 heures + 105 h / 3 semaines de stage (10/3) soit 507 h OU 14,5 semaines + NIVEAU 2</t>
  </si>
  <si>
    <t xml:space="preserve">
BTS Maintenance des systèmes option systèmes de production</t>
  </si>
  <si>
    <t>4 ECTS pour Techniques de maintenance : 27,5X4 soit 110 heures / 3 semaines + 4 semaines de stage donc 7 semaines (245 h ) + niveau 3</t>
  </si>
  <si>
    <t xml:space="preserve">Master Maintenance et maitrise des risques industriels
</t>
  </si>
  <si>
    <t>GESTION PRODUCTION</t>
  </si>
  <si>
    <t>2 savoirs sur 36 intitulés "Approche et définition de la gestion de la production" et "Optimisation de la production", pour une durée de formation de 1400 heures. Total = 77,8 heures soit 2,2 semaines.</t>
  </si>
  <si>
    <t>Bac Pro Technicien de fabrication Bois et Matériaux associés</t>
  </si>
  <si>
    <t>durée du niveau 1 + durée de formation correspondant aux savoirs "Maîtrise des procédés, Pilotage des flux en juste à temps,Optimisation des procédés, Pilotage d’atelier, Amélioration continue ", soit 150 heures + 53 heures de PMFP (10 semaines de stage + 360 heures de projets tutorés). 
Total niv 2 = 77,8 + 150 + 53 = 280, 8 heures soit 8 semaines.</t>
  </si>
  <si>
    <t>DUT qualité, logistique industrielle et organisation</t>
  </si>
  <si>
    <t xml:space="preserve">durée des niveau 2 + durée de formation correspondant à "moitié analyse stratégique et gestion de projet ; moitié de management des processus par les indicateurs et tableaux ; Méthodes d'aide à la décision ; Principe de la production au plus juste, lean production ", soit 63 heures + 152,6 de PMFP. 
Total niv 3 = 280,8 + 215,6 = 496,4 heures soit 14,2 semaines. </t>
  </si>
  <si>
    <t>LP-Métiers de l'industrie : logistique industrielle PT Management de la prod. indus. et gestion des flux (EPINAL)</t>
  </si>
  <si>
    <t>311 </t>
  </si>
  <si>
    <t>Approvisionnement</t>
  </si>
  <si>
    <t>3 compétences sur 70, correspondant à l'unité G4C2 Contrôler les stocks (réapprovisionner, préparer l'inventaire, analyser et corriger les écarts), sur une durée de formation de 1850 heures, soit 79,3 heures, soit 2,3 semaines</t>
  </si>
  <si>
    <t>Bac pro logistique</t>
  </si>
  <si>
    <t>M3204 Gestion des stocks et des approvisionnements, 50 + 24 PFMP 
+  M4102 Gestion de production et des flux internes, 50 + 24 PFMP
= 148 heures
Niv 2 = Niv 1 + 148 = 227,3</t>
  </si>
  <si>
    <t>DUT Gestion logistique et Transport</t>
  </si>
  <si>
    <t>D'après licence pro Gestion des achats et des approvisionnements, 54h + 120 heures de PFMP, soit 174 heures
Niv 3 = Niv 2 + 174 = 411,3 heures</t>
  </si>
  <si>
    <t>Licence pro Gestion des achats et des approvisionnements, Université d'Orléans</t>
  </si>
  <si>
    <t>Niv 3 
+ Master "Outils pour le pilotage des achats" (6crédits) + la moitié de "management et pilotage logistique" (3 crédits), pour une formation ayant en tout 120 crédits ECTS = 243 heures de cours + 47,25 PMFP</t>
  </si>
  <si>
    <t>Master Gestion de Production,
Logistique, Achats (GPLA) à IAE Clermont Auvergne</t>
  </si>
  <si>
    <t>ORDONNANCEMENT</t>
  </si>
  <si>
    <t>1 savoir sur 36 intitulé "ordonnancement", pour une durée de formation de 1400 heures. Total = 38,9 heures soit 1,1 semaines.</t>
  </si>
  <si>
    <t>durée du niveau 1 + durée de formation correspondant aux savoirs "Gestion de la demande, Ordonnancement lancement, Planification de production, Données techniques", soit 120 heures + 42 heures de PMFP (10 semaines de stage + 360 heures de projets tutorés). 
Total NIv 2 = 38,9 + 120 + 42 = 201,3 heures soit 5,8 semaines.</t>
  </si>
  <si>
    <t xml:space="preserve">GESTION STOCK </t>
  </si>
  <si>
    <t>1UC réalisation inventaire + 3 UC Contrôle de stocks, soit 4UC/71
TOTAL : 110 heures, soit 3,15 semaines</t>
  </si>
  <si>
    <t>Bac Pro logistique</t>
  </si>
  <si>
    <t>5 savoirs en lien avec la gestion de stock (A1S1, A1S2, A1S14, A3S3, A3S4, A4S4) = 189 heures de formation sur 2 ans + Période en entreprise = 56 heures
Soit, 285 heures
Total niv 2  = Niv 1 + 285 = 395 heures</t>
  </si>
  <si>
    <t>BTS Transport et Prestations Logistiques</t>
  </si>
  <si>
    <t>M3204 Gestion des stocks et des approvisionnements, 202 + 36 PFMP = 238h 
TOTAL niv 3 = Niv 2+ 238 = 633 heures</t>
  </si>
  <si>
    <t xml:space="preserve"> Licence professionnelle Logistique Générale université de Lyon</t>
  </si>
  <si>
    <t xml:space="preserve">Gestion des stocks 3 ETCS
Outils de modélisation et d'optimisation 1/3, soit 2 ETCS
Problème entreposage 2 ETCS
1/3 Audit &amp; qualité- description de la chaine logistique = 1 ETCS
Total 8 ETCS, soit 220 heures
TOTAL niv 4 = niv 3 + 220 = 853 heures
</t>
  </si>
  <si>
    <t>d'après Master E-logistique Université Polytechniques Hauts-de-France</t>
  </si>
  <si>
    <t>Entreposage stockage</t>
  </si>
  <si>
    <t>Ensemble des sous-savoirs sur les flux entrants = 209 heures de formation + 91 heures de période en entreprise
Total niv 1 = 209+91 = 300 heures, soit 8.6 semaines</t>
  </si>
  <si>
    <t>CAP Opérateur logistique</t>
  </si>
  <si>
    <t>5 UC de transférer les marchandises + 4 UC Préparation commande + 5 UC Gérer les emplacements, soit 14 UC sur 71 = 386 heures
Total niv 2 = niv 1 +1/3 Bac Pro = 300+ 1/3*386 = 428.7h, soit 12.2 semaines</t>
  </si>
  <si>
    <t>1/3 * Organisation, mise en œuvre et gestion des opérations de transport et de logistique + 1/3 Pérennisation de l'activité logistique. Formation = 180h + période en entreprise (0.12) = 54.6 heures = 234.6 heures
Total = Niv2 + 234.6 = 663.3 heures soit 19 semaines</t>
  </si>
  <si>
    <t>BTS Transport et prestations logistiques</t>
  </si>
  <si>
    <t>Expédition</t>
  </si>
  <si>
    <t>Ensemble des sous-savoirs sur les flux sortants= 209 heures de formation + 91 heures de période en entreprise
Total niv 1 = 209+91 = 300 heures, soit 8.6 semaines</t>
  </si>
  <si>
    <t>Engin manutention levage</t>
  </si>
  <si>
    <t xml:space="preserve">31 savoirs (1500 : 31 = 48,4 heures par savoir) 
dans les savoirs, je retiens S5-3 matériels et outillages (1/5 soit 9,7 heures) / S5-4 manutention, stockage, transport  (48,4 heures) / S6-4 manutentions manuelles et mécaniques, organisation du poste de travail (la moitié : 24,2 heures) / S6-5 connaissance des principaux risques (élingues et levage : 1/5 = 9,7 heures) / risques spécifiques (conduite d'engins : 1/4 = 12,1 heures)
niv 1 = 9,7 + 48,4 + 24,2 + 9,7 + 12,1 = 104,1 heures </t>
  </si>
  <si>
    <t>CAP constructeur en béton armé du bâtiment</t>
  </si>
  <si>
    <t>41 savoirs associés 
je retiens S3.1 les engins (matériel de manutention donc 1/3 = 13,4 heures) / S3.2 les équipements les outils (1/10 = 4 heures) / S5.7 alimentation reprise chargement (le chargement 1/3 = 13,4 heures) / S5.9 manutention blindage (40,1 heures) / S6-1 principes généraux, prévention, connaissance des principaux risques (élingue et levage 1/10 = 4 heures) / S6-3 manutentions manuelles et mécaniques (la moitié = 20h)
selon le greta 49, formation en centre dure 420 heures + 1225 heures en entreprise (total 1645 heures). 
1 savoir = 1645 : 41 = 40,1 heures
13,4 + 4 + 13,4 + 40,1 + 4 + 20 = 95 heures 
(quand niv 1 est un CAP et niv 2 un bac pro, on retient 1/3 du bac pro. Pour un BP, je choisis de retenir 1/2). 
niv 2 = niv 1 + 47,5 = 152 heures = 4,3 semaines</t>
  </si>
  <si>
    <t xml:space="preserve">BP conducteur d'engins : travaux publics et carrières </t>
  </si>
  <si>
    <t>Manutention</t>
  </si>
  <si>
    <t xml:space="preserve">
42 compétences dont G1C4 décharger les marchandises selon la nature des produits et les règles de sécurité et d’hygiène. 
1500 : 42 = 35 heures (1 semaine).</t>
  </si>
  <si>
    <t>CAP logistique</t>
  </si>
  <si>
    <t>Niveau 1 manutention (35 heures) + un tiers de la durée du Bac pro logistique dédiée à la manutention, soit un tiers de 125h ( 3 savoirs sur 81 : "réaliser les opérations de déchargement", "préparer ou reconditionner les marchandises", et "Identifier les adresses de mise à disposition" (dans recevoir et transférer les marchandises) . 
Total = 35h + 125/3 = 76 heures</t>
  </si>
  <si>
    <t>engin traction</t>
  </si>
  <si>
    <t>niveau unique (2)</t>
  </si>
  <si>
    <t>Ce DC correspond à l'activité tractage d'avion (utilisé pour les métiers de l'aérien). je retiens le module refoulement et tractage avion (63 heures)</t>
  </si>
  <si>
    <t xml:space="preserve">CQP assistant avion </t>
  </si>
  <si>
    <t>CHARIOT AUTOMOTEUR</t>
  </si>
  <si>
    <t>2 unités de savoirs sur 42, à savoir "G2C2- Assurer le fonctionnement du chariot de manière à effectuer l’activité en sécurité" et "G2C4 Manœuvrer le chariot" 
Total = 71 heures</t>
  </si>
  <si>
    <t>Niv 1 Chariot automoteur +  1/3 de la durée allouée au chariot automoteur dans un bac pro logistique, soit 111 heures (1/3 de 334 heures obtenues en comptant 8 unités de compétences sur 81, avec les compétences suivantes : GRC1 "prendre un chariot" + Procéder aux vérifications obligatoires G5C2.2 - Prendre en charge le chariot G5C2.3 - Circuler avec un chariot G5C2.4 - Arrêter le chariot G5C2.5 - Signaler les anomalies et les difficultés éventuelles G5C2.6 - Procéder à la maintenance de premier niveau + GRC3 "prendre et lever une charge")
Total = 111 + 71 = 182 heures</t>
  </si>
  <si>
    <t>Livraison</t>
  </si>
  <si>
    <t>13 savoirs sur 165 :  savoir S4.1 la communication,  et savoir S4.2 : la démarche qualité (sous catégorie la démarche qualité)- sur 1050 heures de formation
Total  =  82 heures</t>
  </si>
  <si>
    <t>CAP Conducteur livreur de marchandise</t>
  </si>
  <si>
    <t>3 savoirs (1.2, 1.3 et 3.8) + 1/2*2,5 = 381 heures.
On ne récupère qu'1/3 du bac pro pour l'additionner à un CAP soit 127 heures y compris période de stage
Total niv 2 = niv 1 + 127 = 209 heures, soit 6 semaines</t>
  </si>
  <si>
    <t>Bac pro CONDUCTEUR TRANSPORT ROUTIER
MARCHANDISES</t>
  </si>
  <si>
    <t>Transport routier</t>
  </si>
  <si>
    <t>Eléments du programme retenu 2/7 sections : normes et exploitations techniques, sécurité
Durée : 2/7 * 210h = 60 heures</t>
  </si>
  <si>
    <t>Formation Attestation de capacité marchandises</t>
  </si>
  <si>
    <t>66 savoirs sur 165 :  la réglementation du transport, le contrat de transport, les cartes routières et les plans d'agglomération , les règles de circulation et de sécurité routière (rubrique S2.1), + contrôle avant départ (dans fonctionnement du véhicule) - sur 1050 heures de formation = 420 heures
Total niv 2 = niv 1 + 420 = 480 heures</t>
  </si>
  <si>
    <t>TRANSPORT</t>
  </si>
  <si>
    <t>Méthode de calcul : G1.S2 - Le contrat de transport + G3.S7 - Les matériels de transport : 9 savoirs sur 160, pour une durée de formation de 1850 heures, avec 22 semaines de stage. Total = 104 heures + 43,3 heures de PFMP.</t>
  </si>
  <si>
    <t>Méthode de calcul : Niv 1 Transport + 180 heures d'enseignement liées aux domaines suivants : Droit des transports - Transport aérien de marchandises, de passagers et opérations aéroportuaires - Transport ferroviaire - Transport routier de marchandises - Transport routier de marchandises et affrètement - Transports maritime, fluvial, opérations portuaires et intermodalité + 97,7 heures de PFMP. Durée totale de la formation = 1620 ; Projet tutoré et stage : 720 heures. Total = 147 + 180 + 97,7 = 425,2 heures</t>
  </si>
  <si>
    <t>DUT Logistique transport</t>
  </si>
  <si>
    <t>Méthode de calcul : Niv 2 Transport + 170 heures d'enseignement correspondant aux domaines suivants : Management des réseaux de distribution - Economie des transports - Calcul et rentabilité des coûts de transport - Outils opérationnels : fondamentaux du transport + 103,7 heures de PMFP. Durée de formation : 1000 heures ; Durée de stage et projet tutoré : 610. Total = 425,2 + 170 + 103,7 = 698,9 heures.</t>
  </si>
  <si>
    <t>Licence pro Logistique et transports internationaux - distribution et transports internationaux - Université Franche Comté</t>
  </si>
  <si>
    <t xml:space="preserve">procédure douanière </t>
  </si>
  <si>
    <t xml:space="preserve">Je retiens dans le groupe de compétences n° 5 le dédouanement des marchandises (1/6) les savoirs suivants : les éléments déclaratifs caractéristiques de la marchandise / les documents nécessaires aux opérations douanières / les procédures de dédouanement / les régimes de transit / les régimes douaniers / la transmission d'une déclaration / la liquidation douanière (7/9) 1960 : 6 = 326 : 9 x 7 = 253 heures = 7,2 semaines </t>
  </si>
  <si>
    <t>Bac pro transport</t>
  </si>
  <si>
    <t xml:space="preserve">dans l'activité conception des opérations de transport et de prestations logistiques (468 heures), je retiens A2S9 le dédouanement des marchandises (1/10) soit 47 heures. Niv 2 = niv 1 + 47 = 300 heures </t>
  </si>
  <si>
    <t>BTS gestion des transports et logistique associée</t>
  </si>
  <si>
    <t>télé-pilotage drone</t>
  </si>
  <si>
    <t>Niveau unique (3)</t>
  </si>
  <si>
    <t xml:space="preserve">DC avec un niveau unique (donc je ne calcule pas les niveaux précédents). Les télépilotes doivent détenir un certificat d’aptitude théorique de télépilote (CATT) délivré après la réussite à un examen organisé par la DGAC ou une attestation d’aptitude aux fonctions de télépilote obtenue dans le cadre du dispositif de « grand-périsation » prévu dans le décret Formation du 2 février 2018 (à l’exception des télépilotes d’aérostats captifs). La formation préparant au CATT dispensée par l'OF télépilote dure 105 heures. J'ajoute préparation vol machine (14h) télépilotage (35h) et un autre item (35h). volume total du DC : 105 + 14 + 35 + 35 = 189 heures </t>
  </si>
  <si>
    <t xml:space="preserve">activité aéroportuaire </t>
  </si>
  <si>
    <t xml:space="preserve">je retiens aéroports et environnement (18h) + opérations aériennes - performances avion / limitations (30 heures) + règlementation de la circulation aérienne (15h) = 63 heures = 1,8 semaines </t>
  </si>
  <si>
    <t>formation niv 4 flight dispacher de l'école nationale de l'aviation cvile (RNCP34587)</t>
  </si>
  <si>
    <t xml:space="preserve">personnel au sol </t>
  </si>
  <si>
    <t>je retiens l'ensemble de la formation qualifiante agent de trafic (programme de camas formation) : 182 heures = 5,2</t>
  </si>
  <si>
    <t xml:space="preserve">formation qualifiante agent de trafic </t>
  </si>
  <si>
    <t xml:space="preserve">Hôtesse air steward </t>
  </si>
  <si>
    <t xml:space="preserve">Pas de niveau 1 ni de niveau 2. le DC hôtesse air steward a un niveau unique. La formation CCA est obligatoire pour être PNC.  je retiens l'ensemble de la formation : 105 heures de cours théoriques + 35 heures de stage pratique : 140 heures = 4 semaines </t>
  </si>
  <si>
    <t>cabine crew attestation (diplôme d'état obligatoire)</t>
  </si>
  <si>
    <t xml:space="preserve">MECANICIEN NAVIGANT </t>
  </si>
  <si>
    <t xml:space="preserve">[NB : ce DC englobe les contrôles d'aptitude au vol, la documentation technique, la règlementation]
je retiens tout S3 documentation technique en aéronautique et S10 environnement règlementaire (2 savoirs sur 10). 1500 : 10 x 2 = 300 heures = 8,6 semaines </t>
  </si>
  <si>
    <t>je retiens S1.1.1 description des systèmes / tout le S3 documentation technique en aéronautique / S6.1.3 systèmes : architectures, rôle et éléments constitutifs / S6.1.4 hélicoptères : architectures et éléments constitutifs / S6.1.5 groupe propulseur : architectures et éléments constitutifs / tout le S7 Qualité / tout le S9 facteurs humains / tout le S10 environnement règlementaire, soit 34 savoirs sur 134. 
1960 : 134 x 34 = 497 heures.
j'applique le système des poupées russes avec le niv 1. niv 2 = niv 1 + 1/3 de 497 = 465 heures</t>
  </si>
  <si>
    <t xml:space="preserve">Je retiens le volume horaire à l’organisation industrielle et à la règlementation aéronautique (90 heures en 1ère année + 90 heures en 2ème année).
Dans assemblage et maintenance des aéronefs, je retiens S7-3 les essais et les contrôles et S7-4 la qualité, donc 2 savoirs sur 7. 480 : 7 x 2 = 137
Dans étude des aéronefs et de ses systèmes (660 heures sur 2 ans), je retiens étude des systèmes d’aéronefs (1/3). 660 : 3 = 220 heures
Niv 3 = niv 2 + 190 + 137 + 220 = 1 012 heures = 28,9 semaines </t>
  </si>
  <si>
    <t>Pilotage hélicoptère</t>
  </si>
  <si>
    <t>niveau unique (3)</t>
  </si>
  <si>
    <t xml:space="preserve">Le RS précise que "les candidats à une ATPL (H) doivent être agés de 21 ans révolus. Ils doivent avoir suivi une formation théorique et pratique auprès d'un organisme de formation agréé (ATO) et avoir à leur actif un minimum de 1000h de vol en tant que pilote d'hélicoptères. Ils doivent également être titulaires d'une licence de pilote commercial (CPL/H) ainsi que d'une qualification de type d'hélicoptères multipilotes". Donc pour calculer ce DC, je retiens :
-la durée de la formation théorique (1958 heures selon pôle emploi - ref 26_112870) 
+ 1000 heures de vol en tant que pilote d'hélocoptère 
+ la durée de formation de la licence pilote commercial (formation à temps plein sur 1 an d'après l'institut aéronautique Mermoz : 35 heures x 52 = 1820 heures)
+ la durée d'une qualification de type d'hélicoptères multipilotes (ça, je ne trouve pas à quoi ça correspond)
Total : 4 778 heures = 136,5 semaines </t>
  </si>
  <si>
    <t>Licence de pilote de ligne ATPL (hélicoptère)</t>
  </si>
  <si>
    <t>PILOTE LIGNE</t>
  </si>
  <si>
    <t xml:space="preserve">pas de niveau 1 ni de niveau 2. le DC pilote ligne a un niveau unique, comme hôtesse air steward. La formation EPL élève pilote de ligne) de l'école nationale de l'aviation civile dure 24 mois. Elle est obligatoire pour devenir pilote de ligne. Donc je retiens les 24 mois de formation </t>
  </si>
  <si>
    <t>formation EPL (élève pilote de ligne) de l'école nationale de l'aviation civile</t>
  </si>
  <si>
    <t xml:space="preserve">Responsabilité sociétale entreprise </t>
  </si>
  <si>
    <t>pas de niveau 1 (comme pour le Yield management et les spécialisations en droit)</t>
  </si>
  <si>
    <t xml:space="preserve">ancien calcul : Bac STMG option ressources humaines et communication : L'enseignement de spécialité comprend 2 volets : 1 enseignement commun (management, sciences de gestion et numérique) + 1 enseignement spécifique parmi : gestion et finance ; mercatique (marketing) ; ressources humaines et communication ; systèmes d’information de gestion. L'enseignement de spécialité a un volume de 10 heures par semaine en terminale soit 360 heures sur l’année (Une année scolaire = 36 semaines)
60% sur l’enseignement commun (216 heures) et 40% sur l’enseignement spécifique (144 heures). Je retiens pour mon calcul dans l'enseignement spécifique ressources humaines et communication la question 2.1 sur la RSE (1/9) = 16h + dans l'enseignement commun 3.1 et 3.4 (2/12) = 36 heures. niv 1 = 52 heures </t>
  </si>
  <si>
    <t>pas de niveau 2 (comme pour le Yield management et les spécialisations en droit)</t>
  </si>
  <si>
    <t>je retiens le bloc 1 les enjeux de la RSE 18 ECTS + rapport RSE / reporting règlementaire (3 ECTS) + le bloc 3 les outils opérationnels de la RSE (8 ECTS). 29 x 27,5 = 797,5 heures</t>
  </si>
  <si>
    <t>Master 2 gestion de l'environnement, parcours responsabilité sociétale des entreprises et environnement</t>
  </si>
  <si>
    <t>RECHERCHE ET DEVELOPPEMENT</t>
  </si>
  <si>
    <t>On retient UE41 Conception et dimensionnement des procédés (242 heures) + 10semaines de stage /6 UE  soit 60 heures donc 302 heures</t>
  </si>
  <si>
    <t>DUT Génie chimique et Génie des procédés Option procédés</t>
  </si>
  <si>
    <t>DUT Génie biologique option Industries Alimentaires et Biologiques</t>
  </si>
  <si>
    <r>
      <t>On retient UE : Génie alimentaire RetD, innovation : 60 ECTS /6 : 10ECTS soit 275h 
+5 mois de stage / 6UE : 30 heures S</t>
    </r>
    <r>
      <rPr>
        <b/>
        <sz val="11"/>
        <color theme="1"/>
        <rFont val="Calibri"/>
        <family val="2"/>
        <scheme val="minor"/>
      </rPr>
      <t>OIT 305 heures</t>
    </r>
  </si>
  <si>
    <t xml:space="preserve"> Licence professionnelle mention Industries agroalimentaires, parcours Développement et recherche en art culinaire industrialisé (DRACI)</t>
  </si>
  <si>
    <t>On retient UE Projet tuteuré et méthodologies en biologie (désign et analyse des données expérimentales / Formation aux outils de la bibliographie) : 9 ECTS soit 247,5 heures + Niv 2</t>
  </si>
  <si>
    <t xml:space="preserve">M1 Master Production &amp; Innovation en Agro Alimentaire </t>
  </si>
  <si>
    <t>On retient UE de RetD et Gestion de projet  : 6 ECTS + "Réalisation d'un projet de recherche et/développement " : 30 ECTS
Soit 36 ECTS : 990 HEURES</t>
  </si>
  <si>
    <t xml:space="preserve">M2 Master Production &amp; Innovation en Agro Alimentaire </t>
  </si>
  <si>
    <t>Gestion performance</t>
  </si>
  <si>
    <t>1/3 bloc 4 Soutenir le fonctionnement et le développement de la PME - infos retenues = analyse activité PME, concevoir et analyse TDB, soit 90 heures de modules + 13h atelier de professionnalisation + 29h PMFP
TOTAL = 132 heures, 3,8 semaines</t>
  </si>
  <si>
    <t xml:space="preserve">BTS Gestion  de la PME- </t>
  </si>
  <si>
    <t>NIv 1 + Tech quanti 30 heures, 1/2 * Si et BDD 15h + 1/4*Gest indus 1 = 10h (conception indicateur) + 1/3 Gest indus 2 = 23h (démarches amélioration) + stage = 52,5 heures = 130,5 heures, soit 3,7 semaines
TOTAL :  262,5 heures soit 7,5 semaines</t>
  </si>
  <si>
    <t>Licence Economie et Gestion, Systèmes d'information, Université Savoie Mont-Blanc</t>
  </si>
  <si>
    <t>Niv 2 + Outils de gestion et de communication 30h + 1/2 système d'info = 15h + optimisation coûts/budgets 20h + ERP-SAP 28h + Contrôle de gestion industriel 20h + pilotag de la perf 30h + 17% du stage = 142,8 heures, soit total M1/M2 = 285,8 heures
TOTAL niv. 3 = 547,5 heures, soit 15,6 semaines</t>
  </si>
  <si>
    <t xml:space="preserve">Master Management Parcours contrôle de gestion et systèmes d'informations, université de Cergy </t>
  </si>
  <si>
    <r>
      <t xml:space="preserve">MANAGEMENT OPÉRATIONNEL 
</t>
    </r>
    <r>
      <rPr>
        <b/>
        <sz val="11"/>
        <color rgb="FF00B050"/>
        <rFont val="Calibri"/>
        <family val="2"/>
        <scheme val="minor"/>
      </rPr>
      <t>point de repère : équivalent chef d'équipe logistique</t>
    </r>
  </si>
  <si>
    <t>Compétence C5.1 - Animer une petite équipe : 
1 compétence parmi les 19 à acquérir. 
Durée total du BP : 422 heures de formation (enseignements pro) + alternance 2 semaines formation/ 4 semaines entreprise.
Pour C5.1 : 22h de formation + 84 heures de période en alternance
Total = 106 heures = 3,02 semaines</t>
  </si>
  <si>
    <t>BP couvreur</t>
  </si>
  <si>
    <t>MANAGEMENT OPÉRATIONNEL 
Point de repère : management courant type chef des ventes</t>
  </si>
  <si>
    <t>G7C5 - Contrôler l’activité des membres de l’équipe et évaluer les performances (5 compétences) +  Participer à l’organisation du travail (3 compétences) + Participer au recrutement / Identifier les besoins en personnel (5 compétences) = 13 compétences sur 100, avec 120 ECTS donc Total = 390 heures</t>
  </si>
  <si>
    <t>BTS Transport et Prestations Logistiques, dans l'unité "Manager une équipe"</t>
  </si>
  <si>
    <t xml:space="preserve">MANAGEMENT OPÉRATIONNEL </t>
  </si>
  <si>
    <t>24 crédits ECTS x 27.5 heures par crédit soit 660 heures 
UE gestion des hommes et des équipes (CNAM) - code UE EME 104 - 6 crédits ECTS - méthodes et outils de l'organisation (code UE DSY020) - 6 crédits + démarches et outils de l'organisation (code UE DSY 006) 6 crédits + ergonomie et prévention des risques professionnels (code UE ERG 128) 6 crédits
Total licence = 24 ETCS
TOTAL NIV 3 = niv 2  + 660 = 1050 heures, soit 30 semaines</t>
  </si>
  <si>
    <t xml:space="preserve">Licence Gestion des organisations spécialisation manager d'équipe (CNAM) </t>
  </si>
  <si>
    <t>MANAGEMENT OPERATIONNEL
Point de repère : Expert RH (dans service RH)</t>
  </si>
  <si>
    <t>52 crédits ECTS x 27.5 heures par crédit soit 1430 heures 
Gestion des talents 4ECTS + UE Optionnelles = 16 ETCS (orga innovantes, management de projet, genre et travail) + Développement managérial 2 ETCS + GPEC 4 ETCS + comportement orga et GRH 4 ETCS + GRH/ dialogue social 4 ETCS = 42 ETCS 
+ Stage M1 = 5 ETCS + stage M2 = 5 ETCS = 10 ETCS
Total master = 52 ETCS
TOTAL NIV 4 = niv 3 + niv 4 = 1050 + 1430 = 2645 heures, soit 75,5 semaines</t>
  </si>
  <si>
    <t>Master ressources humaines et transformations numériques (CNAM)</t>
  </si>
  <si>
    <t>ANIMATION MOTIVATION ÉQUIPE - uniquement pour les équipes commerciales</t>
  </si>
  <si>
    <t>On retient 2 savoirs sur 77 : Communication professionnelle, mesure de l'activité des vendeurs, soit 50,9 heures</t>
  </si>
  <si>
    <t>Bac Pro Commerce</t>
  </si>
  <si>
    <t>5 savoirs retenus /13 dans l'UC Manager une équipe commerciale : animation commerciale, animation équipe commerciale, rému équipe comm, stimulation équipe comm, formation équipe comm, soit 92,3 heures de formation + période de stage = 36,3 heures
Total niv 2 = niv 1 + 92,3+36,3 = 50,9 + 128,6 = 179,5 heures</t>
  </si>
  <si>
    <t>BTS MCO</t>
  </si>
  <si>
    <t xml:space="preserve">ANIMATION MOTIVATION ÉQUIPE </t>
  </si>
  <si>
    <t>Je retiens 3/4 de l'UE Ressources humaines et management, soit 75 heures + 159h pour le stage et le projet tuteuré,, soit un total de 234 heures
Total niv 3 = niv 2 + 234 = 413,5 heures</t>
  </si>
  <si>
    <t>Licence Management des activités commerciales option Management et gestion de la relation client, Lyon 1</t>
  </si>
  <si>
    <t>Total master : Unité 10 - management des hommes et de la force de vente (team building, gestion des compétences et des situations commerciales complexes) - 6 ECTS soit 165 heures</t>
  </si>
  <si>
    <t>Master ingénierie commerciale IAE de Nice</t>
  </si>
  <si>
    <t xml:space="preserve">CONDUITE PROJET </t>
  </si>
  <si>
    <t xml:space="preserve">durée de la formation en centre : 530 heures. Je retiens conduire un projet d'animation (A5), soit 1/9. niv 1 = 530 : 9  = 59 heures </t>
  </si>
  <si>
    <t>mention complémentaire animation et gestion de projets dans le secteur sportif (programme de l'UFA Lycée Xavier Marmier de Pontarlier)</t>
  </si>
  <si>
    <t>ancien calcul : BTS Gestion des transports et logistique associée. 108 heures de formation + 23 heures de stage- total 131 heures</t>
  </si>
  <si>
    <t xml:space="preserve">je retiens le bloc 2 gestion de projet (120 h par an, soit 240 heures). Niv 2 = niv 1 + 240 = 299 heures </t>
  </si>
  <si>
    <t xml:space="preserve">BTS support à l'action manageriale </t>
  </si>
  <si>
    <t>ancien calcul : Master MANAGEMENT DES ACHATS ET DE LA QUALITÉ FOURNISSEURS- université de Saclay : 74h de formation + 75,6h stage – total : 149,6h</t>
  </si>
  <si>
    <t>GESTION BUDGETAIRE</t>
  </si>
  <si>
    <t xml:space="preserve">je retiens dans le pôle 2 l'activité 2.2 suivi financier de l'activité de production et les 3 compétences associées (3/37). 1960 *0,8 = 157 heures </t>
  </si>
  <si>
    <t>autre calcul possible à partir de Bac Pro Gestion/ Administration</t>
  </si>
  <si>
    <t>La moitié des enseignements du bloc "P6 Analyse de la situation financière 63h formation + 8h atelier pro + 15h stage, soit 86  heures"
Niv 2 = Niv 1 + BTS = 157 + 171,5 = 243 heures</t>
  </si>
  <si>
    <t>BTS Comptabilité Gestion</t>
  </si>
  <si>
    <t xml:space="preserve">Autre possibilité de calcul : BTS Assistante de gestion PME PMI - Je retiens dans A1 et A2 2 savoirs : S12.1 l'aspect comptable et fiscal des relations avec la clientèle / S23.1 le suivi des achats et des règlements (2 savoirs sur 17, donc 150 : 17 x 2 = 18 heures) + dans A4 je retiens S41.5 les coûts administratifs (1 savoir sur 9 donc 90 : 9 = 10 heures) + je retiens gestion et financement des actifs (60 heures) + dans A6 je retiens S63.3 les coûts et les résultats (1 savoir sur 14 donc 120 : 14 = 9 heures) + dans A7, je retiens A7.4 participation à la gestion des risques financiers (60 : 4 = 15 heures) au total : 112 heures. niv 2 = niv 1 + 112  heures = 330 heures </t>
  </si>
  <si>
    <t>Introduction réviion comptable 40h + méthodes de révision 80h = 120h de formation + 240h alternance, soit 360 heures
Niv 3 = Niv 2 + lic = 242,75 + 360 = 603 heures</t>
  </si>
  <si>
    <t>Licence professionnelle Métiers de la gestion et de la comptabilité : révision comptable, université de Valence</t>
  </si>
  <si>
    <t xml:space="preserve">autre possibilité de calcul : Licence pro management et gestion des organisation parcours assistant de gestion administrative et financière - université Lyon III - je retiens l'UE 3 pilotage financier 80 heures + le protata sur la période en entreprise 3 jours par semaine (j'estime la période en entreprise à 756 heures - 3 jours par semaine sur 36 semaines) 132 heures. Niv 3 = niv 2 + 212 heures = </t>
  </si>
  <si>
    <t xml:space="preserve">RESSOURCES HUMAINES </t>
  </si>
  <si>
    <t xml:space="preserve">le référentiel comprend 3 pôles. Dans le pôle 2 gestion administrative des relations avec le personnel (qui comprend 15 items), je retiens 2.1.1 tenue et suivi des dossiers des salariés / 2.1.2 gestion administrative des temps de travail / 2.2.1 participation au recrutement du personnel / 2.2.3 suivi administratif des carrières / 2.2.4 préparation et suivi de la formation du personnel. 1960 : 3 : 15 x 5 = 218 heures = 6,2 semaines </t>
  </si>
  <si>
    <t xml:space="preserve">bac pro gestion administration </t>
  </si>
  <si>
    <t xml:space="preserve">je retiens administration et développement des ressources humaines = 60 heures. Niv 2 = niv 1 + 60 heures = 278 heures </t>
  </si>
  <si>
    <t xml:space="preserve">BTS assistant de gestion PME PMI </t>
  </si>
  <si>
    <t xml:space="preserve">Je retiens évolution de la fonction RH (3 ECTS), gestion des personnels et des compétences (3 ECTS), les outils de recrutement et d'intégration (3 ECTS), relations avec les organismes sociaux (3 ECTS) + prorata sur mémoire et stage (4 ECTS) . 16 x 27,5 = 440 heures. Niv 3 = niv 2 + 440 heures = </t>
  </si>
  <si>
    <t>licence pro métiers de la gestion des ressources humaines : assistant parcours généraliste en ressources humaines - université paris saclay</t>
  </si>
  <si>
    <t>Négociation achat</t>
  </si>
  <si>
    <t>1/2 * Négociation commerciale et Achats = 1 ETCS
TOTAL : 27,5 heures</t>
  </si>
  <si>
    <t>DUT Gestion Logistique Transport</t>
  </si>
  <si>
    <t>Communiquer dans un environnement d'achats 42h + Négociation 56h + temps entreprise 185h - soit total licence = 283h
TOTAL niv 2 :  310,5 heures soit 8,9 semaines</t>
  </si>
  <si>
    <t xml:space="preserve"> Licence pro Gestion des Achats et des Approvisionnements, parcours Achat, Université d'Angers</t>
  </si>
  <si>
    <t xml:space="preserve">
1/2 Stratégie Achats 10h + Pratiques de négociation 20h + Processus achats et négociation =34h + Techniques achats avancées = 20h + pratiques achat internation 20h + stage 110h = 214 heures  
TOTAL :  524,5 heures, soit 15 semaines</t>
  </si>
  <si>
    <t>Master MANAGEMENT DES ACHATS ET DE LA QUALITÉ FOURNISSEURS- université de Saclay</t>
  </si>
  <si>
    <t>Qualité Achats
Echange avec les fournisseurs en lien avec les contrats déjà établis en oeuvre + sollicitation pour vérifier la qualité des appro/ achats</t>
  </si>
  <si>
    <t>Sélection enjeux et procédures qualité en lien avec processus d'achats
Soit 15 heures (formation + PMSMP)</t>
  </si>
  <si>
    <t>DUT Qualité Logistique Industrielle</t>
  </si>
  <si>
    <t>Qualité Achats</t>
  </si>
  <si>
    <t>Niv 1 + Analyse pratiques Acahats 21h + CDC 7h + qualité et environnement dont audit four 28h - total 56h + 79h stage - TOTAL licence = 135h
TOTAL niv 1 + 135 = 150h</t>
  </si>
  <si>
    <t>Licence professionnelle GESTION DES ACHATS ET DES APPROVISIONNEMENTS, Université Paris-Est Marne la Vallée</t>
  </si>
  <si>
    <t>1/2 Management de la relation fournisseur 25h + démarche audit fournisseur 20h + perf achats 20h+ éthique achats 10h +79h stage - total 154h
TOTAL niv 3 = Niv 2 + 154 = 304 heures, soit 8.5 semaines</t>
  </si>
  <si>
    <t>Gestion fournisseur
Gestion plutôt sur les volets adminsitratifs et contractuels</t>
  </si>
  <si>
    <t>45 heures de formation sur 2 ans (=1/4 de l'activité Gérer la relation avec les clients et les fournisseurs de la PME) + 1/10 FPMP = 90 heures, soit 2,5 semaines</t>
  </si>
  <si>
    <t>Gestion fournisseur</t>
  </si>
  <si>
    <t>Méthodes achats 49h + environnement achat 56h + temps entreprise = 198h - soit total licence = 303h
TOTAL niv 2 = niv 1 + 303 = 393 heures = 11, 2 semaines</t>
  </si>
  <si>
    <t xml:space="preserve">1/2 Stratégie Achats 10h + Marketing des achats 20+ 1/2 Management de la relation fournisseurs 25h + Manag de l'innovation et relation fournisseurs 20h + 79h stage – total : 154h
TOTAL niv 3 = niv 2 + 154 = 547 heures soit 15,6 semaines
</t>
  </si>
  <si>
    <t xml:space="preserve">MARKETING </t>
  </si>
  <si>
    <t xml:space="preserve">L'enseignement de spécialité comprend 2 volets : 1 enseignement commun (management, sciences de gestion et numérique) + 1 enseignement spécifique parmi : gestion et finance ; mercatique (marketing) ; ressources humaines et communication ; systèmes d’information de gestion. L'enseignement de spécialité a un volume de 10 heures par semaine en terminale soit 360 heures sur l’année (Une année scolaire = 36 semaines)
60% sur l’enseignement commun (216 heures) et 40% sur l’enseignement spécifique (144 heures). Je retiens pour mon calcul l'enseignement spécifique marcatique, soit 144 heures = 4,1 semaines </t>
  </si>
  <si>
    <t xml:space="preserve">Bac STMG option mercatique </t>
  </si>
  <si>
    <t xml:space="preserve">je retiens fondamentaux du marketing (27 heures) et  concepts et stratégies marketing (27 heures) + le prorata de la période de stage (11,6 heures). Niv 2 = 65,6 heures + niv 1 = 210 heures = 6 semaines </t>
  </si>
  <si>
    <t>DUT techniques de commercialisation</t>
  </si>
  <si>
    <t xml:space="preserve">L1 principes de marketing 2.5 ECTS, marchés et stratégies 2.5 ECTS L2, univers du marketing 3 ECTS, L3 connaissance des marchés 6 ECTS - 14 ECTS soit 385 heures. Niv 3 = niv 2 + 1/3 du niv 3 = 338 heures = 9,7 semaines </t>
  </si>
  <si>
    <t>Enseignements de marketing dans le cadre de la licence de gestion (maquette de l'université d'Aix Marseille)</t>
  </si>
  <si>
    <t xml:space="preserve">Master marketing, vente parcours marketing et communication Université de Tours </t>
  </si>
  <si>
    <t>MARKETING OPERATIONNEL</t>
  </si>
  <si>
    <t xml:space="preserve">Dans le bloc 3 (1/4 de 1960h), dans la compétence détaillée « traiter et exploiter l’information ou le contact client » (1/3 de 490h), je retiens le savoir associé « la démarche mercatique » (1/7 de 163.33 = 23,33h). 
Dans la compétence détaillée « contribuer à des actions de fidélisation de la clientèle et de développement de la relation client » (1/3 de 490h), je retiens le savoir associé « la mercatique directe » (1/5 de 163,33h = 32,66h).
Dans le bloc 4B (1/4 de 1960h), dans la compétence « rechercher et analyser les informations à des fins d’exploitation » (1/5 de 490h), je retiens le savoir associé « les études en matière de comportement du consommateur… » (1/4 de 98h = 24,5h)
Niv 1 = 23,33 + 32,66 + 24,5 = 80,5 heures = 2,3 semaines </t>
  </si>
  <si>
    <t xml:space="preserve">Bac pro métiers du commerce et de la vente option B  </t>
  </si>
  <si>
    <t xml:space="preserve"> je retiens : communication visuelle 30 heures, communication médias 20 heures, PAO 20 heures + 20 heures de stage = 90 heures / niv 2 = niv 1 + 90 heures = 170 heures </t>
  </si>
  <si>
    <t>DUT info com option publicité</t>
  </si>
  <si>
    <t xml:space="preserve">Je retiens la moitié de l'UE marketing fondamental et opérationnel (donc la moitié de 9 ECTS) + le protata du stage (soit 0,45 ECTS). 4,95 x 27,5 = 136,1. Niv 3 = niv 2 + 136,1 = 306 heures = 8,7 semaines </t>
  </si>
  <si>
    <t>licence gestion parcours communication et marketing digital L3 (uniquement 1 an) - université de lille</t>
  </si>
  <si>
    <t xml:space="preserve"> </t>
  </si>
  <si>
    <t>ancien calcul :  M2 du Master marketing vente IAE : création publicitaire 6 crédits / 6 ECTS soit 165 heures : 4.7 semaines + niveau 3</t>
  </si>
  <si>
    <t>ADMINISTRATION VENTES</t>
  </si>
  <si>
    <t>On retient 7 savoirs sur 77 relatifs au suivi des commandes, aux modalités de procédures de livraison et au traitement des retours / réclamations clients
Soit 178, 2 heures incluant la PMSMP</t>
  </si>
  <si>
    <t>Bac Pro Métiers du commerce et de la vente</t>
  </si>
  <si>
    <t>4/51 savoirs retenus : cadre légal relation client, relation commerciale, info commerciale et système d'information commerciale
soit  197,6h de formation + 53,6h de PMSMP. Totl 251,2 heures
Total niv 2 = niv 1 + 251,2h = 429,4 heures</t>
  </si>
  <si>
    <t>ETUDE MARCHE</t>
  </si>
  <si>
    <t>je retiens études et reches commerciales 1 et 2 (= 27 heures x 2) + le prorata de la période de stage (11,6 heures). Niv 1 = 65,6 heures</t>
  </si>
  <si>
    <t xml:space="preserve">DUT techniques de commercialisation </t>
  </si>
  <si>
    <t xml:space="preserve">je retiens études et enquêtes (3 ECTS) : 3 x 27,5 = 82,5. niv 2 = 82,5 + niv 1 = 148 heures = 4,2 semaines </t>
  </si>
  <si>
    <t>Licence professionnelle métiers du marketing opérationnel</t>
  </si>
  <si>
    <t>je retiens études de marché (3 ECTS). 3 x 27,5 = 82,5 heures + niv 2 = 230 heures</t>
  </si>
  <si>
    <t>Master 1 Marketing et gestion commerciale - université de Lorraine</t>
  </si>
  <si>
    <t xml:space="preserve">STRATÉGIE COMMERCIALE </t>
  </si>
  <si>
    <t xml:space="preserve">Dans le bloc 4B (1 bloc sur 4), je retiens "participer à la conception d'une opération de prospection" (1 compétence sur 5). 1960 : 4 :5 = 98 heures = 2,8 semaines </t>
  </si>
  <si>
    <t>Ancien calcul : Cnam- module FC "Stratégie commerciale" : Module "Stratégie commerciale". 3/6 compétences visées sur ce module de 6 ETCS - soit 3 ETCS retenus, soit 75 heures</t>
  </si>
  <si>
    <t xml:space="preserve">Sur 4 blocs, je retiens 1 compétence du bloc 2 (parmi 5) : Construire et/ou adapter l'offre de l'unité commerciale - 1 bloc = 825 heures 
Soit 165 heures
Total niv 2 = Niv1 + 165h = 263 heures soit 7,5 semaines </t>
  </si>
  <si>
    <t>BTS Manager commercial opérationnel</t>
  </si>
  <si>
    <t xml:space="preserve">Stratgéie BtoB 28h, Marketing/ intelligence économique 28h = 56h + projet tutoré 16,6h + alternance 2j/3j, 109h, soit 181,6 heures
Total niv 3 = Niv2 + 181,6h = 444,6 heures = 12,7 semaines </t>
  </si>
  <si>
    <t>Licence pro Responsable du développement commercial, CFA Descartes</t>
  </si>
  <si>
    <t>Stratégie commerciale + stratégie commerciale et qualité + Expertise commerciale = 8,9 ETCS, soit 245 heures
Total niv 4 = Niv3 + 245h = 689,6h, soit 19,7 semaines</t>
  </si>
  <si>
    <t>Mastère Manager en stratégie Développement - option stratégie commerciale</t>
  </si>
  <si>
    <t>GESTION RISQUE CLIENT</t>
  </si>
  <si>
    <t>1 savoir sur 55, intitulé "Traitement des réglements et suivi des litiges", pour 22 semaines stages et 2520 heures de cours.Calcul : 45,8h + 14h de PFMP = 59,8 h soit 1,7 semaines</t>
  </si>
  <si>
    <t>Baccalauréat professionnel GESTION-ADMINISTRATION</t>
  </si>
  <si>
    <t xml:space="preserve">10 savoirs sur 115, contenus dans les thématiques "Enregistrement et suivi des opérations comptables relatives aux clients", "Production de l’information relative au risque client", et "Contribution à la performance du processus Contrôle et traitement comptable des opérations commerciales et la recherche de la sécurisation des opérations". 
2160 heures de formation + 350 heures de stage. </t>
  </si>
  <si>
    <t>BTS Comptabilité et Gestion des Organisations</t>
  </si>
  <si>
    <t>100 heures de cours correspondant à l'UE4 GESTION DES RISQUES CLIENTS, pour une durée d'enseignements totale de 450 heures, avec 150h de projets tutorés, et 16 semaines de stage.</t>
  </si>
  <si>
    <t>Licence pro Gestion Financière et Commerciale des Risques des Organisations - IUT Occitanie</t>
  </si>
  <si>
    <t>MARKETING DIGITAL</t>
  </si>
  <si>
    <t>o</t>
  </si>
  <si>
    <t xml:space="preserve">Dans le bloc 3 (1/4 de 1960h), dans la compétence détaillée « contribuer à des actions de fidélisation de la clientèle et de développement de la relation client » (1/3 de 490h), je retiens les savoirs associés : blogs, réseaux sociaux, mercatique digitale (1/5 de 163,33 heures) = 32,6 heures. 
Dans le bloc 4B (1/4), dans la compétence détaillée « valoriser les produits et/ou les services (1/5) je retiens le savoir associé « la structure et l’atmosphère d’un site marchand (1/3) = 32,6 heures.  niv 1 = 65,2 heures = 1,8 semaines </t>
  </si>
  <si>
    <t xml:space="preserve"> Je retiens TIC et médias sociaux 30 heures, webmarketing 20 heures, stratégie de communication digitale 25 heures = 75 heures + le prorata sur le stage de 10 semaines (16 heures) Total : 91 heures. Niv 2 = niv 1 + 91 heures = 156 heures</t>
  </si>
  <si>
    <t xml:space="preserve">DUT info com option publicité  </t>
  </si>
  <si>
    <t xml:space="preserve">je retiens l'UE 1 connaissance et fondamentaux du marketing digital (13 ECTS) 13x27,5 + niv 2 = 513 heures = 14,7 semaines </t>
  </si>
  <si>
    <t>Licence professionnelle e commerce et marketing numérique parcours marketing digital - programme de l'IUT de Paris Rives de Seine</t>
  </si>
  <si>
    <t xml:space="preserve">MARKETING DIGITAL </t>
  </si>
  <si>
    <t>18 ECTS soit 495 heures soit 14 semaines + niveau 3</t>
  </si>
  <si>
    <t xml:space="preserve">M2 du Master marketing vente IAE : marketing digital 6 crédits + communication digitale 6 crédits + marketing direct et e-commerce 6 crédits </t>
  </si>
  <si>
    <t>VENTE PRODUIT CARNE</t>
  </si>
  <si>
    <t xml:space="preserve">le référentiel compte 5 fonctions. Dans la fonction commercialisation, je retiens les tâches 1 et 2. 1500 : 5 : 3 x 2 = 200  heures = 5,7 semaines </t>
  </si>
  <si>
    <t xml:space="preserve">28 compétences terminales. Je retiens C2.6 vendre facturer encaisser, c.3.7 contrôler les conditions de commercialisation et de facturation et C4.4 commercialiser les produits, conseiller. 1960 : 28 x 3 = 210 heures. J'applique le ssystème des poupées russes. niv 2 = niv 1 + 1/3 x 210 = 270 heures </t>
  </si>
  <si>
    <t>VENTE PRODUIT MER</t>
  </si>
  <si>
    <t xml:space="preserve">Je retiens partciper au service de la clientèle C411, C412, C413, C414 (4/29). 1500 : 29 x 4 = 207 heures </t>
  </si>
  <si>
    <t xml:space="preserve">28 compétences terminales. Je retiens C2.6 vendre facturer encaisser, c.3.7 contrôler les conditions de commercialisation et de facturation et C4.4 commercialiser les produits, conseiller. 1960 : 28 x 3 = 210 heures. J'applique le ssystème des poupées russes. niv 2 = niv 1 + 1/3 x 210 = 277 heures </t>
  </si>
  <si>
    <t>bac pro poissonnier</t>
  </si>
  <si>
    <t>VENTE A DISTANCE</t>
  </si>
  <si>
    <t>5 savoirs associés à l'activité d'accueil téléphonique = 203 heures stage inclus
Proratisation des 2/3 pour équivalent niv CAP = 135,4 heures</t>
  </si>
  <si>
    <t>D'après Bac Pro Accueil - Relation clients et usagers</t>
  </si>
  <si>
    <t>Module 2. Réaliser des actions commerciales en relation client à distance : réalisation d’actions de prospection par téléphone – réalisation de réservations, de commandes et de ventes additionnelles – vente de produits et de services – participation à des campagnes de fidélisation et de rétention – recouvrement amiable des créances 
5 semaines formation + 3 semaines en entreprise = 280 heures
(sans poupée russe par rapport au niv 1)</t>
  </si>
  <si>
    <t>TP Conseiller relation client à distance (niv 4)</t>
  </si>
  <si>
    <t xml:space="preserve">dans le pôle 2 : relation client à distance et digitalisation (qui représente 300 heures), je retiens l'activité vente à distance et toute la partie gestion de la vente en e-commerce) : 6/14 activités/tâches soit 129 heures. Niv 3 = niv 2 + 129 heures = 409 heures = 11,7 semaines </t>
  </si>
  <si>
    <t>BTS négociation et digitalisation de la relation client</t>
  </si>
  <si>
    <t xml:space="preserve">VENTE PRODUIT ALIMENTAIRE </t>
  </si>
  <si>
    <t xml:space="preserve">dans les savoirts associés, je compte 40 connaissances. Je retiens S.3.1, S.3.2, S.3.3 et S.3.4. 1500 : 40 x 4 = 150 heures </t>
  </si>
  <si>
    <t>CAP Employé de vente spécialisé option A</t>
  </si>
  <si>
    <t xml:space="preserve">je retiens expertise conseil en produits alimentaires (126 heures) + conduite de la vente (98 heures) + optimisation du fonctionnement du rayon (84 heures) + prorata sur les 15 semaines de stage (103 heures) = 411 heures. Je prends 1/3 du total pour faire les poupées russes avec le niv 1. niv 2 = niv 1 + 137 heures = 287 heures </t>
  </si>
  <si>
    <t xml:space="preserve">bac pro technicien conseil vente en alimentation </t>
  </si>
  <si>
    <t>NEGOCIATION COMMERCIALE</t>
  </si>
  <si>
    <t>6 savoirs retenus sur 104 soit 113 heures (formation + période en entreprise)</t>
  </si>
  <si>
    <t>Bac Pro Vente option Prospection clientèle et valorisation de l'offre commerciale</t>
  </si>
  <si>
    <t xml:space="preserve">1/3 Module 2. Prospecter et négocier une proposition commerciale : négociation d'une solution technique et commerciale = 128.3 heures + 58.3 heures de périodes en entreprise au prorata, soit au total pour le titre 186.6 heures
TOTAL niv 2 = nv 1 + 186.6 = 299.6 </t>
  </si>
  <si>
    <t>Titre Professionnel - négociateur technico-commercial (niv 5)</t>
  </si>
  <si>
    <t>approfondissement négociation 21 heures + 30 heures projet tutoré soit au total 51 heures formation + temps en entreprise 76.5 heures à total 127.5 heures 
TOTAL niv 3 = niv 2 + 127.5 = 427,1 heures</t>
  </si>
  <si>
    <t>Licence pro responsable développement commercial CFA Descartes –</t>
  </si>
  <si>
    <t>4.5</t>
  </si>
  <si>
    <t>UE 5 préspécialisation en ingénierie commerciale (compétences et qualités requises du vendeur, entretien de vente, ...) - 9 ECTS - gestion de la relation clients 2 ECTS
soit 165 heures 
TOTAL niv 4 = niveau 3 + 165 = 592.1 heures, soit 16.9 semaines</t>
  </si>
  <si>
    <t>Master ingénierie commerciale IAE de Nice : UE 5 préspécialisation en ingénierie commerciale (compétences et qualités requises du vendeur, entretien de vente, ...) - 9 ECTS - gestion de la relation clients 2 ECTS</t>
  </si>
  <si>
    <t>ENTRETIEN VENTE</t>
  </si>
  <si>
    <t>0.5</t>
  </si>
  <si>
    <t xml:space="preserve">3.1 accueillir, 3.2 rechercher les besoins, faire préciser la demande, 
2 sous-unités de compétences / 5+9+7+7 = 28
2/28 * 1500 = 107h = 3.1 semaines
</t>
  </si>
  <si>
    <t>CAP Employé de vente spécialisé</t>
  </si>
  <si>
    <t>2/3 Module 2 vendre et conseiller le client en magasion = 4.7 semaines + 1.6 semaines période en entreprise
Soit 6.3 semaines = 220.5 heures
TOTAL niv 2 = 220.5 heures (pas de poupée russe pour éviter la superposition des niveaux CAP et Bac Pro)</t>
  </si>
  <si>
    <t>Titre Professionnel VENDEUR-CONSEIL EN MAGASIN (niv 4)</t>
  </si>
  <si>
    <t>1/3 Module 2. Prospecter et négocier une proposition commerciale : négociation d'une solution technique et commerciale = 128.3 heures + 58.3 heures de périodes en entreprise au prorata, soit au total pour le titre 186.6 heures
TOTAL niv 3 = niv 2 + 186.6 = 407.1 heures soit 11.6 semaines</t>
  </si>
  <si>
    <t xml:space="preserve">Titre Professionnel - négociateur technico-commercial </t>
  </si>
  <si>
    <t>– 28 heures approfondissement gestion de la relation client + 30 heures projet tutoré soit 58 heures formation + 87 heures en entreprise soit 145 heures (4 semaines) 
TOTAL niv 4 : niv 3 + 145 = 552.1 heures, soit 15, semaines</t>
  </si>
  <si>
    <t xml:space="preserve">PROSPECTION VENTE </t>
  </si>
  <si>
    <t xml:space="preserve">9 savoirs retenus : - méthodes et outils de prospection, 3/8 savoirs "Mettre en oeuvre une opération de prospection : outils d'aide à la prospection, argumentaire, traitement des objections, 5/9 savoirs pour "participer à la conception d'une opération de prospection soit 170 heures (formation + période entreprise)
</t>
  </si>
  <si>
    <t>PROSPECTION VENTE</t>
  </si>
  <si>
    <t>1/4 module 1 : Elaborer une stratégie commerciale + 1/3 module 2 prospection et négociation = 207.1 heures + 102.1 heures de période en entreprise
TOTAL : niv 1 + 309.2 = 479.2 heures</t>
  </si>
  <si>
    <t xml:space="preserve">Titre Professionnel AFPA - négociateur technico-commercial (niv 5)
</t>
  </si>
  <si>
    <t>Stratégie + communication et promotion 56 heures + Approfondissement comm 21h + analyse et pilotage de la performance commerciale 42 heures + 30 heures projet tutoré soit 128 heures de formation + temps en entreprise (alternance pour acquisition compétences – 2 j formation 3 j entreprise) – 223 heures entreprise – 
Soit 372 heures 
TOTAL niv 3 = niv 2 + 372 =  : 24,6 semaines</t>
  </si>
  <si>
    <t xml:space="preserve">Licence pro responsable développement commercial CFA Descartes </t>
  </si>
  <si>
    <t>15 ECTS retenus : préspécialisation en ingénierie commerciale (compétences et qualités requises du vendeur, entretien de vente, ...) + gestion relation client (2 ECTS) + analyse et prévision des ventes / reporting et contrôle des ventes (4 ECTS), soit 412.5 heures 
TOTAL niv 4 = niv 3 + 412.5 = 1263.7 heures, soit 36.1 semaines</t>
  </si>
  <si>
    <t xml:space="preserve">Master ingénierie commerciale IAE de Nice : </t>
  </si>
  <si>
    <t>MARCHANDISAGE</t>
  </si>
  <si>
    <t>module 2. Développer sa connaissance des produits et contribuer à l’animation de l’espace de vente : veille sur les produits et services proposés par l'enseigne - contribution à la tenue et à l'animation de l'espace de vente - participation à la gestion des flux marchandises 
5 semaines + Période en entreprise (4 semaines).</t>
  </si>
  <si>
    <t xml:space="preserve">Titre Professionnel vendeur conseil en magasin - </t>
  </si>
  <si>
    <t>3 savoirs sur 51 : Marchandisage + savoirs sur les offres promotionnelles 
98,8h de F° + 26,8h de stage au prorata
Soit 125,6 heures
Total niv 2 = niv 1 + 125,6 = 440,6 heures</t>
  </si>
  <si>
    <t xml:space="preserve">ACCUEIL </t>
  </si>
  <si>
    <t>2 connaissances retenues sur 21, intitulées "Connaissance de base des fonctionnalités d’un standard téléphonique" et "Connaissance des techniques de communication (écoute active, reformulation, synchronisation…)", pour une durée de formation de 731 h avec 167 h en Entreprise. 
Durée totale = 69,6 heures + 15,9 de PFMP = 85,5 heures</t>
  </si>
  <si>
    <t>CAP Employé administratif et d'accueil</t>
  </si>
  <si>
    <t xml:space="preserve">autre calcul possible à partir de CAP agent de prévention et de médiation : dans le domaine professionnel "accueil, information et accompagnement" (1/3), je retiens C.21 accueillir, créer des situations d'échange (1/4). 1500 : 3 : 4 = 125 heures </t>
  </si>
  <si>
    <t>dans le secteur d'activité gestion des espaces ouverts au public (1/4), je retiens G1-1 accueil (1/3) = 163 heures. J'applique le système des poupées russes avec le niveau 1 et je ne conserve qu'1/3 de 163 heures. Niv 2 = niv 1 + 54 =  139,5</t>
  </si>
  <si>
    <t xml:space="preserve">bac pro services de proximité et vie locale </t>
  </si>
  <si>
    <t>autre calcul possible à partir de bac pro assistanat de direction : 1,5 compétences retenues sur 11, soit "Assurer à l'oral l'interface entre le dirigeant et ses interlocuteurs, en français et en anglais" et 1/2 de "Assurer la recherche, la synthèse et la diffusion de l'information", pour une durée de formation de 875 h et de 4 semaines en entreprise. Pas de poupées russes appliquées car 2 titres pro consécutifs
Durée totale = niv 1 + 119,3 + 19h de PFMP = 138,4 heures</t>
  </si>
  <si>
    <t>Médecine vétérinaire</t>
  </si>
  <si>
    <t>9 unités de savoir sur 37, à savoir toutes les unités relatives aux volets "aide technique". Durée totale de formation de 335 heures, avec 1452,5 en stage. 
Total = 81,5 heures + 353,3 de PFMP = 434,8 heures soit 12,4 semaines</t>
  </si>
  <si>
    <t>Titre certifié d’auxiliaire vétérinaire qualifié (AVQ) : niveau cap </t>
  </si>
  <si>
    <t>24 unités de savoir sur 60, à savoir toutes les unités relatives aux volets "assistance technique". Durée de formation égale à 670 heures avec 2905 heures de stage. Calcul = 268 heures + 1162 PFMP = 1430 heures. Or, je retiens 1/3 de cette durée calculée et j'y ajoute le niveau 1 pour respecter le système de poupées russes.
Total = Niv 1 + 1/3 de 1430 heures = 911,5 heures soit 6,5 semaines</t>
  </si>
  <si>
    <t>Titre certifié d’auxiliaire spécialisé vétérinaire (ASV) : niveau bac pro</t>
  </si>
  <si>
    <t>52 unités de savoir sur 131 unités, à savoir les unités des modules "Etablir un diagnostic" et "Soigner et traiter". Durée de formation égale à 6600 heures, avec 700 heures de stage. 
Total = Niv 2 + 2619,8 heures + 277,9 de PMFP = 3809,2 heures soit 108,8 semaines</t>
  </si>
  <si>
    <t>Diplôme d’études fondamentales vétérinaires</t>
  </si>
  <si>
    <t>280 heures d'enseignements entièrement dédiés à la médecine vétérinaire, sur une durée d'enseignement équivalente, et avec 960 heures de stage en parallèle. PFMP calculée en reprenant le chiffre du niveau 3. 
Total = Niv 3 + 280 heures + 381 de PFMP = 4470,2 heures soit 127,7 semaines</t>
  </si>
  <si>
    <t>Diplôme d’Etat de docteur vétérinaire</t>
  </si>
  <si>
    <t>Nettoyage locaux</t>
  </si>
  <si>
    <t>2 savoirs sur 11 : C 42 Mettre en œuvre des opérations d’entretien courant + A3b- Détermination des opérations à réaliser au regard des contraintes, des risques et des exigences du donneur d’ordre ; sur une formation de 800 heures</t>
  </si>
  <si>
    <t>BEP Hygiène et propreté</t>
  </si>
  <si>
    <t>5 savoir, sous-points de l'unité A5 - Conduite des techniques professionnelles + Repérage des exigences du donneur d’ordre, Identification des supports, des salissures, des dégradations et des dysfonctionnements Identification des contraintes d’exploitation, des contraintes liées au contexte, Hiérarchisation des contraintes d’exploitation, des contraintes liées à l’environnement professionnel (notamment réglementaires) Détermination des opérations à réaliser au regard des contraintes,
des risques et des exigences du donneur d’ordre. 16 semaines en entreprise et 36 semaines de cours.</t>
  </si>
  <si>
    <t>Bac Pro Hygiène, propreté et stérilisation</t>
  </si>
  <si>
    <t xml:space="preserve">YIELD MANAGEMENT </t>
  </si>
  <si>
    <t>Pas de niveau 1 pour le Yield Management (même principe que pour les spécialisations en droit)</t>
  </si>
  <si>
    <t>Ancien calcul : bac STMG Enseignement de spécialité : enseignement commun : management, sciences de gestion et numérique + 1 enseignement spécifique parmi : gestion et finance ; mercatique (marketing) ; ressources humaines et communication ; systèmes d’information de gestion 
10 heures par semaine en terminale soit 360 heures sur l’année (Une année scolaire = 36 semaines)
60% sur l’enseignement commun (216 heures) et 40% sur l’enseignement spécifique (144). je retiens 1.3 de l'option mercatique (enseignement de spécialité) : le prix, entre raison et illusion (1/8). 144 : 8 = 18 heures</t>
  </si>
  <si>
    <t>Pas de niveau 2 pour le Yield Management (même principe que pour les spécialisations en droit)</t>
  </si>
  <si>
    <t>Ancien calcul : BTS tourisme : dans l'enseignement mercatique et conception de la prestation touristique (qui représente 300 heures sur 2 ans), je retiens l'action mercatique touristique qui comprend une partie sur le yield management (1/4, soit 75 heures) + protata des 12 semaines de stage (17,5 heures). Niv 2 = niv 1 + 92,5 heures = 111 heures</t>
  </si>
  <si>
    <t>42 ECTS soit 1155 heures soit 33 semaines.</t>
  </si>
  <si>
    <t>42 ECTS sur le revenue management (Master 2 Pricing et Revenue management université angers maquette 2019-2020)</t>
  </si>
  <si>
    <t>ancien calcul : licence pro organisation et gestion des établissements hoteliers et de restauration - université gustave eiffel / je retiens revenue et yield management (2 ECTS) + prorata du stage (0,5 ECTS). 2,5 x 27,5 = 69. niv 3 = niv 2 + 69 = 180 heures</t>
  </si>
  <si>
    <t>CUISINE</t>
  </si>
  <si>
    <t xml:space="preserve">je retiens dans l'activité 4 "mettre en œuvre les techniques de base et cuisiner" (1/6) les tâches 14 et 15 (2/4). 1500 : 6 : 4 x 2 =  125 heures </t>
  </si>
  <si>
    <t>CAP cuisine</t>
  </si>
  <si>
    <t xml:space="preserve">dans le pôle 1 organisation et production culinaire (1/5), je retiens l'activité production culinaire (1/2). J'applique le système des poupées russes et ne retiens qu'1/3 de la durée calculée sur le bac pro. 1960 : 5 : 2 = 196 heures. Niv 2 = niv 1 + 65 = 190 heures = 5,4 semaines </t>
  </si>
  <si>
    <t xml:space="preserve">bac pro cuisine </t>
  </si>
  <si>
    <t>SERVICE SALLE</t>
  </si>
  <si>
    <t xml:space="preserve">Dans le pôle 2, je retiens l'activité A8 service aux clients et convives (1/10). 1500 : 10 = 150 heures = 4,3 semaines </t>
  </si>
  <si>
    <t xml:space="preserve">CAP production et service en restaurations </t>
  </si>
  <si>
    <t>ENTRETIEN CUISINE</t>
  </si>
  <si>
    <t>Dans le bloc 1 (1/2), dans mettre en œuvre les opérations d'entretien manuelles et mécanisées dans les espaces de production (1/5), je retiens lavage manuel et mécanisé / nettoyage et désinfection des surfaces…  (2/4). 1500 : 2 : 5 : 4 x 2 = 75 heures</t>
  </si>
  <si>
    <t>CONCEPTION ACTION FORMATION</t>
  </si>
  <si>
    <t xml:space="preserve">je retiens la moitié de  conception et réalisation d'un projet d'animation (A.1.2), afin de ne retenir que la partie conception = 1960 : 3 : 3 : 2 = 109 heures </t>
  </si>
  <si>
    <t xml:space="preserve">bac pro animation enfance et personnes âgées </t>
  </si>
  <si>
    <t xml:space="preserve">je retiens concevoir et mettre en œuvre une séquence de formation collective (42h), élaborer un projet de formation à partir d'une demande exprimée (14h), concevoir et mettre en œuvre des outils permettant la différenciation des apprentissages (14h), concevoir des ressources pédagogiques multimédias d'autoformation (35h), faciliter les apprentissages par l'usage de supports attractifs (14h), diversifier ses pratiques d'animation (21h), produire une capsule vidéo (7h), produire une ressource interactive ou animée (7h)concevoir un scénario pédagogique multimodal (21h), prendre en compte la spécificité des apprenants dans une action de formation (14h) = 189 heures + prorata du stage (119 heures). niv 2 = niv 1 + 208 = 317 heures =  9,1 semaines </t>
  </si>
  <si>
    <t xml:space="preserve">Titre formateur professionnel d'adultes niv 5 - CAFOC </t>
  </si>
  <si>
    <t>ancien calcul : CNAM - Certificat de compétence - Concepteur et animateur de séquences pédagogiques multimodales : Code UE Animation, gestion et analyse d'une séquence pédagogique (6 ECTS) + UE FAD113 apprentissages et modalités pédagogiques (8 ECTS) : 14 ECTS soit 385 heures soit 11 semaines</t>
  </si>
  <si>
    <t>INFOGRAPHIE</t>
  </si>
  <si>
    <t xml:space="preserve">Je retiens le savoir S3.1 la communication graphique et le savoir S3.2 les outils informatisés (porte sur les outils infographiques) (1 savoir sur 28) 1960 : 28 x 2 = 140 heures = 4 semaines </t>
  </si>
  <si>
    <t>Bac pro artisanat et métiers d'art option marchandisage visuel</t>
  </si>
  <si>
    <t xml:space="preserve">je retiens les enseignements relatifs à l'infographie : S1 : 30 heures / S2 : 30 heures / S3 : 35 heures / S4 : 40 heures, soit 135 heures sur 1800. je proratise sur la période de stage (d'une durée totale de 10 semaines) : 26,25 heures. Donc niv 2 = 135 + 26 = 161 heures + niv 1 = 301 heures = 8,6 semaines </t>
  </si>
  <si>
    <t>DUT Métiers du multimédia et d'internet</t>
  </si>
  <si>
    <t xml:space="preserve">je retiens infographie 1 (2 ECTS), et infographie 2 (1,66 ECTS) + le protata du stage (0,30 ECTS) / 4 x 27,5 = 110 heures. Niv 3 = niv 2 + 110 = 411 heures = 11,7 semaines </t>
  </si>
  <si>
    <t>LICENCE PROFESSIONNELLE création publicitaire - IUT Charlemagne Nancy</t>
  </si>
  <si>
    <t>RESEAU SOCIAL</t>
  </si>
  <si>
    <t xml:space="preserve">dans le pôle d'activité 2 "relation client à distance et digitalisation" (qui représente 300 heures d'enseignement sur un total de 1740 heures), je retiens la gestion de la e-relation client (soit 1/3 du pôle d'activité = 100 h). Sur la PFMP de 13 semaines, la partie consacrée à la e-relation client est de 26h. niv 2 = 126h + niv 1 = </t>
  </si>
  <si>
    <t>COMMUNICATION ENTREPRISE</t>
  </si>
  <si>
    <t xml:space="preserve">37 compétences réparties en 3 blocs de compétences. Je retiens les compétences suivantes : produire dans un environnement numérique des supports de communication adaptés / assurer la visibilité numérique de l'organisation (au travers des réseaux sociaux, du site internet, de blogs) / actualiser et diffuser l'information sociale auprès des personnels. 1960 : 37 x 3 = 159 heures = 4,5 semaines </t>
  </si>
  <si>
    <t>Bac pro AGORA</t>
  </si>
  <si>
    <t xml:space="preserve">Enseignements portant sur la communication interne et externe : 105 heures en 1ère année, 60 heures en 2ème année = 165 heures + niv 1 = 324 heures = 9,2 semaines </t>
  </si>
  <si>
    <t>BTS assistant de gestion PME PMI</t>
  </si>
  <si>
    <t xml:space="preserve">je retiens bases de la communication (1 ECTS) + outils de communication interne / externe (2 ECTS) + le prorata sur le stage (0,45 ECTS). 3,45 x 27,5 = 95 heures + niv 2 = 419 heures = 12 semaines </t>
  </si>
  <si>
    <t>Licence pro communication multi média (C2M) - IAE LYON</t>
  </si>
  <si>
    <t xml:space="preserve">Je retiens l'UE stratégies de la communication d'entreprise (5 ECTS) + le prorata sur le stage (1,6 ECTS). 6,6 x 27,5 = 181,5 heures. Niv  4 = niv 3 + 181,5 = 601 heures = 17,2 semaines </t>
  </si>
  <si>
    <t>Master communication des entreprises, des institutions publiques et des associations mention communication des organisation - Paris 13</t>
  </si>
  <si>
    <t>RELATION PRESSE MEDIA</t>
  </si>
  <si>
    <t xml:space="preserve">je retiens "médias : usages et marchés" (30h) + plan média (25h) + le prorata sur les 10 semaines de stage (12h) = 67 heures </t>
  </si>
  <si>
    <t>DUT information et communication option communication des organisations</t>
  </si>
  <si>
    <t>je retiens : communication et médias internationaux + sociologie de la communication et des médias + relations presse + media planning (env 8 ECTS) + prorata sur le stage (1,7 ECTS). 9,7 x 27,5 = 266,75 heures + niv 1 = 334 heures = 9,5 semaines</t>
  </si>
  <si>
    <t>Licence pro métiers de la communication chef de projet communication - IUT Paris Rives de SEine</t>
  </si>
  <si>
    <t xml:space="preserve">je retiens l'UE stratégie média et média planning (3 ECTS) 3 x 27,5 = 82,5 heures + niv 1 = 417 heures = 11,9 semaines </t>
  </si>
  <si>
    <t>M1  Marketing et stratégie - Paris Dauphine</t>
  </si>
  <si>
    <t>ÉCRITURE INFORMATIVE</t>
  </si>
  <si>
    <t xml:space="preserve">1 activité retenue sur 3 : activités administratives à caractère technique. Dans cette activité, je retiens 1 tâche : rédaction de messages et de courriers professionnels simples liés à l'activité courante de la structure  (soit 1/6 tâches). 1500 : 3 = 500. 500 : 6 = 83,3 heures = 2,3 semaines </t>
  </si>
  <si>
    <t xml:space="preserve">BEP métiers des services administratifs </t>
  </si>
  <si>
    <t xml:space="preserve">Je regarde les savoirs rédactionnels (annexe IIIc du référentiel). Sur 17 situations professionnelles concernées par les savoirs rédactionnels, je retiens 1.3.3 / 2.1.4 /  3.1.2 / 4.1.1 / 4.2.1 (donc 5 sur 55 au total)  = 178,2 heures. Niv 2 = niv 1 + 1/3 du niv 2 = 142 heures = 4 semaines </t>
  </si>
  <si>
    <t xml:space="preserve">atelier d’écriture et d’expression littéraire 3 ECTS + atelier d’écriture du réel 3 ECTS = 6x27,5 = 165 heures + niv 2 = 307 heures = 8,7 semaines </t>
  </si>
  <si>
    <t>Licence études culturelles parcours culture et médias – programme de l’université de Lille</t>
  </si>
  <si>
    <t>RECHERCHE DOCUMENTAIRE</t>
  </si>
  <si>
    <t xml:space="preserve">On retient UE "projet et exploitation des documents" proposé en 4 module (8 ECTS) et le Module 11 "Recherche doucmentaire et outils " : 55 heures
</t>
  </si>
  <si>
    <t>On retient UE projet tutoré / Formation 60 ECTS /6 : 10 ECTS soit 275h + Niv 1</t>
  </si>
  <si>
    <t>On retient UE Projet tuteuré et méthodologies en biologie (désign et analyse des données expérimentales / Formation aux outils de la bibliographie) : 9 ECTS soit 247,5 heures 
On retient Formation aux outils de la binilographie (3 ECTS) :  82 heures</t>
  </si>
  <si>
    <t xml:space="preserve">Master Production &amp; Innovation en Agro Alimentaire </t>
  </si>
  <si>
    <t xml:space="preserve">STRATEGIE COMMUNICATION NUMERIQUE </t>
  </si>
  <si>
    <t>Je retiens e-réputation (semestre 1) : 20 heures / publication web PAO (semestre 1 ) : 25 heures / stratégie communication numérique (semestre 3) : 30 heures / référencement web (semestre 4) : 15 heures + le prorata des 10 semaines de stage .  Donc niv 1 = 90 heures + 17,5 = 107,5 heures</t>
  </si>
  <si>
    <t xml:space="preserve">DUT info com option information numérique des organisations </t>
  </si>
  <si>
    <t xml:space="preserve">je retiens dans l'UE 3 communication digitale et optimisation marketing d'un site (13 ECTS) : publicité mobile et en ligne / management des communautés virtuelles et médias sociaux / stratégies de référencement d'un site (3/5 = 7,8 ECTS) niv 2 = 214,5 + niv 1 = 322 heures = 9,2 semaines </t>
  </si>
  <si>
    <t xml:space="preserve">je retiens l'enseignement stratégies de communication numérique (3 ECTS) = 82,5 heures. Niv 3 = niv 2 + 82,5 heures = 404,5 heures = 11,5 semaines </t>
  </si>
  <si>
    <t>Master 1 communication numérique - Université catholique de Lille</t>
  </si>
  <si>
    <t>QUALITE TOTALE</t>
  </si>
  <si>
    <t xml:space="preserve">Je retiens 4 types de connaissances (MRP/KANBAN : grands principes et impacts, Lean et ergonomie, Chantier Kaizen, Promouvoir un chantier d'amélioration continue)
Durée F° = 1140 * 4/50 = 91,2 heures + PMSMP : 4/50*13*35 = 36,4 heures
Total niv 1 = 127,6 heures
</t>
  </si>
  <si>
    <t>Bac +2 Gestionnaire en organisation et performance industrielle, CESI</t>
  </si>
  <si>
    <t>On retient : fondamentaux du Lean 4 ETCS, Lean Management 5 ETCS, Outil du Lean Manufacturing 5 ETCS
14 * 27,5 = 385 heures
Total niv 2 = niv 1 + 385 = 512,6 heures</t>
  </si>
  <si>
    <t>Licence professionnelle Sciences, technologies, santé mention métiers de l'industrie : conception et amélioration de processus et procédés industriels Parcours Lean manufacturing, Cnam</t>
  </si>
  <si>
    <t xml:space="preserve">Je retiens les modules : Conduite de projet Lean-Qualité 4 ETCS, Outils et méthode de l'amélioration continue 4 ETCS, Méthode 6 sigmas 2 ETCS, Tableaux de bords et indicateurs du Lean-Qualité 2 ETCS, Valorisation des impacts du Lean-Qualité 2 ETCS, Les modèles d'excellence organisationnelle - l'EFQM 2 ETCS, Intégration opérationnelle du Lean-Qualité dans une structure 2 ETCS, Animation de l'amélioration continue 2 ETCS, Stratégie Lean-Qualité 2,25 ETCS
Total = 22,25 ETCS * 27,5h = 611,9 heures
Total niv 3 = niv 2 + 611,9 = 1124,5 heures
</t>
  </si>
  <si>
    <t>Master LEAN, MANAGEMENT ET QUALITÉ, Ecole de Management Toulouse</t>
  </si>
  <si>
    <t>Master Spécialisé Excellence Opérationnelle, INSA Rennes</t>
  </si>
  <si>
    <t>SANTÉ SÉCURITÉ TRAVAIL</t>
  </si>
  <si>
    <t>Module Prévention Santé Environnement sur 3 ans = 84h . on retient Les notions de base en prévention des risques professionnels, les enjeux de la "santé sécurité au travail",  Analyse d'une situation de travail, Déclaration et réparation des AT et MP, analyse des risques professionnels et Analyse d'un risque spécifique au secteur professionnel soit 20h
Total niv 1 = 20h</t>
  </si>
  <si>
    <t>Bac Pro (module commun Prévention Santé Environnement communs à tous les BAC)</t>
  </si>
  <si>
    <t xml:space="preserve"> Formation total = 1800h PMSMP total 650h. On retient T33Environnement des situations de travail, T35 Sécurité des installations et des équipements = 179h +64,6 de PMSMP total = 243,6 heures
 Total niv 2 = niv 1 + 243,6</t>
  </si>
  <si>
    <t>DUT HSE Référentiel national</t>
  </si>
  <si>
    <t>On retient le HSE101 Approches institutionnelles, législatives et réglementaires de la sécurité et santé au travail et la moitié du HSE103 Aspects techniques de l'évaluation des différents risques professionnels soit 9 ECTS
Total = 9 ECTS * 27,5 (dont stage) = 247,5
Niv 2 = Niv 1 + 247,5</t>
  </si>
  <si>
    <t>Licence professionnelle Sciences technologies, santé mention qualité, hygiène, sécurité, santé, environnement Parcours Evaluation et gestion des risques pour la santé/sécurité dans les entreprises, CNAM</t>
  </si>
  <si>
    <t>MANAGEMENT ENVIRONNEMENTAL</t>
  </si>
  <si>
    <t>Module Prévention Santé Environnement sur 3 ans = 84h . on retient la thématique B. l'individu responsable dans son environnement, soit 15h
Total niv 1 = 15H</t>
  </si>
  <si>
    <t>Formation total = 1800h PMSMP total 650h.T 36 Protection de l'environnement et Développement Durable , M4101 Démarche environnementale et M4103 Risques naturels =102h + 36,8H PMSMP = Total 138,8 heures
Total niv 2 = niv 1+ 138,8h</t>
  </si>
  <si>
    <t>Formation total = 595h + 1190 H alternance. On retient UE 7 Environnement, développpement durable = 74,4 + 148,8H alternance = Total 223,125
Niv 3: Niv 2 +223,1 = 376,9</t>
  </si>
  <si>
    <t>Licence professionnelle QHSSE, Université de Rennes 1</t>
  </si>
  <si>
    <t>200 </t>
  </si>
  <si>
    <t>31407 </t>
  </si>
  <si>
    <t>QUALITE HYGIENE SECURITE ENVIRONNEMENT </t>
  </si>
  <si>
    <t>Module Prévention Santé Environnement sur 3 ans = 84h . on retient Les acteurs de la prévention, le suivi de la santé au travail, la sécurité alimentaire, soit 9h
Total niv 1 = 9H</t>
  </si>
  <si>
    <t>Niv 1 + DUT HSE
Formation total = 1800h PMSMP total 650h. On retient  T11 Santé, Sécurité au travail, Environnement, Développement Durable  et M3104 Evaluation et maitrise des risques professionnels = 110h + 39,8h PMSMP = Total 149,7 heures
Total niv 2 = niv 1 + 149,7h</t>
  </si>
  <si>
    <t>Formation total = 595h + 1190 H alternance. On retient une partie de l'UE 3 "Amélioration et performance QSE" , soit Enjeux et concepts QSE et Métiers et fonctions QSE = 18,6h+ 37,2hPMSMP = Total 55,8heures
Total niv 3 = niv 2 + 55,8H</t>
  </si>
  <si>
    <t>GESTION QUALITE</t>
  </si>
  <si>
    <t>Formation total = 1936h + 420h PMSMP. On retient 3 savoirs de l'U3 Management de la qualité (résolution de problèmes, gestion des risques, garantie conformité)  = 134h formation + 29,1h PMSMP = Total 163,1h
Total = 163,1H</t>
  </si>
  <si>
    <t>BTS bio qualité référentiel national</t>
  </si>
  <si>
    <t xml:space="preserve">Formation total = 595h + 1190 H alternance. On retient une partie de l'UE 3 "Amélioration et performance QSE" (soit Système de management de la qualité et amélioration des performances EFQM) = 55,8h+ 111,6hPMSMP = Total 148,8 heures
Total niv 2 = niv 1+ 148,8
</t>
  </si>
  <si>
    <t>Formation total = 900h + 900h stage. On retient l'UE "Qualité et management de projet " et la partie "management de la santé sécurité au travail" et "HACCP et gestion des risques sanitaires" au sein de l'UE Hygiène et sécurité 2 = 102 h + 102h PMSMP = Total 204h
Total = niv 2 +204H</t>
  </si>
  <si>
    <t>Master QHSE, INSA</t>
  </si>
  <si>
    <t>AUDIT QUALITE</t>
  </si>
  <si>
    <t>Formation total = 1980H PMSMP inclus. On retient une unité (Exercer une vigilance et appliquer les règles, procédures et instructions concernant : la qualité, l’hygiène, la sécurité des personnes, la sécurité des produits, la traçabilité des produits,  les risques environnementaux) = 53,5h
Total niv 1 = 53,5h</t>
  </si>
  <si>
    <t>bac pro Bio-industries de transformation</t>
  </si>
  <si>
    <t>Formation total = 1936h + 420h PMSMP. On retient 3 savoirs de l'U3 Management de la qualité (Evaluation de la conformité, Pratiques de l'audit et de l'inspection, gestion de la non-conformité et des réclamations clients)  = 134h formation + 29,1h PMSMP = Total 163,1h
Total niv 2=  niv 1+163,1H</t>
  </si>
  <si>
    <t>Formation totale : 60 ECTS (stage inclus). On retient UE9 - QSE et Audit(et UE7 référentiel Qualité soit 366,7 H 
Total niv 3 = niv 2+ 366,7</t>
  </si>
  <si>
    <t>Licence professionnelle Métiers de la qualité, Université de Caen</t>
  </si>
  <si>
    <t>Comptabilité</t>
  </si>
  <si>
    <t>7 savoirs - soit 45,5 heures de formation + 25,3h de PMFP, soit 70,7 heures</t>
  </si>
  <si>
    <t>Bac Pro Gestion/ Administration</t>
  </si>
  <si>
    <t>Module 1 : Réaliser l'arrêt des comptes + Module 2 : Réviser, prest les comptes annuels, Module 5 : analyser les états de synthèse soit 245 heures de formation + 98h de stage = 343 heures
Niv 2 = Niv 1 + titre pro = 70,7 + 343 = 413,7 heures</t>
  </si>
  <si>
    <t>Titre pro AFPA niv 5 Gestionnaire comptable et fiscal</t>
  </si>
  <si>
    <t>UA Comptabilité approfondie soit 8 ECTS = 220h formation + 88h de projet + 88h stage = 396h
Niv 3 = Niv 2 + lic = 413,7 + 396 = 809,7 heures</t>
  </si>
  <si>
    <t>Licence professionnelle Gestion comptable et financière PME/PMI, Cnam IDF</t>
  </si>
  <si>
    <t>Fiscalité entreprise</t>
  </si>
  <si>
    <t>9 savoirs - soit 58,5 heures de formation + 32,5h de PMFP, soit 90,9 heures</t>
  </si>
  <si>
    <t>Module 4 : Etablir et contrôler les déclarations fiscales 4 semaines, et Module 3 : Etablir/ contrôler les déclarations périodiques 2 semaines, soit 210 heures de formation + 84 heures de stage = 294 heures
Niv 2 = Niv 1 + titre pro = 90,9 + 210 = 300,9 heures</t>
  </si>
  <si>
    <t>Bloc spécifique sur la fiscalité, 150h formation + 198h de période en entreprise, soit 348 heures
Niv 3 = Niv 2 + lic = 300,9 + 348 = 648,9 heures</t>
  </si>
  <si>
    <t>Licence pro gestion, comptabilité : fiscalité</t>
  </si>
  <si>
    <t>Contrôle gestion</t>
  </si>
  <si>
    <t>5 savoirs - soit 32,5 heures de formation + 18h de PMFP, soit 50,5 heures</t>
  </si>
  <si>
    <t>P5 Analyse/Prévision de l'activité 126h formation + 16h atelier pro + 29,5h stage, soit 171,5 heures
Niv 2 = Niv 1 + BTS = 50,5 + 171,5 = 222 heures</t>
  </si>
  <si>
    <t>UA Comptabilité et contrôle de gestion I + UA Comptabilité et contrôle de gestion II, soit 8 ECTS = 220h formation + 88h de projet + 88h stage = 396h
Niv 3 = Niv 2 + lic = 222 + 396 = 618h</t>
  </si>
  <si>
    <t>314 </t>
  </si>
  <si>
    <t>Traitement paie</t>
  </si>
  <si>
    <t>9 savoirs (composantes du bulletin de salaire, annexes du bulletins de salaires, législation salaire, sources et confidentialité des informations de la paie, eploitation et ttmt automatisé, cotisations sociales, déclarations sociales) - soit 58,5 heures de formation + 32,5h de PMFP, soit 90,9 heures</t>
  </si>
  <si>
    <t>Module 3 intitulé "Assurer la gestion de la paie et des déclarations sociales", d'une durée de 6 semaines, avec une PFMP de 70 heures (910 heures en tout + 6 semaines en entreprise)
Durée totale = niv 1 + 210 + 70 = 370,9</t>
  </si>
  <si>
    <t>Titre professionnel de niveau 5 (BTS/DUT) de gestionnaire de paie.</t>
  </si>
  <si>
    <t>120 heures de cours correspondant aux intitulés "Progiciel RH et Paie ; Gestion sociale appliquée 1 ; Gestion sociale appliquée 2 ; Traitement des charges sociales et fiscales" + une PFMP de 120 heures (formation en alternance avec 15 jours en entreprise/15 jours en cours). 
Durée totale = Niv 2 + 120 + 120 = 610,9</t>
  </si>
  <si>
    <t>Licence Professionnelle Ressources Humaines et Paie</t>
  </si>
  <si>
    <t>Technique administrative</t>
  </si>
  <si>
    <t>2 connaissances retenues sur 21, intitulées "Connaissance des normes de classement " et " Connaissance des règles juridiques de conservation des documents", pour une durée de formation de 731 h avec 167 h en Entreprise. 
Durée totale = 69,6 heures + 15,9 de PFMP = 85,5 heures</t>
  </si>
  <si>
    <t>2,5 compétences retenues sur 11, soit "Organiser la conservation et la traçabilité de l'information", "Contribuer à l’amélioration des processus administratifs" et 1/2 de "Assurer la recherche, la synthèse et la diffusion de l'information", pour une durée de formation de 875 h et de 4 semaines en entreprise. Pas de poupées russes appliquées car 2 titres pro consécutifs. 
Durée totale = niv 1 + 198,9 + 31,9h de PFMP = 230,7 heures</t>
  </si>
  <si>
    <t>Bac Pro Assistanat de direction</t>
  </si>
  <si>
    <t>Trésorerie</t>
  </si>
  <si>
    <t xml:space="preserve">1 savoir sur 55, intitulé "Suivi de la trésorerie et des relations avec les banques", pour 22 semaines stages et 2520 heures de cours.
Calcul : 45,8h + 14h de PFMP = 59,8 h soit 1,7 semaines
</t>
  </si>
  <si>
    <t>La durée des enseignements contenus dans "Réalisation des rapprochements bancaires (comptabilité de trésorerie)" + la moitié des enseignements du bloc "P6 Analyse de la situation financière 100,8 h formation + 8h atelier pro + 23,8h stage, soit 155,1 heures".
Calcul = 132,6 + Niv 1 = 192,4 heures = 5,5 semaines</t>
  </si>
  <si>
    <t>119 de cours coorespondant à l'UE3 INGENIERIE FINANCIERE (sauf le module diagnostic financier, qui se recoupe avec le DC "gestion performance"), pour une durée d'enseignements totale de 450 heures, avec 150h de projets tutorés, et 16 semaines de stage.
Calcul = niv 2 + 255,2 = 447,6 heures soit 12,8 semaines</t>
  </si>
  <si>
    <t>Licence pro Gestion Financière et Commerciale
des Risques des Organisations - IUT Occitanie</t>
  </si>
  <si>
    <t>Acier</t>
  </si>
  <si>
    <t>2 sous savoirs (S42 et S58) sur 42, pour une durée totale de 1500 heures
Calcul : 2/42*1500 = 71,4 heures soit 2,04 semaines</t>
  </si>
  <si>
    <t>CAP Serrurier-Métallier</t>
  </si>
  <si>
    <t>4 savoirs et sous savoirs (S62, S64, S75, S87) pour une durée d'enseignement professionnel de 630 heures, avec 66 semaines de période en entreprise
Calcul = niv 1 + 233 = 304,4 heures soit 8,7 semaines</t>
  </si>
  <si>
    <t>BP métallier</t>
  </si>
  <si>
    <t>2,5 sous-savoirs/ 84, pour une durée d'enseignement de 2108 heures et 10 semaines de PMSMP
Calcul = niv 2 + 73 = 377,4 heures soit 10,8 semaines</t>
  </si>
  <si>
    <t>BTS Fonderie</t>
  </si>
  <si>
    <t>ACCUEIL TOURISME</t>
  </si>
  <si>
    <t>PRODUCTION VEGETALE</t>
  </si>
  <si>
    <t xml:space="preserve">ANIMATION VENTE </t>
  </si>
  <si>
    <t>Aquaculture</t>
  </si>
  <si>
    <t>BOISSON</t>
  </si>
  <si>
    <t>312 </t>
  </si>
  <si>
    <t xml:space="preserve">COMMERCE INTERNATIONAL </t>
  </si>
  <si>
    <t>Conchyliculture</t>
  </si>
  <si>
    <t>Construction maintenance navale</t>
  </si>
  <si>
    <t>Biologie marine</t>
  </si>
  <si>
    <t>Ecailler</t>
  </si>
  <si>
    <t>Etiquetage</t>
  </si>
  <si>
    <t>Maçonnerie</t>
  </si>
  <si>
    <t>Pêche</t>
  </si>
  <si>
    <t>Transport maritime</t>
  </si>
  <si>
    <t>Travaux paysagers</t>
  </si>
  <si>
    <t>VITICULTURE</t>
  </si>
  <si>
    <t>TRAVAIL SOCIAL</t>
  </si>
  <si>
    <t>INTERVENTION SOCIALE ET FAMILIALE</t>
  </si>
  <si>
    <t>ADMINISTRATION DU PERSONNEL</t>
  </si>
  <si>
    <t>AUDIT SECURITE</t>
  </si>
  <si>
    <t>AUDIT ENTREPRISE</t>
  </si>
  <si>
    <t>GESTION RISQUE ENTREPRISE</t>
  </si>
  <si>
    <t>PROTECTION SOCIALE</t>
  </si>
  <si>
    <t>Psychologie</t>
  </si>
  <si>
    <t>DROIT PROTECTION SOCIALE</t>
  </si>
  <si>
    <t xml:space="preserve">Cuir peau </t>
  </si>
  <si>
    <t>NIVEAU UNIQUE. On retient le bloc 1 préparation des opérations de corroyage et de finition des cuirs, contrôle-qualité et suivi de la production à son poste , soit 84h</t>
  </si>
  <si>
    <t>CQP Agent(e) de production en tannerie-mégisserie spécialisé(e) Corroyage et Finissage</t>
  </si>
  <si>
    <t>Transport animal vivant</t>
  </si>
  <si>
    <t>On prend la totalité de la formation</t>
  </si>
  <si>
    <t>Formation TAV (animaux de compagnie)</t>
  </si>
  <si>
    <t>On prend la totalité de la formation + niv 1</t>
  </si>
  <si>
    <t>Formation CCCC (animaux de rente)</t>
  </si>
  <si>
    <t>Transformation des céréales</t>
  </si>
  <si>
    <r>
      <rPr>
        <sz val="11"/>
        <color rgb="FF000000"/>
        <rFont val="Calibri"/>
        <family val="2"/>
      </rPr>
      <t xml:space="preserve">On retient 4 modules sur 5 du module professionnel UCP2 Réaliser en sécurité les opérations de fabrication et de conditionnement.
On estime que 40% de  la durée de formation en centre correspond à l'UCP2 (805H x 40% x 4/5e = 136,16H). On applique ce prorata à la durée du stage en entreprise (105,3H)
</t>
    </r>
    <r>
      <rPr>
        <b/>
        <sz val="11"/>
        <color rgb="FF000000"/>
        <rFont val="Calibri"/>
        <family val="2"/>
      </rPr>
      <t>Durée totale = 241H (136,16H + 105,3H)</t>
    </r>
  </si>
  <si>
    <t>CAPA Opérateur en Industries Agroalimentaires – Option Transformation de Produits Alimentaires</t>
  </si>
  <si>
    <t>Licence Professionnelle Conception et Production des Aliments</t>
  </si>
  <si>
    <t>BTSA BIOQUALIM – Option Aliments et Processus Technologiques Produits Céréaliers</t>
  </si>
  <si>
    <t xml:space="preserve">BP CLPA Conducteur de ligne de production agroalimentaire </t>
  </si>
  <si>
    <r>
      <t xml:space="preserve">On retient 100% du temps de la capacité 5 (UCARE, soit 100H) et 40% de la capacité 3 (soit 40% X 250H = 100H): 200H, ce qui représente 25% du temps passé en OF (798H)
Auxquels on ajoute le même pourcentage (25%) aux heures passées en stage (25% x 490H = 123H)
</t>
    </r>
    <r>
      <rPr>
        <b/>
        <i/>
        <sz val="11"/>
        <color theme="1"/>
        <rFont val="Calibri"/>
        <family val="2"/>
        <scheme val="minor"/>
      </rPr>
      <t>Durée totale = 323H (200H + 123H)</t>
    </r>
    <r>
      <rPr>
        <i/>
        <sz val="11"/>
        <color theme="1"/>
        <rFont val="Calibri"/>
        <family val="2"/>
        <scheme val="minor"/>
      </rPr>
      <t xml:space="preserve">
</t>
    </r>
    <r>
      <rPr>
        <b/>
        <sz val="11"/>
        <color theme="1"/>
        <rFont val="Calibri"/>
        <family val="2"/>
        <scheme val="minor"/>
      </rPr>
      <t>On additionne cette durée à DC1, ce qui représente 564H (241+323)</t>
    </r>
  </si>
  <si>
    <r>
      <t xml:space="preserve">On retient 100% de l'UE5 soit 80H, et 70H sur les 90 de l'UE4, soit un total de 150H
Ce qui représente 23% des heures passées en OF (base totale 665H)
On applique ce même pourcentage aux heures passées en stage soit 126H (=23% X 560 )
</t>
    </r>
    <r>
      <rPr>
        <b/>
        <i/>
        <sz val="11"/>
        <color theme="1"/>
        <rFont val="Calibri"/>
        <family val="2"/>
        <scheme val="minor"/>
      </rPr>
      <t xml:space="preserve">Durée totale de 276H(= 150 + 126) </t>
    </r>
    <r>
      <rPr>
        <sz val="11"/>
        <color theme="1"/>
        <rFont val="Calibri"/>
        <family val="2"/>
        <scheme val="minor"/>
      </rPr>
      <t xml:space="preserve">
On ajoute cette durée au DC3 = </t>
    </r>
    <r>
      <rPr>
        <b/>
        <sz val="11"/>
        <color theme="1"/>
        <rFont val="Calibri"/>
        <family val="2"/>
        <scheme val="minor"/>
      </rPr>
      <t>TOTAL 994H (= 718 +276)</t>
    </r>
  </si>
  <si>
    <r>
      <t xml:space="preserve">On retient 100% du module 5 soit 120H, ce qui représente 7% du temps passé en OF (base totale 1 740H )
On applique ce même pourcentage aux heures passées en stage (7% x 490 = 34H)
</t>
    </r>
    <r>
      <rPr>
        <b/>
        <i/>
        <sz val="11"/>
        <color theme="1"/>
        <rFont val="Calibri"/>
        <family val="2"/>
        <scheme val="minor"/>
      </rPr>
      <t>Total = 154H (120 + 34)</t>
    </r>
    <r>
      <rPr>
        <sz val="11"/>
        <color theme="1"/>
        <rFont val="Calibri"/>
        <family val="2"/>
        <scheme val="minor"/>
      </rPr>
      <t xml:space="preserve">
On ajoute cette durée au DC2 soit un </t>
    </r>
    <r>
      <rPr>
        <b/>
        <sz val="11"/>
        <color theme="1"/>
        <rFont val="Calibri"/>
        <family val="2"/>
        <scheme val="minor"/>
      </rPr>
      <t>total de 718H (= 564 +154)</t>
    </r>
  </si>
  <si>
    <t>PEINTURE BÂTIMENT</t>
  </si>
  <si>
    <t>CAP Peintre Applicateur de revêtements</t>
  </si>
  <si>
    <t>La formation cmplète : 840 heures (CCCA BTP) autour de 41 modules
840/41 = 20.5
48 semaines (1680) = 41 heures
41 + 20.5 = 61.5</t>
  </si>
  <si>
    <t>POSE PAPIER PEIN</t>
  </si>
  <si>
    <t>La formation complète en OF : 840 heures (CCCA BTP) autour de 41 modules
On divise la durée totale de formation par le nombre de module : 840/41 = 20.5 heures
On calacule de la même sur la durée en entreprise (alternance) 48 semaines (1680h) --&gt; 1680/41 = 41 heures
41 + 20.5 = 61.5</t>
  </si>
  <si>
    <t>Bac pro Aménagement et finition du batiment</t>
  </si>
  <si>
    <t>COUVERTURE</t>
  </si>
  <si>
    <t>BP Couvreur</t>
  </si>
  <si>
    <t>Durée totale de la formation : 2 520 heures (840 en OF + 1680 en entreprise) réparties sur 49 modules
2520/49x4 = 205,7</t>
  </si>
  <si>
    <t>Durée totale de la formation : 2 520 heures (840 en OF + 1680 en entreprise) réparties sur 39 modules
2520/39x3 = 193,8</t>
  </si>
  <si>
    <t>durée totale : 2520  (840 en OF + 1680 en entreprise) réparties sur 46 modules = 2520/46x2 = 109,5</t>
  </si>
  <si>
    <t xml:space="preserve">CAP charpentier bois </t>
  </si>
  <si>
    <t xml:space="preserve">BP charpentier bois </t>
  </si>
  <si>
    <t xml:space="preserve">2520 sur 49 modules = 2520/49x4 </t>
  </si>
  <si>
    <t xml:space="preserve">schéma életcrique </t>
  </si>
  <si>
    <t xml:space="preserve">installation électrique </t>
  </si>
  <si>
    <t>1400 h/ 50 modules x2 = 56</t>
  </si>
  <si>
    <t>2520/28x2 = 180</t>
  </si>
  <si>
    <t>2520/28 = 90</t>
  </si>
  <si>
    <t xml:space="preserve">1400/50 = 28 </t>
  </si>
  <si>
    <t xml:space="preserve">plomberie </t>
  </si>
  <si>
    <t>plomberie (installateur sanitaire)</t>
  </si>
  <si>
    <t>plomberie (installateur en chauffage)</t>
  </si>
  <si>
    <t>2520/62 x1 = 40,6</t>
  </si>
  <si>
    <t xml:space="preserve">2520/ 41x1 = 61,4 </t>
  </si>
  <si>
    <t>génie thermique (installateur sanitaire)</t>
  </si>
  <si>
    <t>génie thermique (installateur de chauffage)</t>
  </si>
  <si>
    <t>BP Peintre Applicateur de revêtements</t>
  </si>
  <si>
    <t>2520 /45 = 56</t>
  </si>
  <si>
    <t xml:space="preserve">traitement surface </t>
  </si>
  <si>
    <t xml:space="preserve">enduit maçonnerie </t>
  </si>
  <si>
    <t xml:space="preserve">2520/41 x </t>
  </si>
  <si>
    <t xml:space="preserve">pose papier peint </t>
  </si>
  <si>
    <t>2520/41</t>
  </si>
  <si>
    <t xml:space="preserve">2520/45 + 61,5 </t>
  </si>
  <si>
    <t xml:space="preserve">carrelage mosaïque </t>
  </si>
  <si>
    <t xml:space="preserve"> Peintre Applicateur de revêtements</t>
  </si>
  <si>
    <t xml:space="preserve">2520/51 x 4 </t>
  </si>
  <si>
    <t>2520/44 x 3 + 197,6</t>
  </si>
  <si>
    <t xml:space="preserve">platrerie </t>
  </si>
  <si>
    <t xml:space="preserve">faux plafond </t>
  </si>
  <si>
    <t xml:space="preserve">BP métiers du plâtre et de l'isolation  </t>
  </si>
  <si>
    <t xml:space="preserve">2520/49 x 1 </t>
  </si>
  <si>
    <t xml:space="preserve">2520/49 </t>
  </si>
  <si>
    <t xml:space="preserve">2520/51 </t>
  </si>
  <si>
    <t>2520/51 x2 +51,4</t>
  </si>
  <si>
    <t>CAP métiers du platre et de l'isolation</t>
  </si>
  <si>
    <t xml:space="preserve">BP carreleur mosaiste </t>
  </si>
  <si>
    <t xml:space="preserve">CAP carreleur mosaiste </t>
  </si>
  <si>
    <t>Peintre Applicateur de revêtements</t>
  </si>
  <si>
    <t>Vente distribution</t>
  </si>
  <si>
    <t>CAP Equipier polyvalent du commerce</t>
  </si>
  <si>
    <t>Bac pro métiers du commerce et de la vente (Option A)</t>
  </si>
  <si>
    <t>840 heures en OF (CMA) + 2520 heures en entreprises = 3360 (44 compétences)
Pour 3 compétences : 3360/44x3 = 229,1</t>
  </si>
  <si>
    <t>1350 heures (GRETA Lyon) (55 compétences)
Pour 4 compétences : 1350/55x4 = 98,2
Niveau 1 (229) + 98,2 = 327,3</t>
  </si>
  <si>
    <t>Gestion relation client</t>
  </si>
  <si>
    <t>CAP Opérateur de service - Relation client et livraison</t>
  </si>
  <si>
    <t>898 heures de formation (Académie de Reims) (40 compétences)
Pour 3 compétences : 898/40x3 = 67,4</t>
  </si>
  <si>
    <t>Bac pro métiers de l'accueil</t>
  </si>
  <si>
    <t>1350 heures (Académie de Lyon) (63 compétences)
Pour 4 compétences : 1350/63x4 = 85,7
Niveau 1 (67,4) + 85,7 = 153,1</t>
  </si>
  <si>
    <t>Materiau de construction</t>
  </si>
  <si>
    <t>TFP Technicien production matériau de construction et industrie</t>
  </si>
  <si>
    <t>840 heures (CEFICEM - OF de branche) (32 compétences)
Pour 1 compétences : 840/32x1 = 26,3</t>
  </si>
  <si>
    <t>charpente / Bois</t>
  </si>
  <si>
    <t xml:space="preserve">charpente / bois </t>
  </si>
  <si>
    <t xml:space="preserve">traitement bois </t>
  </si>
  <si>
    <t>2520/49 = 51,4</t>
  </si>
  <si>
    <t>2520/46 = 54,7</t>
  </si>
  <si>
    <t xml:space="preserve">norme éléctrique </t>
  </si>
  <si>
    <t>2520/28= 90</t>
  </si>
  <si>
    <t xml:space="preserve">immotique </t>
  </si>
  <si>
    <t>1260 / 5 = 252</t>
  </si>
  <si>
    <t xml:space="preserve">titre pro technicien du batiment communicant et connecté </t>
  </si>
  <si>
    <t xml:space="preserve">BTS fluides énergies domotique option C Domoitque et batiments communicants </t>
  </si>
  <si>
    <t>2800/19 = 147,3</t>
  </si>
  <si>
    <t xml:space="preserve">ENDUIT MAÇONNERIE </t>
  </si>
  <si>
    <t>1680/41 = 61,5</t>
  </si>
  <si>
    <t>2520/45 = 56</t>
  </si>
  <si>
    <t>TRAITEMENT SURFACE</t>
  </si>
  <si>
    <t>Lecture plan  BTP</t>
  </si>
  <si>
    <t>Lecture plan BTP</t>
  </si>
  <si>
    <t>Bac pro Technicien d'études du Bâtiment (Option B : Assistant en architecture)</t>
  </si>
  <si>
    <t>GRETA Normandie : 735 heures en OF + 770 heures en entreprises = 1505 heures (pour 68 compétences)
Pour 2 compétenes : 1505/68x3 = 44,3</t>
  </si>
  <si>
    <t>GRETA Lyon : 1435 heures (29 compétences)
Pour 1 compétences: 1435/29x1 = 49,9 heures
Niveau 1 (44,3)+49,9</t>
  </si>
  <si>
    <t>Isolation bâtiment</t>
  </si>
  <si>
    <t>GRETA NAQ :  1350 heures (37 compétences)
1350/37x3 = 109,5
Niveau 1 (61,5) + 109,5</t>
  </si>
  <si>
    <t>GRETA NAQ :  1350 heures (37 compétences)
1350/37x1 = 36,5</t>
  </si>
  <si>
    <t>BTS Fluides énergies domotique option A (Génie climatique)</t>
  </si>
  <si>
    <t>CCCA BTP NAQ : 1400 heures en Of + 1400 heures en entreprise (2800 heures au total) (17 modules)
2800/17x1 = 164,7</t>
  </si>
  <si>
    <t>Ferraillage</t>
  </si>
  <si>
    <t>Coffrage</t>
  </si>
  <si>
    <t>CAP Constructeur d'ouvrages en béton armé</t>
  </si>
  <si>
    <t>Béton</t>
  </si>
  <si>
    <t>CCCA BTP NAQ : 2 520 heures (44 compétences)
2520/44x1 = 57,3</t>
  </si>
  <si>
    <t>CCCA BTP NAQ : 2 520 heures (44 compétences)
2520/44x2 = 114,5</t>
  </si>
  <si>
    <t>Bac pro Technicien du batiment : organisation et réalisation du gros œuvre</t>
  </si>
  <si>
    <t>GRETA Loire : 1350 heures (71 compétences)
1350/71x1 = 19
Niveau 1 (57,3) + 19</t>
  </si>
  <si>
    <t>GRETA Loire : 1350 heures (71 compétences)
1350/71x2 = 38
Niveau 1 (14,5) + 38</t>
  </si>
  <si>
    <t>CAP Macçon</t>
  </si>
  <si>
    <t>CCCA BTP : 1260 heures (52 compétences)
Pour xx compétences : 1260/52</t>
  </si>
  <si>
    <t>840 heures (CEFICEM - OF de branche) (32 compétences)
Pour 1 compétences : 840/32x1 = 26,3
Niveau 1 (24,2)+26,3</t>
  </si>
  <si>
    <t>CCCA BTP : 1260 heures (52 compétences)
Pour 4 compétences : 1260/52x4 = 96,9</t>
  </si>
  <si>
    <t>GRETA Loire : 1350 heures (71 compétences)
1350/71x4 = 76
Niveau 1 (96,9) + 76 = 172,9</t>
  </si>
  <si>
    <t>Menuiserie</t>
  </si>
  <si>
    <t>CAP Menuisier fabricant</t>
  </si>
  <si>
    <t>CCCA BTP NAQ : 1260 heures (46 compétences)
Pour 4 compétences : 1260/46x4 = 109,6</t>
  </si>
  <si>
    <t>BP Menuisier</t>
  </si>
  <si>
    <t>CCCA BTP NAQ : 1260 heures (44 compétences)
Pour 5 compétences : 1260/44x5 = 143,2
Niveau 1 (109,6)+143,2</t>
  </si>
  <si>
    <t>Huisserie</t>
  </si>
  <si>
    <t>CCCA BTP NAQ : 1260 heures (46 compétences)
Pour 1 compétences : 1260/46x1 = 27,4</t>
  </si>
  <si>
    <t>CCCA BTP NAQ : 1260 heures (44 compétences)
Pour 3 compétences : 1260/44x3 = 85,9
Niveau 1 (27,4)+85,9</t>
  </si>
  <si>
    <t>Verre</t>
  </si>
  <si>
    <t>Bois</t>
  </si>
  <si>
    <t>Dessin BTP</t>
  </si>
  <si>
    <t>GRETA Normandie : 735 heures en OF + 770 heures en entreprises = 1505 heures (pour 68 compétences)
Pour 1 compétenes : 1505/68x3 = 44,3</t>
  </si>
  <si>
    <t>Energie renouvelable</t>
  </si>
  <si>
    <t>Bac pro Métiers du froid et des énergies renouvelables</t>
  </si>
  <si>
    <t>GRETA Lyon : 1400 heures (59 compétences) 
Pour 1 compétence : 1400/59x1 = 23,7</t>
  </si>
  <si>
    <t>CS Technicien énergies renouvelables</t>
  </si>
  <si>
    <t>CCCA BTP NA : 1260 h (58 compétences)
Pour 4 compétences : 1260/58x4 = 86,9
Niveau 1 (23,7) + 86,9 = 110,6</t>
  </si>
  <si>
    <t>Plancher</t>
  </si>
  <si>
    <t>CAP Menuisier installateur</t>
  </si>
  <si>
    <t>CCCA BTP NA : 2520 heures (54 compétences)
pour 2 compétences :</t>
  </si>
  <si>
    <t>GRETA Lyon : 1350 heures (79 compétences)
Pour 4 compétences : 1350/79x4 = 68,4
Niveau 1 (93,3)+68,4</t>
  </si>
  <si>
    <t>Mécanique automobile</t>
  </si>
  <si>
    <t>CAP Maintenance des véhicules</t>
  </si>
  <si>
    <t>GRETA Alsace : 747 heures en OF et 350 heures en entreprises (44 compétences)
Pour 2 compétences : 1097/44x2 = 49,9</t>
  </si>
  <si>
    <t>Engin de chantier</t>
  </si>
  <si>
    <t>CAP Conducteur d'engins de chantier et de carrières</t>
  </si>
  <si>
    <t>MFR Montbozon : 490 heures (45 compétences)
Pour 2 compétences : 21,8</t>
  </si>
  <si>
    <t>BP Conducteur d'engins de chantier et de carrières</t>
  </si>
  <si>
    <t>GRETA 77 : 840 heures (51 compétences)
Pour 8 compétences : 840/51x8 = 131,8
Niveau 1 (21,8)+131,8 = 153,6</t>
  </si>
  <si>
    <t>Terrassement</t>
  </si>
  <si>
    <t>MFR Montbozon : 490 heures (45 compétences)
Pour 3 compétences : 32,7</t>
  </si>
  <si>
    <t>GRETA 77 : 840 heures (51 compétences)
Pour 3 compétences : 840/51x3 = 49,4
Niveau 1 (32,7)+49,4 = 82,1</t>
  </si>
  <si>
    <t>Travaux routiers</t>
  </si>
  <si>
    <t>CAP Constructeur routes et aménagements urbains</t>
  </si>
  <si>
    <t>CCCA BTP NA : 2520 heures (47 compétences)
Pour 3 compétences : 2510/47x3 = 160,9</t>
  </si>
  <si>
    <t xml:space="preserve">Bac pro travaux publics </t>
  </si>
  <si>
    <t>CCCA BTP : 2520 heures (64 compétences)
Pour 2 compétences : 2520/64x2 = 78,8
Niveau 1 (160,9) + 78,8 =  239,7</t>
  </si>
  <si>
    <t>Licence Gestion - Management</t>
  </si>
  <si>
    <t xml:space="preserve">Je retiens le bloc 3 : RNCP42362BC03 - Participer au pilotage opérationnel d'un projet dans le respect des normes en vigueur.
Se retrouve dans l'UE Gérer un projert 44h + construire un projet 31 h  + projet professionnel 35h : 110 h 
A ajouter aux 299 </t>
  </si>
  <si>
    <t>POLITIQUE PUBLIQUE</t>
  </si>
  <si>
    <t>Master politique publique</t>
  </si>
  <si>
    <t>UE Politique publique 9 ECTS = 225h</t>
  </si>
  <si>
    <t>bac pro SAPAT : Services aux personnes et animation dans les territoires</t>
  </si>
  <si>
    <t>BTS Services et prestations des secteurs sanitaire et social (SP3S)</t>
  </si>
  <si>
    <t>POUR INSTITUTION ET RESEAUX / Dans "Politique de la structure et territoires"  (7,5 heures hebdomadaires en 1re année ; 5,5 en 2e année) : droits des usagers ; politiques sanitaires et sociales ; établissements sanitaires et sociaux ; identité sociale, intégration et exclusion ; prestations et offre de services SOIT 32 SEMAINES donc 240 + 176 = 416. Je rajoue le niveau 1  135+416 = 551</t>
  </si>
  <si>
    <t xml:space="preserve">Matières gérérales : POLITIQUES PUBLIQUES (collectivités territoriales / économie et gestion : 135h  sur les 3 ans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</si>
</sst>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5" x14ac:knownFonts="1">
    <font>
      <sz val="11"/>
      <color theme="1"/>
      <name val="Calibri"/>
      <family val="2"/>
      <scheme val="minor"/>
    </font>
    <font>
      <b/>
      <sz val="11"/>
      <color theme="1"/>
      <name val="Calibri"/>
      <family val="2"/>
      <scheme val="minor"/>
    </font>
    <font>
      <b/>
      <sz val="9"/>
      <color theme="1"/>
      <name val="Calibri"/>
      <family val="2"/>
      <scheme val="minor"/>
    </font>
    <font>
      <b/>
      <sz val="9"/>
      <color rgb="FF0070C0"/>
      <name val="Calibri"/>
      <family val="2"/>
      <scheme val="minor"/>
    </font>
    <font>
      <sz val="11"/>
      <color rgb="FF0070C0"/>
      <name val="Calibri"/>
      <family val="2"/>
      <scheme val="minor"/>
    </font>
    <font>
      <sz val="11"/>
      <color rgb="FFFFC000"/>
      <name val="Calibri"/>
      <family val="2"/>
      <scheme val="minor"/>
    </font>
    <font>
      <sz val="11"/>
      <name val="Calibri"/>
      <family val="2"/>
      <scheme val="minor"/>
    </font>
    <font>
      <sz val="11"/>
      <color rgb="FF000000"/>
      <name val="Calibri"/>
      <family val="2"/>
    </font>
    <font>
      <sz val="11"/>
      <color rgb="FF000000"/>
      <name val="Calibri"/>
      <family val="2"/>
      <scheme val="minor"/>
    </font>
    <font>
      <sz val="11"/>
      <color rgb="FFFF0000"/>
      <name val="Calibri"/>
      <family val="2"/>
      <scheme val="minor"/>
    </font>
    <font>
      <b/>
      <sz val="11"/>
      <color rgb="FF000000"/>
      <name val="Calibri"/>
      <family val="2"/>
      <scheme val="minor"/>
    </font>
    <font>
      <sz val="11"/>
      <color rgb="FF000000"/>
      <name val="Calibri"/>
      <family val="2"/>
      <charset val="1"/>
    </font>
    <font>
      <b/>
      <sz val="9"/>
      <color rgb="FF000000"/>
      <name val="Calibri"/>
      <family val="2"/>
      <scheme val="minor"/>
    </font>
    <font>
      <b/>
      <sz val="11"/>
      <color rgb="FF00B050"/>
      <name val="Calibri"/>
      <family val="2"/>
      <scheme val="minor"/>
    </font>
    <font>
      <sz val="11"/>
      <name val="Calibri"/>
      <family val="2"/>
    </font>
    <font>
      <sz val="11"/>
      <color rgb="FF00B0F0"/>
      <name val="Calibri"/>
      <family val="2"/>
      <scheme val="minor"/>
    </font>
    <font>
      <sz val="11"/>
      <color rgb="FFFF0000"/>
      <name val="Calibri"/>
      <family val="2"/>
    </font>
    <font>
      <b/>
      <sz val="11"/>
      <color rgb="FFC00000"/>
      <name val="Calibri"/>
      <family val="2"/>
      <scheme val="minor"/>
    </font>
    <font>
      <strike/>
      <sz val="11"/>
      <color rgb="FF000000"/>
      <name val="Calibri"/>
      <family val="2"/>
      <scheme val="minor"/>
    </font>
    <font>
      <strike/>
      <sz val="11"/>
      <color theme="1"/>
      <name val="Calibri"/>
      <family val="2"/>
      <scheme val="minor"/>
    </font>
    <font>
      <b/>
      <sz val="11"/>
      <color rgb="FF4472C4"/>
      <name val="Calibri"/>
      <family val="2"/>
      <scheme val="minor"/>
    </font>
    <font>
      <b/>
      <sz val="11"/>
      <color rgb="FF4472C4"/>
      <name val="Calibri"/>
      <family val="2"/>
    </font>
    <font>
      <b/>
      <sz val="11"/>
      <color rgb="FF00B050"/>
      <name val="Calibri"/>
      <family val="2"/>
    </font>
    <font>
      <b/>
      <sz val="11"/>
      <color rgb="FFFF0000"/>
      <name val="Calibri"/>
      <family val="2"/>
      <scheme val="minor"/>
    </font>
    <font>
      <b/>
      <i/>
      <sz val="11"/>
      <color rgb="FF00B0F0"/>
      <name val="Calibri"/>
      <family val="2"/>
      <scheme val="minor"/>
    </font>
    <font>
      <b/>
      <sz val="11"/>
      <color rgb="FF0070C0"/>
      <name val="Calibri"/>
      <family val="2"/>
      <scheme val="minor"/>
    </font>
    <font>
      <b/>
      <sz val="11"/>
      <name val="Calibri"/>
      <family val="2"/>
      <scheme val="minor"/>
    </font>
    <font>
      <sz val="10"/>
      <color theme="1"/>
      <name val="Segoe UI"/>
      <family val="2"/>
    </font>
    <font>
      <sz val="10"/>
      <name val="Segoe UI"/>
      <family val="2"/>
    </font>
    <font>
      <b/>
      <i/>
      <sz val="11"/>
      <color rgb="FF00B0F0"/>
      <name val="Calibri"/>
      <family val="2"/>
    </font>
    <font>
      <b/>
      <sz val="11"/>
      <color rgb="FFFF0000"/>
      <name val="Calibri"/>
      <family val="2"/>
    </font>
    <font>
      <b/>
      <sz val="10"/>
      <color rgb="FF0070C0"/>
      <name val="Calibri"/>
      <family val="2"/>
    </font>
    <font>
      <sz val="11"/>
      <name val="Calibri"/>
      <family val="2"/>
      <charset val="1"/>
    </font>
    <font>
      <i/>
      <sz val="11"/>
      <color rgb="FF0070C0"/>
      <name val="Calibri"/>
      <family val="2"/>
      <scheme val="minor"/>
    </font>
    <font>
      <b/>
      <sz val="10"/>
      <color rgb="FF0070C0"/>
      <name val="Arial"/>
      <family val="2"/>
      <charset val="1"/>
    </font>
    <font>
      <b/>
      <sz val="11"/>
      <color rgb="FF0070C0"/>
      <name val="Calibri"/>
      <family val="2"/>
    </font>
    <font>
      <b/>
      <sz val="10"/>
      <color rgb="FF0070C0"/>
      <name val="Arial"/>
      <family val="2"/>
    </font>
    <font>
      <b/>
      <sz val="11"/>
      <color rgb="FF0070C0"/>
      <name val="Calibri"/>
      <family val="2"/>
      <charset val="1"/>
    </font>
    <font>
      <i/>
      <sz val="12"/>
      <color rgb="FF00B0F0"/>
      <name val="Calibri"/>
      <family val="2"/>
      <scheme val="minor"/>
    </font>
    <font>
      <sz val="11"/>
      <color theme="9" tint="-0.499984740745262"/>
      <name val="Calibri"/>
      <family val="2"/>
      <scheme val="minor"/>
    </font>
    <font>
      <sz val="11"/>
      <color rgb="FF00B050"/>
      <name val="Calibri"/>
      <family val="2"/>
      <scheme val="minor"/>
    </font>
    <font>
      <sz val="10.5"/>
      <name val="Segoe UI"/>
      <family val="2"/>
    </font>
    <font>
      <b/>
      <sz val="10"/>
      <color rgb="FF0070C0"/>
      <name val="Segoe UI"/>
      <family val="2"/>
    </font>
    <font>
      <i/>
      <sz val="11"/>
      <color theme="9"/>
      <name val="Calibri"/>
      <family val="2"/>
      <scheme val="minor"/>
    </font>
    <font>
      <sz val="10"/>
      <color theme="1"/>
      <name val="Calibri"/>
      <family val="2"/>
      <scheme val="minor"/>
    </font>
    <font>
      <b/>
      <sz val="10"/>
      <color rgb="FF0070C0"/>
      <name val="Calibri"/>
      <family val="2"/>
      <scheme val="minor"/>
    </font>
    <font>
      <b/>
      <sz val="11"/>
      <color theme="8"/>
      <name val="Calibri"/>
      <family val="2"/>
      <scheme val="minor"/>
    </font>
    <font>
      <b/>
      <sz val="11"/>
      <color theme="8"/>
      <name val="Calibri"/>
      <family val="2"/>
    </font>
    <font>
      <b/>
      <sz val="10"/>
      <color theme="8"/>
      <name val="Arial"/>
      <family val="2"/>
    </font>
    <font>
      <b/>
      <sz val="11"/>
      <color theme="8"/>
      <name val="Calibri"/>
      <family val="2"/>
      <charset val="1"/>
    </font>
    <font>
      <b/>
      <sz val="10"/>
      <color theme="8"/>
      <name val="Arial"/>
      <family val="2"/>
      <charset val="1"/>
    </font>
    <font>
      <sz val="11"/>
      <color theme="8"/>
      <name val="Calibri"/>
      <family val="2"/>
    </font>
    <font>
      <sz val="11"/>
      <color theme="8"/>
      <name val="Calibri"/>
      <family val="2"/>
      <scheme val="minor"/>
    </font>
    <font>
      <sz val="11"/>
      <color rgb="FF0070C0"/>
      <name val="Calibri"/>
      <family val="2"/>
    </font>
    <font>
      <b/>
      <sz val="11"/>
      <color rgb="FF7030A0"/>
      <name val="Calibri"/>
      <family val="2"/>
      <scheme val="minor"/>
    </font>
    <font>
      <b/>
      <sz val="10"/>
      <color rgb="FF7030A0"/>
      <name val="Calibri"/>
      <family val="2"/>
      <scheme val="minor"/>
    </font>
    <font>
      <i/>
      <sz val="11"/>
      <color rgb="FF00B0F0"/>
      <name val="Calibri"/>
      <family val="2"/>
      <scheme val="minor"/>
    </font>
    <font>
      <i/>
      <sz val="11"/>
      <color rgb="FF00B0F0"/>
      <name val="Calibri"/>
      <family val="2"/>
    </font>
    <font>
      <sz val="11"/>
      <color rgb="FFCC0099"/>
      <name val="Calibri"/>
      <family val="2"/>
      <scheme val="minor"/>
    </font>
    <font>
      <i/>
      <sz val="11"/>
      <name val="Calibri"/>
      <family val="2"/>
      <scheme val="minor"/>
    </font>
    <font>
      <b/>
      <sz val="11"/>
      <color theme="9" tint="-0.499984740745262"/>
      <name val="Calibri"/>
      <family val="2"/>
      <scheme val="minor"/>
    </font>
    <font>
      <b/>
      <strike/>
      <sz val="11"/>
      <color rgb="FF000000"/>
      <name val="Calibri"/>
      <family val="2"/>
      <scheme val="minor"/>
    </font>
    <font>
      <b/>
      <sz val="10"/>
      <color rgb="FF000000"/>
      <name val="Arial"/>
      <family val="2"/>
    </font>
    <font>
      <b/>
      <sz val="10"/>
      <color rgb="FF000000"/>
      <name val="Arial"/>
      <family val="2"/>
      <charset val="1"/>
    </font>
    <font>
      <b/>
      <sz val="11"/>
      <name val="Calibri"/>
      <family val="2"/>
    </font>
    <font>
      <b/>
      <sz val="10"/>
      <name val="Arial"/>
      <family val="2"/>
      <charset val="1"/>
    </font>
    <font>
      <sz val="11"/>
      <name val="Aptos Narrow"/>
      <family val="2"/>
    </font>
    <font>
      <b/>
      <sz val="11"/>
      <name val="Aptos Narrow"/>
      <family val="2"/>
    </font>
    <font>
      <u/>
      <sz val="11"/>
      <color theme="10"/>
      <name val="Calibri"/>
      <family val="2"/>
      <scheme val="minor"/>
    </font>
    <font>
      <sz val="11"/>
      <color rgb="FF000000"/>
      <name val="Calibri"/>
      <family val="2"/>
    </font>
    <font>
      <b/>
      <sz val="11"/>
      <color rgb="FF000000"/>
      <name val="Calibri"/>
      <family val="2"/>
    </font>
    <font>
      <sz val="10"/>
      <color rgb="FF000000"/>
      <name val="Segoe UI"/>
      <family val="2"/>
      <charset val="1"/>
    </font>
    <font>
      <b/>
      <i/>
      <sz val="11"/>
      <color theme="1"/>
      <name val="Calibri"/>
      <family val="2"/>
      <scheme val="minor"/>
    </font>
    <font>
      <i/>
      <sz val="11"/>
      <color theme="1"/>
      <name val="Calibri"/>
      <family val="2"/>
      <scheme val="minor"/>
    </font>
    <font>
      <b/>
      <strike/>
      <sz val="11"/>
      <color theme="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D966"/>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rgb="FFFFE1E1"/>
        <bgColor indexed="64"/>
      </patternFill>
    </fill>
  </fills>
  <borders count="50">
    <border>
      <left/>
      <right/>
      <top/>
      <bottom/>
      <diagonal/>
    </border>
    <border>
      <left/>
      <right/>
      <top/>
      <bottom style="thin">
        <color indexed="64"/>
      </bottom>
      <diagonal/>
    </border>
    <border>
      <left/>
      <right/>
      <top/>
      <bottom style="thin">
        <color theme="2" tint="-9.9978637043366805E-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top style="thin">
        <color theme="2" tint="-9.9978637043366805E-2"/>
      </top>
      <bottom style="thin">
        <color theme="2" tint="-9.9978637043366805E-2"/>
      </bottom>
      <diagonal/>
    </border>
    <border>
      <left/>
      <right style="thin">
        <color theme="2" tint="-9.9978637043366805E-2"/>
      </right>
      <top style="thin">
        <color theme="2" tint="-9.9978637043366805E-2"/>
      </top>
      <bottom style="thin">
        <color theme="2" tint="-9.9978637043366805E-2"/>
      </bottom>
      <diagonal/>
    </border>
    <border>
      <left/>
      <right style="thin">
        <color theme="2" tint="-9.9978637043366805E-2"/>
      </right>
      <top/>
      <bottom style="thin">
        <color theme="2" tint="-9.9978637043366805E-2"/>
      </bottom>
      <diagonal/>
    </border>
    <border>
      <left/>
      <right/>
      <top style="thin">
        <color theme="2" tint="-9.9978637043366805E-2"/>
      </top>
      <bottom/>
      <diagonal/>
    </border>
    <border>
      <left style="thin">
        <color theme="2" tint="-9.9978637043366805E-2"/>
      </left>
      <right style="thin">
        <color theme="2" tint="-9.9978637043366805E-2"/>
      </right>
      <top style="thin">
        <color theme="2" tint="-9.9978637043366805E-2"/>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2" tint="-9.9978637043366805E-2"/>
      </right>
      <top style="thin">
        <color theme="2" tint="-9.9978637043366805E-2"/>
      </top>
      <bottom/>
      <diagonal/>
    </border>
    <border>
      <left style="thin">
        <color theme="2" tint="-9.9978637043366805E-2"/>
      </left>
      <right/>
      <top style="thin">
        <color theme="2" tint="-9.9978637043366805E-2"/>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2" tint="-9.9978637043366805E-2"/>
      </left>
      <right style="thin">
        <color theme="2" tint="-9.9978637043366805E-2"/>
      </right>
      <top/>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style="thin">
        <color theme="0" tint="-0.249977111117893"/>
      </top>
      <bottom style="thin">
        <color theme="2" tint="-0.249977111117893"/>
      </bottom>
      <diagonal/>
    </border>
    <border>
      <left/>
      <right style="thin">
        <color theme="2" tint="-0.249977111117893"/>
      </right>
      <top/>
      <bottom/>
      <diagonal/>
    </border>
    <border>
      <left/>
      <right style="thin">
        <color theme="2" tint="-0.249977111117893"/>
      </right>
      <top style="thin">
        <color theme="2" tint="-0.249977111117893"/>
      </top>
      <bottom style="thin">
        <color theme="2" tint="-0.249977111117893"/>
      </bottom>
      <diagonal/>
    </border>
    <border>
      <left style="thin">
        <color theme="2" tint="-0.249977111117893"/>
      </left>
      <right/>
      <top style="thin">
        <color theme="0" tint="-0.249977111117893"/>
      </top>
      <bottom style="thin">
        <color theme="2" tint="-0.249977111117893"/>
      </bottom>
      <diagonal/>
    </border>
    <border>
      <left style="thin">
        <color theme="0" tint="-0.249977111117893"/>
      </left>
      <right style="thin">
        <color theme="2" tint="-0.249977111117893"/>
      </right>
      <top style="thin">
        <color theme="0" tint="-0.249977111117893"/>
      </top>
      <bottom style="thin">
        <color theme="2" tint="-0.249977111117893"/>
      </bottom>
      <diagonal/>
    </border>
    <border>
      <left/>
      <right style="thin">
        <color theme="2" tint="-0.249977111117893"/>
      </right>
      <top style="thin">
        <color theme="0" tint="-0.249977111117893"/>
      </top>
      <bottom style="thin">
        <color theme="2" tint="-0.249977111117893"/>
      </bottom>
      <diagonal/>
    </border>
    <border>
      <left/>
      <right style="thin">
        <color theme="2" tint="-0.249977111117893"/>
      </right>
      <top style="thin">
        <color theme="2" tint="-0.249977111117893"/>
      </top>
      <bottom style="thin">
        <color theme="2" tint="-9.9978637043366805E-2"/>
      </bottom>
      <diagonal/>
    </border>
    <border>
      <left style="thin">
        <color theme="2" tint="-0.249977111117893"/>
      </left>
      <right style="thin">
        <color theme="2" tint="-0.249977111117893"/>
      </right>
      <top style="thin">
        <color theme="0" tint="-0.249977111117893"/>
      </top>
      <bottom style="thin">
        <color theme="2" tint="-0.249977111117893"/>
      </bottom>
      <diagonal/>
    </border>
    <border>
      <left style="thin">
        <color theme="2" tint="-0.249977111117893"/>
      </left>
      <right style="thin">
        <color theme="2" tint="-0.249977111117893"/>
      </right>
      <top style="thin">
        <color theme="2" tint="-0.249977111117893"/>
      </top>
      <bottom style="thin">
        <color theme="2" tint="-9.9978637043366805E-2"/>
      </bottom>
      <diagonal/>
    </border>
    <border>
      <left style="thin">
        <color theme="2" tint="-0.249977111117893"/>
      </left>
      <right/>
      <top/>
      <bottom style="thin">
        <color theme="2" tint="-0.249977111117893"/>
      </bottom>
      <diagonal/>
    </border>
    <border>
      <left/>
      <right style="thin">
        <color theme="0" tint="-0.249977111117893"/>
      </right>
      <top style="thin">
        <color theme="0" tint="-0.249977111117893"/>
      </top>
      <bottom style="thin">
        <color theme="2" tint="-0.249977111117893"/>
      </bottom>
      <diagonal/>
    </border>
    <border>
      <left style="thin">
        <color theme="2" tint="-0.249977111117893"/>
      </left>
      <right/>
      <top style="thin">
        <color theme="2" tint="-0.249977111117893"/>
      </top>
      <bottom style="thin">
        <color theme="2" tint="-0.249977111117893"/>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0" tint="-0.249977111117893"/>
      </left>
      <right/>
      <top style="thin">
        <color theme="0" tint="-0.249977111117893"/>
      </top>
      <bottom style="thin">
        <color theme="2" tint="-0.249977111117893"/>
      </bottom>
      <diagonal/>
    </border>
    <border>
      <left/>
      <right style="thin">
        <color theme="0" tint="-0.34998626667073579"/>
      </right>
      <top style="thin">
        <color theme="0" tint="-0.34998626667073579"/>
      </top>
      <bottom style="thin">
        <color theme="0" tint="-0.34998626667073579"/>
      </bottom>
      <diagonal/>
    </border>
    <border>
      <left/>
      <right style="thin">
        <color theme="0" tint="-0.249977111117893"/>
      </right>
      <top style="thin">
        <color theme="2" tint="-9.9978637043366805E-2"/>
      </top>
      <bottom/>
      <diagonal/>
    </border>
    <border>
      <left/>
      <right/>
      <top/>
      <bottom style="thin">
        <color theme="2" tint="-0.249977111117893"/>
      </bottom>
      <diagonal/>
    </border>
    <border>
      <left/>
      <right style="thin">
        <color theme="2" tint="-0.249977111117893"/>
      </right>
      <top/>
      <bottom style="thin">
        <color theme="2" tint="-0.249977111117893"/>
      </bottom>
      <diagonal/>
    </border>
    <border>
      <left/>
      <right style="thin">
        <color theme="2" tint="-0.249977111117893"/>
      </right>
      <top style="thin">
        <color theme="0" tint="-0.34998626667073579"/>
      </top>
      <bottom style="thin">
        <color theme="2" tint="-0.249977111117893"/>
      </bottom>
      <diagonal/>
    </border>
    <border>
      <left style="thin">
        <color theme="2" tint="-0.249977111117893"/>
      </left>
      <right style="thin">
        <color theme="2" tint="-0.249977111117893"/>
      </right>
      <top style="thin">
        <color theme="0" tint="-0.34998626667073579"/>
      </top>
      <bottom style="thin">
        <color theme="2" tint="-0.249977111117893"/>
      </bottom>
      <diagonal/>
    </border>
    <border>
      <left style="thin">
        <color theme="0" tint="-0.34998626667073579"/>
      </left>
      <right style="thin">
        <color theme="0" tint="-0.34998626667073579"/>
      </right>
      <top style="thin">
        <color theme="0" tint="-0.34998626667073579"/>
      </top>
      <bottom/>
      <diagonal/>
    </border>
    <border>
      <left style="thin">
        <color theme="2" tint="-0.249977111117893"/>
      </left>
      <right style="thin">
        <color theme="2" tint="-0.249977111117893"/>
      </right>
      <top style="thin">
        <color theme="0" tint="-0.34998626667073579"/>
      </top>
      <bottom/>
      <diagonal/>
    </border>
    <border>
      <left style="thin">
        <color theme="0" tint="-0.34998626667073579"/>
      </left>
      <right style="thin">
        <color theme="2" tint="-0.249977111117893"/>
      </right>
      <top/>
      <bottom/>
      <diagonal/>
    </border>
    <border>
      <left style="thin">
        <color theme="2" tint="-0.24994659260841701"/>
      </left>
      <right style="thin">
        <color theme="2" tint="-0.24994659260841701"/>
      </right>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right/>
      <top style="thin">
        <color theme="2" tint="-0.249977111117893"/>
      </top>
      <bottom style="thin">
        <color theme="2" tint="-0.249977111117893"/>
      </bottom>
      <diagonal/>
    </border>
    <border>
      <left style="thin">
        <color theme="2" tint="-0.24994659260841701"/>
      </left>
      <right style="thin">
        <color theme="2" tint="-0.249977111117893"/>
      </right>
      <top style="thin">
        <color theme="2" tint="-0.249977111117893"/>
      </top>
      <bottom style="thin">
        <color theme="2" tint="-0.24994659260841701"/>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0.24994659260841701"/>
      </left>
      <right style="thin">
        <color theme="2" tint="-0.24994659260841701"/>
      </right>
      <top/>
      <bottom/>
      <diagonal/>
    </border>
    <border>
      <left/>
      <right/>
      <top style="thin">
        <color theme="0" tint="-0.34998626667073579"/>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8" fillId="0" borderId="0" applyNumberFormat="0" applyFill="0" applyBorder="0" applyAlignment="0" applyProtection="0"/>
  </cellStyleXfs>
  <cellXfs count="388">
    <xf numFmtId="0" fontId="0" fillId="0" borderId="0" xfId="0"/>
    <xf numFmtId="0" fontId="1" fillId="0" borderId="0" xfId="0" applyFont="1" applyAlignment="1">
      <alignment horizontal="center"/>
    </xf>
    <xf numFmtId="0" fontId="1" fillId="0" borderId="0" xfId="0" applyFont="1" applyAlignment="1">
      <alignment horizontal="center" wrapText="1"/>
    </xf>
    <xf numFmtId="0" fontId="4" fillId="0" borderId="0" xfId="0" applyFont="1"/>
    <xf numFmtId="0" fontId="0" fillId="2" borderId="0" xfId="0" applyFill="1"/>
    <xf numFmtId="1" fontId="0" fillId="0" borderId="0" xfId="0" applyNumberFormat="1"/>
    <xf numFmtId="0" fontId="0" fillId="0" borderId="0" xfId="0" applyAlignment="1">
      <alignment wrapText="1"/>
    </xf>
    <xf numFmtId="0" fontId="7" fillId="0" borderId="0" xfId="0" applyFont="1" applyAlignment="1">
      <alignment vertical="top" wrapText="1"/>
    </xf>
    <xf numFmtId="0" fontId="0" fillId="0" borderId="0" xfId="0" applyAlignment="1">
      <alignment vertical="top" wrapText="1"/>
    </xf>
    <xf numFmtId="0" fontId="8" fillId="0" borderId="0" xfId="0" applyFont="1"/>
    <xf numFmtId="0" fontId="7" fillId="0" borderId="0" xfId="0" applyFont="1" applyAlignment="1">
      <alignment wrapText="1"/>
    </xf>
    <xf numFmtId="0" fontId="8" fillId="0" borderId="0" xfId="0" applyFont="1" applyAlignment="1">
      <alignment wrapText="1"/>
    </xf>
    <xf numFmtId="0" fontId="0" fillId="3" borderId="0" xfId="0" applyFill="1"/>
    <xf numFmtId="1" fontId="10" fillId="0" borderId="0" xfId="0" applyNumberFormat="1" applyFont="1" applyAlignment="1">
      <alignment horizontal="center"/>
    </xf>
    <xf numFmtId="0" fontId="10" fillId="0" borderId="0" xfId="0" applyFont="1" applyAlignment="1">
      <alignment horizontal="center"/>
    </xf>
    <xf numFmtId="1" fontId="8" fillId="0" borderId="0" xfId="0" applyNumberFormat="1" applyFont="1"/>
    <xf numFmtId="0" fontId="11" fillId="0" borderId="0" xfId="0" applyFont="1"/>
    <xf numFmtId="0" fontId="8" fillId="0" borderId="0" xfId="0" applyFont="1" applyAlignment="1">
      <alignment vertical="top" wrapText="1"/>
    </xf>
    <xf numFmtId="0" fontId="9" fillId="4" borderId="0" xfId="0" applyFont="1" applyFill="1"/>
    <xf numFmtId="0" fontId="0" fillId="4" borderId="0" xfId="0" applyFill="1"/>
    <xf numFmtId="0" fontId="9" fillId="0" borderId="0" xfId="0" applyFont="1" applyAlignment="1">
      <alignment wrapText="1"/>
    </xf>
    <xf numFmtId="0" fontId="0" fillId="5" borderId="0" xfId="0" applyFill="1"/>
    <xf numFmtId="1" fontId="8" fillId="5" borderId="0" xfId="0" applyNumberFormat="1" applyFont="1" applyFill="1"/>
    <xf numFmtId="0" fontId="0" fillId="5" borderId="0" xfId="0" applyFill="1" applyAlignment="1">
      <alignment vertical="center" wrapText="1"/>
    </xf>
    <xf numFmtId="0" fontId="6" fillId="0" borderId="0" xfId="0" applyFont="1" applyAlignment="1">
      <alignment wrapText="1"/>
    </xf>
    <xf numFmtId="164" fontId="0" fillId="0" borderId="0" xfId="0" applyNumberFormat="1"/>
    <xf numFmtId="0" fontId="15" fillId="0" borderId="0" xfId="0" applyFont="1"/>
    <xf numFmtId="1" fontId="8" fillId="0" borderId="5" xfId="0" applyNumberFormat="1" applyFont="1" applyBorder="1"/>
    <xf numFmtId="0" fontId="8" fillId="0" borderId="7" xfId="0" applyFont="1" applyBorder="1"/>
    <xf numFmtId="0" fontId="0" fillId="0" borderId="9" xfId="0" applyBorder="1"/>
    <xf numFmtId="0" fontId="0" fillId="0" borderId="10" xfId="0" applyBorder="1"/>
    <xf numFmtId="0" fontId="0" fillId="0" borderId="8" xfId="0" applyBorder="1"/>
    <xf numFmtId="0" fontId="0" fillId="0" borderId="9" xfId="0" applyBorder="1" applyAlignment="1">
      <alignment wrapText="1"/>
    </xf>
    <xf numFmtId="0" fontId="0" fillId="0" borderId="12" xfId="0" applyBorder="1" applyAlignment="1">
      <alignment wrapText="1"/>
    </xf>
    <xf numFmtId="0" fontId="16" fillId="4" borderId="0" xfId="0" applyFont="1" applyFill="1" applyAlignment="1">
      <alignment wrapText="1"/>
    </xf>
    <xf numFmtId="1" fontId="18" fillId="0" borderId="0" xfId="0" applyNumberFormat="1" applyFont="1"/>
    <xf numFmtId="0" fontId="19" fillId="0" borderId="0" xfId="0" applyFont="1"/>
    <xf numFmtId="0" fontId="19" fillId="0" borderId="0" xfId="0" applyFont="1" applyAlignment="1">
      <alignment wrapText="1"/>
    </xf>
    <xf numFmtId="0" fontId="3" fillId="0" borderId="0" xfId="0" applyFont="1" applyAlignment="1">
      <alignment horizontal="center" wrapText="1"/>
    </xf>
    <xf numFmtId="0" fontId="2" fillId="0" borderId="0" xfId="0" applyFont="1" applyAlignment="1">
      <alignment horizontal="center" wrapText="1"/>
    </xf>
    <xf numFmtId="0" fontId="12" fillId="0" borderId="0" xfId="0" applyFont="1" applyAlignment="1">
      <alignment horizontal="center" wrapText="1"/>
    </xf>
    <xf numFmtId="0" fontId="5" fillId="0" borderId="0" xfId="0" applyFont="1"/>
    <xf numFmtId="0" fontId="9" fillId="0" borderId="0" xfId="0" applyFont="1"/>
    <xf numFmtId="0" fontId="17" fillId="6" borderId="0" xfId="0" applyFont="1" applyFill="1"/>
    <xf numFmtId="0" fontId="20" fillId="0" borderId="0" xfId="0" applyFont="1"/>
    <xf numFmtId="164" fontId="20" fillId="0" borderId="0" xfId="0" applyNumberFormat="1" applyFont="1"/>
    <xf numFmtId="0" fontId="20" fillId="0" borderId="0" xfId="0" applyFont="1" applyAlignment="1">
      <alignment vertical="center"/>
    </xf>
    <xf numFmtId="164" fontId="20" fillId="0" borderId="0" xfId="0" applyNumberFormat="1" applyFont="1" applyAlignment="1">
      <alignment vertical="center"/>
    </xf>
    <xf numFmtId="0" fontId="20" fillId="0" borderId="0" xfId="0" applyFont="1" applyAlignment="1">
      <alignment vertical="center" wrapText="1"/>
    </xf>
    <xf numFmtId="0" fontId="20" fillId="0" borderId="0" xfId="0" applyFont="1" applyAlignment="1">
      <alignment horizontal="center" vertical="center"/>
    </xf>
    <xf numFmtId="0" fontId="21" fillId="0" borderId="0" xfId="0" applyFont="1" applyAlignment="1">
      <alignment vertical="center" wrapText="1"/>
    </xf>
    <xf numFmtId="0" fontId="17" fillId="0" borderId="0" xfId="0" applyFont="1"/>
    <xf numFmtId="0" fontId="11" fillId="7" borderId="0" xfId="0" applyFont="1" applyFill="1"/>
    <xf numFmtId="0" fontId="0" fillId="7" borderId="0" xfId="0" applyFill="1"/>
    <xf numFmtId="0" fontId="7" fillId="7" borderId="0" xfId="0" applyFont="1" applyFill="1" applyAlignment="1">
      <alignment vertical="top" wrapText="1"/>
    </xf>
    <xf numFmtId="0" fontId="0" fillId="7" borderId="0" xfId="0" applyFill="1" applyAlignment="1">
      <alignment vertical="top" wrapText="1"/>
    </xf>
    <xf numFmtId="0" fontId="2" fillId="0" borderId="16" xfId="0" applyFont="1" applyBorder="1" applyAlignment="1">
      <alignment horizontal="center" wrapText="1"/>
    </xf>
    <xf numFmtId="0" fontId="6" fillId="0" borderId="0" xfId="0" applyFont="1" applyAlignment="1">
      <alignment vertical="center" wrapText="1"/>
    </xf>
    <xf numFmtId="0" fontId="22" fillId="0" borderId="0" xfId="0" applyFont="1" applyAlignment="1">
      <alignment horizontal="center"/>
    </xf>
    <xf numFmtId="0" fontId="22" fillId="0" borderId="0" xfId="0" applyFont="1"/>
    <xf numFmtId="0" fontId="13" fillId="0" borderId="0" xfId="0" applyFont="1" applyAlignment="1">
      <alignment horizontal="center" vertical="center"/>
    </xf>
    <xf numFmtId="0" fontId="0" fillId="0" borderId="0" xfId="0" applyAlignment="1">
      <alignment horizontal="center" vertical="center"/>
    </xf>
    <xf numFmtId="0" fontId="0" fillId="2" borderId="0" xfId="0" applyFill="1" applyAlignment="1">
      <alignment horizontal="center" vertical="center"/>
    </xf>
    <xf numFmtId="0" fontId="24" fillId="0" borderId="0" xfId="0" applyFont="1" applyAlignment="1">
      <alignment horizontal="center" vertical="center" wrapText="1"/>
    </xf>
    <xf numFmtId="1" fontId="25" fillId="0" borderId="0" xfId="0" applyNumberFormat="1" applyFont="1"/>
    <xf numFmtId="0" fontId="25" fillId="0" borderId="0" xfId="0" applyFont="1"/>
    <xf numFmtId="164" fontId="25" fillId="0" borderId="0" xfId="0" applyNumberFormat="1" applyFont="1"/>
    <xf numFmtId="0" fontId="25" fillId="0" borderId="0" xfId="0" applyFont="1" applyAlignment="1">
      <alignment wrapText="1"/>
    </xf>
    <xf numFmtId="0" fontId="4" fillId="0" borderId="0" xfId="0" applyFont="1" applyAlignment="1">
      <alignment vertical="top" wrapText="1"/>
    </xf>
    <xf numFmtId="0" fontId="0" fillId="0" borderId="0" xfId="0" applyAlignment="1">
      <alignment vertical="center" wrapText="1"/>
    </xf>
    <xf numFmtId="1" fontId="13" fillId="0" borderId="0" xfId="0" applyNumberFormat="1" applyFont="1"/>
    <xf numFmtId="0" fontId="13" fillId="0" borderId="0" xfId="0" applyFont="1"/>
    <xf numFmtId="0" fontId="13" fillId="5" borderId="0" xfId="0" applyFont="1" applyFill="1"/>
    <xf numFmtId="0" fontId="13" fillId="0" borderId="1" xfId="0" applyFont="1" applyBorder="1"/>
    <xf numFmtId="0" fontId="13" fillId="0" borderId="0" xfId="0" applyFont="1" applyAlignment="1">
      <alignment horizontal="center"/>
    </xf>
    <xf numFmtId="0" fontId="20" fillId="0" borderId="17" xfId="0" applyFont="1" applyBorder="1"/>
    <xf numFmtId="0" fontId="26" fillId="0" borderId="0" xfId="0" applyFont="1"/>
    <xf numFmtId="0" fontId="20" fillId="0" borderId="14" xfId="0" applyFont="1" applyBorder="1"/>
    <xf numFmtId="0" fontId="20" fillId="0" borderId="29" xfId="0" applyFont="1" applyBorder="1"/>
    <xf numFmtId="0" fontId="20" fillId="0" borderId="12" xfId="0" applyFont="1" applyBorder="1"/>
    <xf numFmtId="0" fontId="20" fillId="0" borderId="33" xfId="0" applyFont="1" applyBorder="1"/>
    <xf numFmtId="0" fontId="20" fillId="0" borderId="34" xfId="0" applyFont="1" applyBorder="1"/>
    <xf numFmtId="0" fontId="20" fillId="0" borderId="31" xfId="0" applyFont="1" applyBorder="1"/>
    <xf numFmtId="1" fontId="6" fillId="0" borderId="0" xfId="0" applyNumberFormat="1" applyFont="1"/>
    <xf numFmtId="0" fontId="25" fillId="0" borderId="3" xfId="0" applyFont="1" applyBorder="1"/>
    <xf numFmtId="0" fontId="14" fillId="0" borderId="0" xfId="0" applyFont="1" applyAlignment="1">
      <alignment wrapText="1"/>
    </xf>
    <xf numFmtId="0" fontId="27" fillId="0" borderId="0" xfId="0" applyFont="1"/>
    <xf numFmtId="0" fontId="28" fillId="0" borderId="0" xfId="0" applyFont="1"/>
    <xf numFmtId="0" fontId="6" fillId="0" borderId="0" xfId="0" applyFont="1"/>
    <xf numFmtId="164" fontId="26" fillId="0" borderId="0" xfId="0" applyNumberFormat="1" applyFont="1"/>
    <xf numFmtId="0" fontId="6" fillId="0" borderId="0" xfId="0" applyFont="1" applyAlignment="1">
      <alignment vertical="top" wrapText="1"/>
    </xf>
    <xf numFmtId="0" fontId="9" fillId="0" borderId="0" xfId="0" applyFont="1" applyAlignment="1">
      <alignment vertical="center" wrapText="1"/>
    </xf>
    <xf numFmtId="0" fontId="4" fillId="0" borderId="0" xfId="0" applyFont="1" applyAlignment="1">
      <alignment horizontal="center" vertical="center" wrapText="1"/>
    </xf>
    <xf numFmtId="0" fontId="29" fillId="0" borderId="0" xfId="0" applyFont="1" applyAlignment="1">
      <alignment wrapText="1"/>
    </xf>
    <xf numFmtId="0" fontId="23" fillId="0" borderId="0" xfId="0" applyFont="1" applyAlignment="1">
      <alignment horizontal="center" vertical="center" wrapText="1"/>
    </xf>
    <xf numFmtId="0" fontId="14" fillId="0" borderId="0" xfId="0" applyFont="1" applyAlignment="1">
      <alignment vertical="top" wrapText="1"/>
    </xf>
    <xf numFmtId="0" fontId="32" fillId="0" borderId="0" xfId="0" applyFont="1"/>
    <xf numFmtId="0" fontId="31" fillId="0" borderId="0" xfId="0" applyFont="1"/>
    <xf numFmtId="0" fontId="33" fillId="0" borderId="0" xfId="0" applyFont="1" applyAlignment="1">
      <alignment wrapText="1"/>
    </xf>
    <xf numFmtId="0" fontId="34" fillId="0" borderId="0" xfId="0" applyFont="1"/>
    <xf numFmtId="0" fontId="6" fillId="0" borderId="0" xfId="0" applyFont="1" applyAlignment="1">
      <alignment horizontal="right"/>
    </xf>
    <xf numFmtId="0" fontId="25" fillId="0" borderId="0" xfId="0" applyFont="1" applyAlignment="1">
      <alignment horizontal="right"/>
    </xf>
    <xf numFmtId="0" fontId="6" fillId="0" borderId="0" xfId="0" applyFont="1" applyAlignment="1">
      <alignment horizontal="center" vertical="center" wrapText="1"/>
    </xf>
    <xf numFmtId="0" fontId="36" fillId="0" borderId="0" xfId="0" applyFont="1" applyAlignment="1">
      <alignment wrapText="1"/>
    </xf>
    <xf numFmtId="0" fontId="6" fillId="0" borderId="0" xfId="0" applyFont="1" applyAlignment="1">
      <alignment vertical="center"/>
    </xf>
    <xf numFmtId="0" fontId="0" fillId="0" borderId="0" xfId="0" applyAlignment="1">
      <alignment horizontal="right"/>
    </xf>
    <xf numFmtId="164" fontId="25" fillId="0" borderId="0" xfId="0" applyNumberFormat="1" applyFont="1" applyAlignment="1">
      <alignment horizontal="right"/>
    </xf>
    <xf numFmtId="0" fontId="14" fillId="0" borderId="0" xfId="0" applyFont="1" applyAlignment="1">
      <alignment horizontal="center" vertical="center" wrapText="1"/>
    </xf>
    <xf numFmtId="0" fontId="14" fillId="0" borderId="0" xfId="0" applyFont="1" applyAlignment="1">
      <alignment horizontal="left" vertical="center" wrapText="1"/>
    </xf>
    <xf numFmtId="0" fontId="6" fillId="0" borderId="0" xfId="0" applyFont="1" applyAlignment="1">
      <alignment horizontal="left" vertical="center" wrapText="1"/>
    </xf>
    <xf numFmtId="0" fontId="6" fillId="0" borderId="0" xfId="0" applyFont="1" applyAlignment="1">
      <alignment horizontal="center" vertical="center"/>
    </xf>
    <xf numFmtId="0" fontId="25" fillId="0" borderId="0" xfId="0" applyFont="1" applyAlignment="1">
      <alignment horizontal="center" vertical="center"/>
    </xf>
    <xf numFmtId="0" fontId="14" fillId="0" borderId="0" xfId="0" applyFont="1" applyAlignment="1">
      <alignment vertical="center" wrapText="1"/>
    </xf>
    <xf numFmtId="0" fontId="35" fillId="0" borderId="0" xfId="0" applyFont="1"/>
    <xf numFmtId="164" fontId="35" fillId="0" borderId="0" xfId="0" applyNumberFormat="1" applyFont="1"/>
    <xf numFmtId="0" fontId="35" fillId="0" borderId="0" xfId="0" applyFont="1" applyAlignment="1">
      <alignment wrapText="1"/>
    </xf>
    <xf numFmtId="0" fontId="25" fillId="0" borderId="0" xfId="0" applyFont="1" applyAlignment="1">
      <alignment vertical="top" wrapText="1"/>
    </xf>
    <xf numFmtId="0" fontId="35" fillId="0" borderId="0" xfId="0" applyFont="1" applyAlignment="1">
      <alignment vertical="top" wrapText="1"/>
    </xf>
    <xf numFmtId="0" fontId="37" fillId="0" borderId="0" xfId="0" applyFont="1"/>
    <xf numFmtId="0" fontId="25" fillId="4" borderId="0" xfId="0" applyFont="1" applyFill="1"/>
    <xf numFmtId="0" fontId="25" fillId="2" borderId="0" xfId="0" applyFont="1" applyFill="1"/>
    <xf numFmtId="0" fontId="25" fillId="0" borderId="0" xfId="0" applyFont="1" applyAlignment="1">
      <alignment vertical="center" wrapText="1"/>
    </xf>
    <xf numFmtId="0" fontId="35" fillId="0" borderId="0" xfId="0" applyFont="1" applyAlignment="1">
      <alignment vertical="center"/>
    </xf>
    <xf numFmtId="0" fontId="35" fillId="0" borderId="0" xfId="0" applyFont="1" applyAlignment="1">
      <alignment vertical="center" wrapText="1"/>
    </xf>
    <xf numFmtId="0" fontId="25" fillId="0" borderId="0" xfId="0" applyFont="1" applyAlignment="1">
      <alignment horizontal="center"/>
    </xf>
    <xf numFmtId="0" fontId="25" fillId="0" borderId="0" xfId="0" applyFont="1" applyAlignment="1">
      <alignment vertical="center"/>
    </xf>
    <xf numFmtId="1" fontId="25" fillId="0" borderId="0" xfId="0" applyNumberFormat="1" applyFont="1" applyAlignment="1">
      <alignment vertical="center"/>
    </xf>
    <xf numFmtId="164" fontId="25" fillId="0" borderId="0" xfId="0" applyNumberFormat="1" applyFont="1" applyAlignment="1">
      <alignment vertical="center"/>
    </xf>
    <xf numFmtId="0" fontId="25" fillId="6" borderId="0" xfId="0" applyFont="1" applyFill="1"/>
    <xf numFmtId="0" fontId="25" fillId="3" borderId="0" xfId="0" applyFont="1" applyFill="1"/>
    <xf numFmtId="0" fontId="26" fillId="0" borderId="0" xfId="0" applyFont="1" applyAlignment="1">
      <alignment horizontal="right"/>
    </xf>
    <xf numFmtId="0" fontId="38" fillId="0" borderId="0" xfId="0" applyFont="1" applyAlignment="1">
      <alignment wrapText="1"/>
    </xf>
    <xf numFmtId="0" fontId="39" fillId="0" borderId="0" xfId="0" applyFont="1" applyAlignment="1">
      <alignment wrapText="1"/>
    </xf>
    <xf numFmtId="164" fontId="39" fillId="0" borderId="0" xfId="0" applyNumberFormat="1" applyFont="1" applyAlignment="1">
      <alignment wrapText="1"/>
    </xf>
    <xf numFmtId="0" fontId="39" fillId="0" borderId="9" xfId="0" applyFont="1" applyBorder="1" applyAlignment="1">
      <alignment wrapText="1"/>
    </xf>
    <xf numFmtId="1" fontId="8" fillId="0" borderId="41" xfId="0" applyNumberFormat="1" applyFont="1" applyBorder="1"/>
    <xf numFmtId="1" fontId="6" fillId="0" borderId="3" xfId="0" applyNumberFormat="1" applyFont="1" applyBorder="1"/>
    <xf numFmtId="0" fontId="14" fillId="0" borderId="0" xfId="0" applyFont="1" applyAlignment="1">
      <alignment horizontal="right"/>
    </xf>
    <xf numFmtId="0" fontId="6" fillId="0" borderId="45" xfId="0" applyFont="1" applyBorder="1" applyAlignment="1">
      <alignment horizontal="right"/>
    </xf>
    <xf numFmtId="1" fontId="25" fillId="0" borderId="26" xfId="0" applyNumberFormat="1" applyFont="1" applyBorder="1"/>
    <xf numFmtId="1" fontId="8" fillId="3" borderId="0" xfId="0" applyNumberFormat="1" applyFont="1" applyFill="1"/>
    <xf numFmtId="0" fontId="27" fillId="0" borderId="2" xfId="0" applyFont="1" applyBorder="1"/>
    <xf numFmtId="1" fontId="9" fillId="4" borderId="39" xfId="0" applyNumberFormat="1" applyFont="1" applyFill="1" applyBorder="1"/>
    <xf numFmtId="1" fontId="20" fillId="0" borderId="26" xfId="0" applyNumberFormat="1" applyFont="1" applyBorder="1" applyAlignment="1">
      <alignment vertical="center"/>
    </xf>
    <xf numFmtId="0" fontId="6" fillId="0" borderId="30" xfId="0" applyFont="1" applyBorder="1"/>
    <xf numFmtId="0" fontId="39" fillId="0" borderId="20" xfId="0" applyFont="1" applyBorder="1" applyAlignment="1">
      <alignment wrapText="1"/>
    </xf>
    <xf numFmtId="1" fontId="8" fillId="0" borderId="45" xfId="0" applyNumberFormat="1" applyFont="1" applyBorder="1"/>
    <xf numFmtId="0" fontId="39" fillId="0" borderId="2" xfId="0" applyFont="1" applyBorder="1" applyAlignment="1">
      <alignment wrapText="1"/>
    </xf>
    <xf numFmtId="0" fontId="8" fillId="0" borderId="26" xfId="0" applyFont="1" applyBorder="1"/>
    <xf numFmtId="0" fontId="8" fillId="0" borderId="6" xfId="0" applyFont="1" applyBorder="1"/>
    <xf numFmtId="1" fontId="8" fillId="0" borderId="4" xfId="0" applyNumberFormat="1" applyFont="1" applyBorder="1"/>
    <xf numFmtId="0" fontId="16" fillId="0" borderId="0" xfId="0" applyFont="1" applyAlignment="1">
      <alignment horizontal="right"/>
    </xf>
    <xf numFmtId="0" fontId="25" fillId="0" borderId="26" xfId="0" applyFont="1" applyBorder="1"/>
    <xf numFmtId="0" fontId="6" fillId="0" borderId="32" xfId="0" applyFont="1" applyBorder="1"/>
    <xf numFmtId="0" fontId="39" fillId="0" borderId="17" xfId="0" applyFont="1" applyBorder="1" applyAlignment="1">
      <alignment wrapText="1"/>
    </xf>
    <xf numFmtId="1" fontId="20" fillId="0" borderId="39" xfId="0" applyNumberFormat="1" applyFont="1" applyBorder="1"/>
    <xf numFmtId="0" fontId="6" fillId="0" borderId="27" xfId="0" applyFont="1" applyBorder="1"/>
    <xf numFmtId="0" fontId="35" fillId="0" borderId="0" xfId="0" applyFont="1" applyAlignment="1">
      <alignment horizontal="left"/>
    </xf>
    <xf numFmtId="0" fontId="25" fillId="0" borderId="3" xfId="0" applyFont="1" applyBorder="1" applyAlignment="1">
      <alignment wrapText="1"/>
    </xf>
    <xf numFmtId="0" fontId="25" fillId="0" borderId="45" xfId="0" applyFont="1" applyBorder="1" applyAlignment="1">
      <alignment horizontal="left"/>
    </xf>
    <xf numFmtId="0" fontId="25" fillId="0" borderId="43" xfId="0" applyFont="1" applyBorder="1" applyAlignment="1">
      <alignment wrapText="1"/>
    </xf>
    <xf numFmtId="0" fontId="9" fillId="4" borderId="40" xfId="0" applyFont="1" applyFill="1" applyBorder="1"/>
    <xf numFmtId="0" fontId="25" fillId="0" borderId="0" xfId="0" applyFont="1" applyAlignment="1">
      <alignment horizontal="left"/>
    </xf>
    <xf numFmtId="0" fontId="20" fillId="0" borderId="43" xfId="0" applyFont="1" applyBorder="1" applyAlignment="1">
      <alignment vertical="center" wrapText="1"/>
    </xf>
    <xf numFmtId="0" fontId="25" fillId="0" borderId="12" xfId="0" applyFont="1" applyBorder="1"/>
    <xf numFmtId="0" fontId="20" fillId="0" borderId="0" xfId="0" applyFont="1" applyAlignment="1">
      <alignment wrapText="1"/>
    </xf>
    <xf numFmtId="0" fontId="39" fillId="0" borderId="12" xfId="0" applyFont="1" applyBorder="1" applyAlignment="1">
      <alignment wrapText="1"/>
    </xf>
    <xf numFmtId="0" fontId="25" fillId="0" borderId="2" xfId="0" applyFont="1" applyBorder="1"/>
    <xf numFmtId="0" fontId="30" fillId="0" borderId="0" xfId="0" applyFont="1" applyAlignment="1">
      <alignment horizontal="left" vertical="center"/>
    </xf>
    <xf numFmtId="0" fontId="20" fillId="0" borderId="40" xfId="0" applyFont="1" applyBorder="1"/>
    <xf numFmtId="0" fontId="6" fillId="0" borderId="12" xfId="0" applyFont="1" applyBorder="1"/>
    <xf numFmtId="0" fontId="35" fillId="0" borderId="0" xfId="0" applyFont="1" applyAlignment="1">
      <alignment horizontal="right"/>
    </xf>
    <xf numFmtId="0" fontId="25" fillId="0" borderId="45" xfId="0" applyFont="1" applyBorder="1" applyAlignment="1">
      <alignment horizontal="right"/>
    </xf>
    <xf numFmtId="0" fontId="0" fillId="0" borderId="12" xfId="0" applyBorder="1"/>
    <xf numFmtId="0" fontId="20" fillId="0" borderId="43" xfId="0" applyFont="1" applyBorder="1" applyAlignment="1">
      <alignment vertical="center"/>
    </xf>
    <xf numFmtId="0" fontId="39" fillId="0" borderId="15" xfId="0" applyFont="1" applyBorder="1" applyAlignment="1">
      <alignment wrapText="1"/>
    </xf>
    <xf numFmtId="0" fontId="25" fillId="0" borderId="43" xfId="0" applyFont="1" applyBorder="1"/>
    <xf numFmtId="0" fontId="25" fillId="0" borderId="6" xfId="0" applyFont="1" applyBorder="1"/>
    <xf numFmtId="0" fontId="30" fillId="0" borderId="0" xfId="0" applyFont="1" applyAlignment="1">
      <alignment horizontal="right"/>
    </xf>
    <xf numFmtId="0" fontId="35" fillId="0" borderId="0" xfId="0" applyFont="1" applyAlignment="1">
      <alignment horizontal="center" vertical="center"/>
    </xf>
    <xf numFmtId="0" fontId="9" fillId="4" borderId="38" xfId="0" applyFont="1" applyFill="1" applyBorder="1"/>
    <xf numFmtId="0" fontId="20" fillId="0" borderId="27" xfId="0" applyFont="1" applyBorder="1" applyAlignment="1">
      <alignment vertical="center"/>
    </xf>
    <xf numFmtId="0" fontId="39" fillId="0" borderId="19" xfId="0" applyFont="1" applyBorder="1" applyAlignment="1">
      <alignment wrapText="1"/>
    </xf>
    <xf numFmtId="0" fontId="25" fillId="0" borderId="27" xfId="0" applyFont="1" applyBorder="1"/>
    <xf numFmtId="0" fontId="30" fillId="0" borderId="0" xfId="0" applyFont="1" applyAlignment="1">
      <alignment horizontal="center" vertical="center"/>
    </xf>
    <xf numFmtId="0" fontId="39" fillId="0" borderId="27" xfId="0" applyFont="1" applyBorder="1" applyAlignment="1">
      <alignment wrapText="1"/>
    </xf>
    <xf numFmtId="164" fontId="39" fillId="0" borderId="9" xfId="0" applyNumberFormat="1" applyFont="1" applyBorder="1" applyAlignment="1">
      <alignment wrapText="1"/>
    </xf>
    <xf numFmtId="164" fontId="25" fillId="0" borderId="45" xfId="0" applyNumberFormat="1" applyFont="1" applyBorder="1" applyAlignment="1">
      <alignment horizontal="right"/>
    </xf>
    <xf numFmtId="164" fontId="20" fillId="0" borderId="12" xfId="0" applyNumberFormat="1" applyFont="1" applyBorder="1"/>
    <xf numFmtId="1" fontId="25" fillId="0" borderId="0" xfId="0" applyNumberFormat="1" applyFont="1" applyAlignment="1">
      <alignment horizontal="right"/>
    </xf>
    <xf numFmtId="164" fontId="20" fillId="0" borderId="27" xfId="0" applyNumberFormat="1" applyFont="1" applyBorder="1" applyAlignment="1">
      <alignment vertical="center"/>
    </xf>
    <xf numFmtId="164" fontId="25" fillId="0" borderId="12" xfId="0" applyNumberFormat="1" applyFont="1" applyBorder="1"/>
    <xf numFmtId="0" fontId="39" fillId="0" borderId="18" xfId="0" applyFont="1" applyBorder="1" applyAlignment="1">
      <alignment wrapText="1"/>
    </xf>
    <xf numFmtId="164" fontId="25" fillId="0" borderId="27" xfId="0" applyNumberFormat="1" applyFont="1" applyBorder="1"/>
    <xf numFmtId="0" fontId="25" fillId="0" borderId="5" xfId="0" applyFont="1" applyBorder="1"/>
    <xf numFmtId="164" fontId="13" fillId="0" borderId="0" xfId="0" applyNumberFormat="1" applyFont="1"/>
    <xf numFmtId="164" fontId="6" fillId="0" borderId="12" xfId="0" applyNumberFormat="1" applyFont="1" applyBorder="1"/>
    <xf numFmtId="0" fontId="0" fillId="0" borderId="11" xfId="0" applyBorder="1" applyAlignment="1">
      <alignment wrapText="1"/>
    </xf>
    <xf numFmtId="0" fontId="14" fillId="0" borderId="45" xfId="0" applyFont="1" applyBorder="1" applyAlignment="1">
      <alignment horizontal="left" vertical="center" wrapText="1"/>
    </xf>
    <xf numFmtId="0" fontId="4" fillId="0" borderId="12" xfId="0" applyFont="1" applyBorder="1" applyAlignment="1">
      <alignment vertical="top" wrapText="1"/>
    </xf>
    <xf numFmtId="0" fontId="13" fillId="0" borderId="0" xfId="0" applyFont="1" applyAlignment="1">
      <alignment wrapText="1"/>
    </xf>
    <xf numFmtId="0" fontId="6" fillId="0" borderId="12" xfId="0" applyFont="1" applyBorder="1" applyAlignment="1">
      <alignment vertical="top" wrapText="1"/>
    </xf>
    <xf numFmtId="0" fontId="6" fillId="0" borderId="14" xfId="0" applyFont="1" applyBorder="1" applyAlignment="1">
      <alignment wrapText="1"/>
    </xf>
    <xf numFmtId="0" fontId="39" fillId="0" borderId="22" xfId="0" applyFont="1" applyBorder="1" applyAlignment="1">
      <alignment wrapText="1"/>
    </xf>
    <xf numFmtId="0" fontId="0" fillId="0" borderId="40" xfId="0" applyBorder="1" applyAlignment="1">
      <alignment wrapText="1"/>
    </xf>
    <xf numFmtId="0" fontId="7" fillId="0" borderId="3" xfId="0" applyFont="1" applyBorder="1" applyAlignment="1">
      <alignment wrapText="1"/>
    </xf>
    <xf numFmtId="0" fontId="30" fillId="0" borderId="0" xfId="0" applyFont="1" applyAlignment="1">
      <alignment horizontal="center" vertical="center" wrapText="1"/>
    </xf>
    <xf numFmtId="0" fontId="14" fillId="0" borderId="27" xfId="0" applyFont="1" applyBorder="1" applyAlignment="1">
      <alignment wrapText="1"/>
    </xf>
    <xf numFmtId="0" fontId="39" fillId="0" borderId="23" xfId="0" applyFont="1" applyBorder="1" applyAlignment="1">
      <alignment wrapText="1"/>
    </xf>
    <xf numFmtId="0" fontId="0" fillId="0" borderId="45" xfId="0" applyBorder="1" applyAlignment="1">
      <alignment wrapText="1"/>
    </xf>
    <xf numFmtId="0" fontId="20" fillId="0" borderId="40" xfId="0" applyFont="1" applyBorder="1" applyAlignment="1">
      <alignment wrapText="1"/>
    </xf>
    <xf numFmtId="0" fontId="14" fillId="0" borderId="35" xfId="0" applyFont="1" applyBorder="1" applyAlignment="1">
      <alignment wrapText="1"/>
    </xf>
    <xf numFmtId="0" fontId="13" fillId="0" borderId="0" xfId="0" applyFont="1" applyAlignment="1">
      <alignment vertical="center" wrapText="1"/>
    </xf>
    <xf numFmtId="0" fontId="6" fillId="0" borderId="12" xfId="0" applyFont="1" applyBorder="1" applyAlignment="1">
      <alignment wrapText="1"/>
    </xf>
    <xf numFmtId="0" fontId="6" fillId="0" borderId="14" xfId="0" applyFont="1" applyBorder="1"/>
    <xf numFmtId="0" fontId="39" fillId="0" borderId="24" xfId="0" applyFont="1" applyBorder="1" applyAlignment="1">
      <alignment wrapText="1"/>
    </xf>
    <xf numFmtId="0" fontId="8" fillId="0" borderId="44" xfId="0" applyFont="1" applyBorder="1" applyAlignment="1">
      <alignment wrapText="1"/>
    </xf>
    <xf numFmtId="0" fontId="0" fillId="0" borderId="4" xfId="0" applyBorder="1" applyAlignment="1">
      <alignment vertical="center"/>
    </xf>
    <xf numFmtId="0" fontId="39" fillId="0" borderId="28" xfId="0" applyFont="1" applyBorder="1" applyAlignment="1">
      <alignment wrapText="1"/>
    </xf>
    <xf numFmtId="0" fontId="6" fillId="0" borderId="36" xfId="0" applyFont="1" applyBorder="1"/>
    <xf numFmtId="0" fontId="20" fillId="0" borderId="44" xfId="0" applyFont="1" applyBorder="1" applyAlignment="1">
      <alignment wrapText="1"/>
    </xf>
    <xf numFmtId="0" fontId="4" fillId="0" borderId="16" xfId="0" applyFont="1" applyBorder="1"/>
    <xf numFmtId="0" fontId="0" fillId="0" borderId="1" xfId="0" applyBorder="1"/>
    <xf numFmtId="0" fontId="13" fillId="0" borderId="37" xfId="0" applyFont="1" applyBorder="1"/>
    <xf numFmtId="0" fontId="0" fillId="0" borderId="0" xfId="0" applyAlignment="1">
      <alignment vertical="center"/>
    </xf>
    <xf numFmtId="1" fontId="0" fillId="0" borderId="0" xfId="0" applyNumberFormat="1" applyAlignment="1">
      <alignment vertical="center"/>
    </xf>
    <xf numFmtId="0" fontId="4" fillId="0" borderId="0" xfId="0" applyFont="1" applyAlignment="1">
      <alignment vertical="center"/>
    </xf>
    <xf numFmtId="164" fontId="0" fillId="0" borderId="0" xfId="0" applyNumberFormat="1" applyAlignment="1">
      <alignment vertical="center"/>
    </xf>
    <xf numFmtId="0" fontId="40" fillId="0" borderId="0" xfId="0" applyFont="1" applyAlignment="1">
      <alignment wrapText="1"/>
    </xf>
    <xf numFmtId="164" fontId="0" fillId="3" borderId="8" xfId="0" applyNumberFormat="1" applyFill="1" applyBorder="1"/>
    <xf numFmtId="0" fontId="7" fillId="3" borderId="11" xfId="0" applyFont="1" applyFill="1" applyBorder="1" applyAlignment="1">
      <alignment wrapText="1"/>
    </xf>
    <xf numFmtId="164" fontId="6" fillId="0" borderId="0" xfId="0" applyNumberFormat="1" applyFont="1"/>
    <xf numFmtId="0" fontId="41" fillId="0" borderId="0" xfId="0" applyFont="1" applyAlignment="1">
      <alignment wrapText="1"/>
    </xf>
    <xf numFmtId="1" fontId="25" fillId="0" borderId="5" xfId="0" applyNumberFormat="1" applyFont="1" applyBorder="1"/>
    <xf numFmtId="0" fontId="25" fillId="0" borderId="7" xfId="0" applyFont="1" applyBorder="1"/>
    <xf numFmtId="0" fontId="26" fillId="0" borderId="0" xfId="0" applyFont="1" applyAlignment="1">
      <alignment wrapText="1"/>
    </xf>
    <xf numFmtId="0" fontId="26" fillId="0" borderId="0" xfId="0" applyFont="1" applyAlignment="1">
      <alignment horizontal="center"/>
    </xf>
    <xf numFmtId="1" fontId="25" fillId="0" borderId="3" xfId="0" applyNumberFormat="1" applyFont="1" applyBorder="1"/>
    <xf numFmtId="0" fontId="42" fillId="0" borderId="0" xfId="0" applyFont="1"/>
    <xf numFmtId="0" fontId="25" fillId="0" borderId="0" xfId="0" applyFont="1" applyAlignment="1">
      <alignment horizontal="right" vertical="center"/>
    </xf>
    <xf numFmtId="0" fontId="43" fillId="0" borderId="0" xfId="0" applyFont="1" applyAlignment="1">
      <alignment wrapText="1"/>
    </xf>
    <xf numFmtId="0" fontId="44" fillId="0" borderId="0" xfId="0" applyFont="1" applyAlignment="1">
      <alignment wrapText="1"/>
    </xf>
    <xf numFmtId="0" fontId="45" fillId="0" borderId="0" xfId="0" applyFont="1" applyAlignment="1">
      <alignment horizontal="left" vertical="center" wrapText="1"/>
    </xf>
    <xf numFmtId="0" fontId="46" fillId="0" borderId="0" xfId="0" applyFont="1" applyAlignment="1">
      <alignment horizontal="center"/>
    </xf>
    <xf numFmtId="0" fontId="46" fillId="0" borderId="0" xfId="0" applyFont="1"/>
    <xf numFmtId="0" fontId="47" fillId="0" borderId="0" xfId="0" applyFont="1"/>
    <xf numFmtId="0" fontId="48" fillId="0" borderId="0" xfId="0" applyFont="1"/>
    <xf numFmtId="164" fontId="46" fillId="0" borderId="0" xfId="0" applyNumberFormat="1" applyFont="1"/>
    <xf numFmtId="0" fontId="46" fillId="0" borderId="0" xfId="0" applyFont="1" applyAlignment="1">
      <alignment wrapText="1"/>
    </xf>
    <xf numFmtId="0" fontId="49" fillId="0" borderId="0" xfId="0" applyFont="1"/>
    <xf numFmtId="0" fontId="50" fillId="0" borderId="0" xfId="0" applyFont="1"/>
    <xf numFmtId="0" fontId="47" fillId="0" borderId="0" xfId="0" applyFont="1" applyAlignment="1">
      <alignment vertical="top" wrapText="1"/>
    </xf>
    <xf numFmtId="0" fontId="46" fillId="0" borderId="0" xfId="0" applyFont="1" applyAlignment="1">
      <alignment vertical="top" wrapText="1"/>
    </xf>
    <xf numFmtId="0" fontId="47" fillId="0" borderId="0" xfId="0" applyFont="1" applyAlignment="1">
      <alignment horizontal="center"/>
    </xf>
    <xf numFmtId="0" fontId="51" fillId="0" borderId="0" xfId="0" applyFont="1" applyAlignment="1">
      <alignment horizontal="right"/>
    </xf>
    <xf numFmtId="0" fontId="47" fillId="0" borderId="0" xfId="0" applyFont="1" applyAlignment="1">
      <alignment horizontal="right"/>
    </xf>
    <xf numFmtId="0" fontId="47" fillId="0" borderId="0" xfId="0" applyFont="1" applyAlignment="1">
      <alignment horizontal="center" vertical="center"/>
    </xf>
    <xf numFmtId="0" fontId="47" fillId="0" borderId="0" xfId="0" applyFont="1" applyAlignment="1">
      <alignment horizontal="center" vertical="center" wrapText="1"/>
    </xf>
    <xf numFmtId="0" fontId="46" fillId="0" borderId="0" xfId="0" applyFont="1" applyAlignment="1">
      <alignment horizontal="center" vertical="center" wrapText="1"/>
    </xf>
    <xf numFmtId="0" fontId="52" fillId="0" borderId="0" xfId="0" applyFont="1"/>
    <xf numFmtId="164" fontId="47" fillId="0" borderId="0" xfId="0" applyNumberFormat="1" applyFont="1" applyAlignment="1">
      <alignment horizontal="center" vertical="center"/>
    </xf>
    <xf numFmtId="0" fontId="35" fillId="0" borderId="0" xfId="0" applyFont="1" applyAlignment="1">
      <alignment horizontal="center"/>
    </xf>
    <xf numFmtId="0" fontId="53" fillId="0" borderId="0" xfId="0" applyFont="1" applyAlignment="1">
      <alignment horizontal="right"/>
    </xf>
    <xf numFmtId="164" fontId="35" fillId="0" borderId="0" xfId="0" applyNumberFormat="1" applyFont="1" applyAlignment="1">
      <alignment horizontal="center" vertical="center"/>
    </xf>
    <xf numFmtId="0" fontId="35" fillId="0" borderId="0" xfId="0" applyFont="1" applyAlignment="1">
      <alignment horizontal="center" vertical="center" wrapText="1"/>
    </xf>
    <xf numFmtId="0" fontId="25" fillId="0" borderId="0" xfId="0" applyFont="1" applyAlignment="1">
      <alignment horizontal="center" vertical="center" wrapText="1"/>
    </xf>
    <xf numFmtId="1" fontId="25" fillId="0" borderId="7" xfId="0" applyNumberFormat="1" applyFont="1" applyBorder="1"/>
    <xf numFmtId="0" fontId="25" fillId="0" borderId="14" xfId="0" applyFont="1" applyBorder="1"/>
    <xf numFmtId="0" fontId="25" fillId="0" borderId="14" xfId="0" applyFont="1" applyBorder="1" applyAlignment="1">
      <alignment wrapText="1"/>
    </xf>
    <xf numFmtId="164" fontId="25" fillId="0" borderId="14" xfId="0" applyNumberFormat="1" applyFont="1" applyBorder="1"/>
    <xf numFmtId="0" fontId="20" fillId="0" borderId="47" xfId="0" applyFont="1" applyBorder="1"/>
    <xf numFmtId="164" fontId="20" fillId="0" borderId="47" xfId="0" applyNumberFormat="1" applyFont="1" applyBorder="1"/>
    <xf numFmtId="0" fontId="25" fillId="0" borderId="31" xfId="0" applyFont="1" applyBorder="1"/>
    <xf numFmtId="0" fontId="25" fillId="0" borderId="47" xfId="0" applyFont="1" applyBorder="1"/>
    <xf numFmtId="164" fontId="25" fillId="0" borderId="47" xfId="0" applyNumberFormat="1" applyFont="1" applyBorder="1"/>
    <xf numFmtId="0" fontId="25" fillId="0" borderId="32" xfId="0" applyFont="1" applyBorder="1"/>
    <xf numFmtId="0" fontId="25" fillId="0" borderId="47" xfId="0" applyFont="1" applyBorder="1" applyAlignment="1">
      <alignment wrapText="1"/>
    </xf>
    <xf numFmtId="0" fontId="25" fillId="5" borderId="0" xfId="0" applyFont="1" applyFill="1"/>
    <xf numFmtId="0" fontId="47" fillId="0" borderId="0" xfId="0" applyFont="1" applyAlignment="1">
      <alignment horizontal="left"/>
    </xf>
    <xf numFmtId="0" fontId="8" fillId="0" borderId="0" xfId="0" applyFont="1" applyAlignment="1">
      <alignment horizontal="right"/>
    </xf>
    <xf numFmtId="0" fontId="20" fillId="0" borderId="0" xfId="0" applyFont="1" applyAlignment="1">
      <alignment horizontal="right"/>
    </xf>
    <xf numFmtId="164" fontId="54" fillId="0" borderId="0" xfId="0" applyNumberFormat="1" applyFont="1"/>
    <xf numFmtId="0" fontId="55" fillId="0" borderId="0" xfId="0" applyFont="1" applyAlignment="1">
      <alignment wrapText="1"/>
    </xf>
    <xf numFmtId="0" fontId="56" fillId="0" borderId="0" xfId="0" applyFont="1" applyAlignment="1">
      <alignment wrapText="1"/>
    </xf>
    <xf numFmtId="1" fontId="20" fillId="0" borderId="0" xfId="0" applyNumberFormat="1" applyFont="1"/>
    <xf numFmtId="164" fontId="20" fillId="0" borderId="34" xfId="0" applyNumberFormat="1" applyFont="1" applyBorder="1"/>
    <xf numFmtId="0" fontId="57" fillId="0" borderId="0" xfId="0" applyFont="1" applyAlignment="1">
      <alignment wrapText="1"/>
    </xf>
    <xf numFmtId="0" fontId="6" fillId="0" borderId="13" xfId="0" applyFont="1" applyBorder="1" applyAlignment="1">
      <alignment wrapText="1"/>
    </xf>
    <xf numFmtId="0" fontId="56" fillId="0" borderId="13" xfId="0" applyFont="1" applyBorder="1" applyAlignment="1">
      <alignment wrapText="1"/>
    </xf>
    <xf numFmtId="0" fontId="25" fillId="0" borderId="13" xfId="0" applyFont="1" applyBorder="1"/>
    <xf numFmtId="164" fontId="25" fillId="0" borderId="13" xfId="0" applyNumberFormat="1" applyFont="1" applyBorder="1"/>
    <xf numFmtId="1" fontId="4" fillId="0" borderId="0" xfId="0" applyNumberFormat="1" applyFont="1"/>
    <xf numFmtId="0" fontId="25" fillId="0" borderId="40" xfId="0" applyFont="1" applyBorder="1"/>
    <xf numFmtId="0" fontId="25" fillId="0" borderId="42" xfId="0" applyFont="1" applyBorder="1"/>
    <xf numFmtId="0" fontId="25" fillId="0" borderId="46" xfId="0" applyFont="1" applyBorder="1"/>
    <xf numFmtId="164" fontId="25" fillId="0" borderId="46" xfId="0" applyNumberFormat="1" applyFont="1" applyBorder="1"/>
    <xf numFmtId="0" fontId="58" fillId="0" borderId="0" xfId="0" applyFont="1"/>
    <xf numFmtId="0" fontId="14" fillId="0" borderId="0" xfId="0" applyFont="1"/>
    <xf numFmtId="0" fontId="25" fillId="0" borderId="45" xfId="0" applyFont="1" applyBorder="1"/>
    <xf numFmtId="164" fontId="25" fillId="0" borderId="45" xfId="0" applyNumberFormat="1" applyFont="1" applyBorder="1"/>
    <xf numFmtId="0" fontId="6" fillId="0" borderId="2" xfId="0" applyFont="1" applyBorder="1" applyAlignment="1">
      <alignment wrapText="1"/>
    </xf>
    <xf numFmtId="0" fontId="6" fillId="5" borderId="0" xfId="0" applyFont="1" applyFill="1"/>
    <xf numFmtId="0" fontId="4" fillId="0" borderId="12" xfId="0" applyFont="1" applyBorder="1" applyAlignment="1">
      <alignment wrapText="1"/>
    </xf>
    <xf numFmtId="1" fontId="4" fillId="0" borderId="12" xfId="0" applyNumberFormat="1" applyFont="1" applyBorder="1" applyAlignment="1">
      <alignment wrapText="1"/>
    </xf>
    <xf numFmtId="164" fontId="4" fillId="0" borderId="12" xfId="0" applyNumberFormat="1" applyFont="1" applyBorder="1" applyAlignment="1">
      <alignment wrapText="1"/>
    </xf>
    <xf numFmtId="1" fontId="6" fillId="0" borderId="12" xfId="0" applyNumberFormat="1" applyFont="1" applyBorder="1" applyAlignment="1">
      <alignment wrapText="1"/>
    </xf>
    <xf numFmtId="1" fontId="35" fillId="0" borderId="0" xfId="0" applyNumberFormat="1" applyFont="1"/>
    <xf numFmtId="0" fontId="59" fillId="0" borderId="0" xfId="0" applyFont="1" applyAlignment="1">
      <alignment wrapText="1"/>
    </xf>
    <xf numFmtId="164" fontId="8" fillId="0" borderId="0" xfId="0" applyNumberFormat="1" applyFont="1"/>
    <xf numFmtId="0" fontId="59" fillId="0" borderId="12" xfId="0" applyFont="1" applyBorder="1" applyAlignment="1">
      <alignment wrapText="1"/>
    </xf>
    <xf numFmtId="0" fontId="10" fillId="0" borderId="0" xfId="0" applyFont="1"/>
    <xf numFmtId="0" fontId="60" fillId="0" borderId="9" xfId="0" applyFont="1" applyBorder="1" applyAlignment="1">
      <alignment wrapText="1"/>
    </xf>
    <xf numFmtId="0" fontId="60" fillId="0" borderId="25" xfId="0" applyFont="1" applyBorder="1" applyAlignment="1">
      <alignment wrapText="1"/>
    </xf>
    <xf numFmtId="0" fontId="60" fillId="0" borderId="26" xfId="0" applyFont="1" applyBorder="1" applyAlignment="1">
      <alignment wrapText="1"/>
    </xf>
    <xf numFmtId="0" fontId="10" fillId="0" borderId="7" xfId="0" applyFont="1" applyBorder="1"/>
    <xf numFmtId="0" fontId="10" fillId="0" borderId="9" xfId="0" applyFont="1" applyBorder="1"/>
    <xf numFmtId="0" fontId="10" fillId="3" borderId="0" xfId="0" applyFont="1" applyFill="1"/>
    <xf numFmtId="0" fontId="61" fillId="0" borderId="0" xfId="0" applyFont="1"/>
    <xf numFmtId="0" fontId="62" fillId="0" borderId="0" xfId="0" applyFont="1"/>
    <xf numFmtId="0" fontId="60" fillId="0" borderId="0" xfId="0" applyFont="1" applyAlignment="1">
      <alignment wrapText="1"/>
    </xf>
    <xf numFmtId="0" fontId="60" fillId="0" borderId="12" xfId="0" applyFont="1" applyBorder="1" applyAlignment="1">
      <alignment wrapText="1"/>
    </xf>
    <xf numFmtId="0" fontId="26" fillId="0" borderId="12" xfId="0" applyFont="1" applyBorder="1" applyAlignment="1">
      <alignment wrapText="1"/>
    </xf>
    <xf numFmtId="0" fontId="10" fillId="0" borderId="12" xfId="0" applyFont="1" applyBorder="1"/>
    <xf numFmtId="0" fontId="26" fillId="0" borderId="12" xfId="0" applyFont="1" applyBorder="1"/>
    <xf numFmtId="0" fontId="10" fillId="5" borderId="0" xfId="0" applyFont="1" applyFill="1"/>
    <xf numFmtId="0" fontId="63" fillId="0" borderId="0" xfId="0" applyFont="1"/>
    <xf numFmtId="0" fontId="10" fillId="0" borderId="0" xfId="0" applyFont="1" applyAlignment="1">
      <alignment wrapText="1"/>
    </xf>
    <xf numFmtId="0" fontId="23" fillId="4" borderId="40" xfId="0" applyFont="1" applyFill="1" applyBorder="1"/>
    <xf numFmtId="0" fontId="10" fillId="0" borderId="45" xfId="0" applyFont="1" applyBorder="1"/>
    <xf numFmtId="0" fontId="64" fillId="0" borderId="0" xfId="0" applyFont="1" applyAlignment="1">
      <alignment horizontal="left"/>
    </xf>
    <xf numFmtId="0" fontId="63" fillId="7" borderId="0" xfId="0" applyFont="1" applyFill="1"/>
    <xf numFmtId="0" fontId="65" fillId="0" borderId="0" xfId="0" applyFont="1"/>
    <xf numFmtId="0" fontId="1" fillId="0" borderId="0" xfId="0" applyFont="1"/>
    <xf numFmtId="0" fontId="1" fillId="0" borderId="0" xfId="0" applyFont="1" applyAlignment="1">
      <alignment vertical="center"/>
    </xf>
    <xf numFmtId="1" fontId="66" fillId="0" borderId="0" xfId="0" applyNumberFormat="1" applyFont="1"/>
    <xf numFmtId="0" fontId="67" fillId="0" borderId="0" xfId="0" applyFont="1"/>
    <xf numFmtId="1" fontId="8" fillId="0" borderId="0" xfId="0" applyNumberFormat="1" applyFont="1" applyAlignment="1">
      <alignment wrapText="1"/>
    </xf>
    <xf numFmtId="0" fontId="68" fillId="0" borderId="0" xfId="1" applyFill="1"/>
    <xf numFmtId="1" fontId="0" fillId="0" borderId="0" xfId="0" applyNumberFormat="1" applyAlignment="1">
      <alignment horizontal="center" vertical="center"/>
    </xf>
    <xf numFmtId="1" fontId="69" fillId="0" borderId="0" xfId="0" applyNumberFormat="1" applyFont="1" applyAlignment="1">
      <alignment horizontal="center" vertical="center" wrapText="1"/>
    </xf>
    <xf numFmtId="0" fontId="4" fillId="0" borderId="0" xfId="0" applyFont="1" applyAlignment="1">
      <alignment horizontal="center" vertical="center"/>
    </xf>
    <xf numFmtId="1" fontId="0" fillId="0" borderId="0" xfId="0" applyNumberFormat="1" applyAlignment="1">
      <alignment horizontal="left" vertical="center"/>
    </xf>
    <xf numFmtId="0" fontId="71" fillId="0" borderId="48" xfId="0" applyFont="1" applyBorder="1" applyAlignment="1">
      <alignment horizontal="right" vertical="center"/>
    </xf>
    <xf numFmtId="1" fontId="0" fillId="0" borderId="0" xfId="0" applyNumberFormat="1" applyAlignment="1">
      <alignment horizontal="right" vertical="center"/>
    </xf>
    <xf numFmtId="0" fontId="0" fillId="0" borderId="0" xfId="0" applyAlignment="1">
      <alignment horizontal="left" vertical="center"/>
    </xf>
    <xf numFmtId="1" fontId="0" fillId="0" borderId="0" xfId="0" applyNumberFormat="1" applyAlignment="1">
      <alignment vertical="center" wrapText="1"/>
    </xf>
    <xf numFmtId="0" fontId="0" fillId="0" borderId="0" xfId="0" applyAlignment="1">
      <alignment horizontal="center" vertical="center" wrapText="1"/>
    </xf>
    <xf numFmtId="0" fontId="0" fillId="0" borderId="49" xfId="0" applyBorder="1"/>
    <xf numFmtId="0" fontId="0" fillId="0" borderId="0" xfId="0" applyAlignment="1">
      <alignment horizontal="left" vertical="center" wrapText="1"/>
    </xf>
    <xf numFmtId="0" fontId="1" fillId="0" borderId="0" xfId="0" applyFont="1" applyAlignment="1">
      <alignment horizontal="center" vertical="center" wrapText="1"/>
    </xf>
    <xf numFmtId="0" fontId="25" fillId="0" borderId="3" xfId="0" applyFont="1" applyBorder="1" applyAlignment="1">
      <alignment horizontal="center" vertical="center"/>
    </xf>
    <xf numFmtId="0" fontId="25" fillId="0" borderId="14" xfId="0" applyFont="1" applyBorder="1" applyAlignment="1">
      <alignment horizontal="center" vertical="center"/>
    </xf>
    <xf numFmtId="0" fontId="20" fillId="0" borderId="14" xfId="0" applyFont="1" applyBorder="1" applyAlignment="1">
      <alignment horizontal="center" vertical="center"/>
    </xf>
    <xf numFmtId="0" fontId="20" fillId="0" borderId="12" xfId="0" applyFont="1" applyBorder="1" applyAlignment="1">
      <alignment horizontal="center" vertical="center"/>
    </xf>
    <xf numFmtId="0" fontId="20" fillId="0" borderId="31" xfId="0" applyFont="1" applyBorder="1" applyAlignment="1">
      <alignment horizontal="center" vertical="center"/>
    </xf>
    <xf numFmtId="0" fontId="26" fillId="0" borderId="0" xfId="0" applyFont="1" applyAlignment="1">
      <alignment horizontal="center" vertical="center"/>
    </xf>
    <xf numFmtId="0" fontId="25" fillId="0" borderId="12" xfId="0" applyFont="1" applyBorder="1" applyAlignment="1">
      <alignment horizontal="center" vertical="center"/>
    </xf>
    <xf numFmtId="1" fontId="25" fillId="0" borderId="12" xfId="0" applyNumberFormat="1" applyFont="1" applyBorder="1" applyAlignment="1">
      <alignment horizontal="center" vertical="center"/>
    </xf>
    <xf numFmtId="0" fontId="25" fillId="0" borderId="13" xfId="0" applyFont="1" applyBorder="1" applyAlignment="1">
      <alignment horizontal="center" vertical="center"/>
    </xf>
    <xf numFmtId="164" fontId="25" fillId="0" borderId="0" xfId="0" applyNumberFormat="1" applyFont="1" applyAlignment="1">
      <alignment horizontal="center" vertical="center"/>
    </xf>
    <xf numFmtId="1" fontId="25" fillId="0" borderId="0" xfId="0" applyNumberFormat="1" applyFont="1" applyAlignment="1">
      <alignment horizontal="center" vertical="center"/>
    </xf>
    <xf numFmtId="0" fontId="25" fillId="0" borderId="17" xfId="0" applyFont="1" applyBorder="1" applyAlignment="1">
      <alignment horizontal="center" vertical="center"/>
    </xf>
    <xf numFmtId="0" fontId="20" fillId="0" borderId="17" xfId="0" applyFont="1" applyBorder="1" applyAlignment="1">
      <alignment horizontal="center" vertical="center"/>
    </xf>
    <xf numFmtId="0" fontId="25" fillId="0" borderId="42" xfId="0" applyFont="1" applyBorder="1" applyAlignment="1">
      <alignment horizontal="center" vertical="center"/>
    </xf>
    <xf numFmtId="0" fontId="54" fillId="0" borderId="0" xfId="0" applyFont="1" applyAlignment="1">
      <alignment horizontal="center" vertical="center"/>
    </xf>
    <xf numFmtId="0" fontId="25" fillId="0" borderId="45" xfId="0" applyFont="1" applyBorder="1" applyAlignment="1">
      <alignment horizontal="center" vertical="center"/>
    </xf>
    <xf numFmtId="0" fontId="46" fillId="0" borderId="0" xfId="0" applyFont="1" applyAlignment="1">
      <alignment horizontal="center" vertical="center"/>
    </xf>
    <xf numFmtId="0" fontId="1" fillId="0" borderId="0" xfId="0" applyFont="1" applyAlignment="1">
      <alignment horizontal="center" vertical="center"/>
    </xf>
    <xf numFmtId="0" fontId="10" fillId="0" borderId="0" xfId="0" applyFont="1" applyAlignment="1">
      <alignment horizontal="center" vertical="center" wrapText="1"/>
    </xf>
    <xf numFmtId="0" fontId="10" fillId="0" borderId="0" xfId="0" applyFont="1" applyAlignment="1">
      <alignment horizontal="center" vertical="center"/>
    </xf>
    <xf numFmtId="164" fontId="60" fillId="0" borderId="9" xfId="0" applyNumberFormat="1" applyFont="1" applyBorder="1" applyAlignment="1">
      <alignment horizontal="center" vertical="center" wrapText="1"/>
    </xf>
    <xf numFmtId="164" fontId="60" fillId="0" borderId="20" xfId="0" applyNumberFormat="1" applyFont="1" applyBorder="1" applyAlignment="1">
      <alignment horizontal="center" vertical="center" wrapText="1"/>
    </xf>
    <xf numFmtId="164" fontId="60" fillId="0" borderId="21" xfId="0" applyNumberFormat="1" applyFont="1" applyBorder="1" applyAlignment="1">
      <alignment horizontal="center" vertical="center" wrapText="1"/>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3" borderId="8" xfId="0" applyFont="1" applyFill="1" applyBorder="1" applyAlignment="1">
      <alignment horizontal="center" vertical="center"/>
    </xf>
    <xf numFmtId="0" fontId="74" fillId="0" borderId="0" xfId="0" applyFont="1" applyAlignment="1">
      <alignment horizontal="center" vertical="center"/>
    </xf>
    <xf numFmtId="0" fontId="60" fillId="0" borderId="0" xfId="0" applyFont="1" applyAlignment="1">
      <alignment horizontal="center" vertical="center" wrapText="1"/>
    </xf>
    <xf numFmtId="0" fontId="60" fillId="0" borderId="12" xfId="0" applyFont="1" applyBorder="1" applyAlignment="1">
      <alignment horizontal="center" vertical="center" wrapText="1"/>
    </xf>
    <xf numFmtId="0" fontId="25" fillId="0" borderId="12" xfId="0" applyFont="1" applyBorder="1" applyAlignment="1">
      <alignment horizontal="center" vertical="center" wrapText="1"/>
    </xf>
    <xf numFmtId="1" fontId="26" fillId="0" borderId="12" xfId="0" applyNumberFormat="1" applyFont="1" applyBorder="1" applyAlignment="1">
      <alignment horizontal="center" vertical="center" wrapText="1"/>
    </xf>
    <xf numFmtId="1" fontId="26" fillId="0" borderId="12" xfId="0" applyNumberFormat="1" applyFont="1" applyBorder="1" applyAlignment="1">
      <alignment horizontal="center" vertical="center"/>
    </xf>
    <xf numFmtId="0" fontId="1" fillId="5" borderId="0" xfId="0" applyFont="1" applyFill="1" applyAlignment="1">
      <alignment horizontal="center" vertical="center"/>
    </xf>
    <xf numFmtId="1" fontId="26" fillId="0" borderId="0" xfId="0" applyNumberFormat="1" applyFont="1" applyAlignment="1">
      <alignment horizontal="center" vertical="center"/>
    </xf>
    <xf numFmtId="0" fontId="23" fillId="4" borderId="40" xfId="0" applyFont="1" applyFill="1" applyBorder="1" applyAlignment="1">
      <alignment horizontal="center" vertical="center"/>
    </xf>
    <xf numFmtId="164" fontId="1" fillId="0" borderId="0" xfId="0" applyNumberFormat="1" applyFont="1" applyAlignment="1">
      <alignment horizontal="center" vertical="center"/>
    </xf>
    <xf numFmtId="0" fontId="1" fillId="7" borderId="0" xfId="0" applyFont="1" applyFill="1" applyAlignment="1">
      <alignment horizontal="center" vertical="center"/>
    </xf>
    <xf numFmtId="1" fontId="1" fillId="0" borderId="0" xfId="0" applyNumberFormat="1" applyFont="1" applyAlignment="1">
      <alignment horizontal="center" vertical="center"/>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D472"/>
  <sheetViews>
    <sheetView tabSelected="1" zoomScale="90" zoomScaleNormal="90" workbookViewId="0">
      <pane xSplit="3" ySplit="1" topLeftCell="D27" activePane="bottomRight" state="frozen"/>
      <selection pane="topRight"/>
      <selection pane="bottomLeft" activeCell="B1" sqref="B1"/>
      <selection pane="bottomRight" activeCell="G27" sqref="G27:G29"/>
    </sheetView>
  </sheetViews>
  <sheetFormatPr baseColWidth="10" defaultColWidth="9.453125" defaultRowHeight="14.5" x14ac:dyDescent="0.35"/>
  <cols>
    <col min="1" max="1" width="9.7265625" customWidth="1"/>
    <col min="2" max="2" width="22.453125" style="5" customWidth="1"/>
    <col min="3" max="3" width="29.54296875" style="332" customWidth="1"/>
    <col min="4" max="4" width="14.453125" customWidth="1"/>
    <col min="6" max="6" width="7.1796875" customWidth="1"/>
    <col min="7" max="7" width="9.453125" style="367"/>
    <col min="8" max="8" width="81.26953125" customWidth="1"/>
    <col min="9" max="9" width="54.54296875" customWidth="1"/>
    <col min="10" max="10" width="74.54296875" style="3" customWidth="1"/>
    <col min="16383" max="16384" width="9.26953125" customWidth="1"/>
  </cols>
  <sheetData>
    <row r="1" spans="1:55" s="1" customFormat="1" ht="86.25" customHeight="1" x14ac:dyDescent="0.35">
      <c r="A1" s="1" t="s">
        <v>0</v>
      </c>
      <c r="B1" s="13" t="s">
        <v>1</v>
      </c>
      <c r="C1" s="14" t="s">
        <v>2</v>
      </c>
      <c r="D1" s="2" t="s">
        <v>3</v>
      </c>
      <c r="E1" s="2" t="s">
        <v>4</v>
      </c>
      <c r="F1" s="2" t="s">
        <v>5</v>
      </c>
      <c r="G1" s="349" t="s">
        <v>6</v>
      </c>
      <c r="H1" s="2" t="s">
        <v>7</v>
      </c>
      <c r="I1" s="1" t="s">
        <v>8</v>
      </c>
      <c r="J1" s="38"/>
      <c r="K1" s="39"/>
      <c r="L1" s="56"/>
      <c r="M1" s="39"/>
      <c r="N1" s="39"/>
      <c r="O1" s="39"/>
    </row>
    <row r="2" spans="1:55" s="1" customFormat="1" ht="44.25" hidden="1" customHeight="1" x14ac:dyDescent="0.35">
      <c r="B2" s="15">
        <v>11054</v>
      </c>
      <c r="C2" s="310" t="s">
        <v>9</v>
      </c>
      <c r="D2">
        <v>3</v>
      </c>
      <c r="E2"/>
      <c r="F2"/>
      <c r="G2" s="367"/>
      <c r="H2" s="20"/>
      <c r="I2" s="10" t="s">
        <v>10</v>
      </c>
      <c r="J2" s="38"/>
      <c r="K2" s="39"/>
      <c r="L2" s="39"/>
      <c r="M2" s="39"/>
      <c r="N2" s="39"/>
      <c r="O2" s="39"/>
    </row>
    <row r="3" spans="1:55" s="14" customFormat="1" ht="43.5" hidden="1" customHeight="1" x14ac:dyDescent="0.35">
      <c r="B3" s="15">
        <v>11054</v>
      </c>
      <c r="C3" s="310" t="s">
        <v>9</v>
      </c>
      <c r="D3" s="9">
        <v>2</v>
      </c>
      <c r="E3" s="11" t="s">
        <v>11</v>
      </c>
      <c r="F3" s="11">
        <v>7.5</v>
      </c>
      <c r="G3" s="368">
        <f>7.5*35</f>
        <v>262.5</v>
      </c>
      <c r="H3" s="17" t="s">
        <v>12</v>
      </c>
      <c r="I3" s="10" t="s">
        <v>13</v>
      </c>
      <c r="J3" s="40"/>
      <c r="K3" s="40"/>
      <c r="L3" s="40"/>
      <c r="M3" s="40"/>
      <c r="N3" s="40"/>
      <c r="O3" s="40"/>
    </row>
    <row r="4" spans="1:55" s="14" customFormat="1" ht="36" hidden="1" customHeight="1" x14ac:dyDescent="0.35">
      <c r="B4" s="15">
        <v>11054</v>
      </c>
      <c r="C4" s="310" t="s">
        <v>9</v>
      </c>
      <c r="D4" s="9">
        <v>1</v>
      </c>
      <c r="E4" s="9">
        <v>0.5</v>
      </c>
      <c r="F4" s="9">
        <v>3</v>
      </c>
      <c r="G4" s="369"/>
      <c r="H4" s="11" t="s">
        <v>14</v>
      </c>
      <c r="I4" s="10" t="s">
        <v>15</v>
      </c>
      <c r="J4" s="40"/>
      <c r="K4" s="40"/>
      <c r="L4" s="40"/>
      <c r="M4" s="40"/>
      <c r="N4" s="40"/>
      <c r="O4" s="40"/>
    </row>
    <row r="5" spans="1:55" s="14" customFormat="1" ht="36" hidden="1" customHeight="1" x14ac:dyDescent="0.35">
      <c r="A5" s="14">
        <v>117</v>
      </c>
      <c r="B5" s="15">
        <v>12261</v>
      </c>
      <c r="C5" s="310" t="s">
        <v>16</v>
      </c>
      <c r="D5" s="9">
        <v>1</v>
      </c>
      <c r="E5" s="9"/>
      <c r="F5" s="308">
        <f>G5/35</f>
        <v>1.7142857142857142</v>
      </c>
      <c r="G5" s="369">
        <v>60</v>
      </c>
      <c r="H5" s="11" t="s">
        <v>17</v>
      </c>
      <c r="I5" s="10" t="s">
        <v>18</v>
      </c>
      <c r="J5" s="40"/>
      <c r="K5" s="40"/>
      <c r="L5" s="40"/>
      <c r="M5" s="40"/>
      <c r="N5" s="40"/>
      <c r="O5" s="40"/>
    </row>
    <row r="6" spans="1:55" ht="140.25" hidden="1" customHeight="1" x14ac:dyDescent="0.35">
      <c r="A6" s="132">
        <v>212</v>
      </c>
      <c r="B6" s="134">
        <v>21008</v>
      </c>
      <c r="C6" s="311" t="s">
        <v>19</v>
      </c>
      <c r="D6" s="134">
        <v>1</v>
      </c>
      <c r="E6" s="134"/>
      <c r="F6" s="186">
        <v>2</v>
      </c>
      <c r="G6" s="370">
        <v>71.529411760000002</v>
      </c>
      <c r="H6" s="134" t="s">
        <v>20</v>
      </c>
      <c r="I6" s="134" t="s">
        <v>21</v>
      </c>
      <c r="O6" s="41"/>
      <c r="Z6" s="41"/>
      <c r="AK6" s="41"/>
      <c r="AV6" s="41"/>
    </row>
    <row r="7" spans="1:55" ht="114.75" hidden="1" customHeight="1" x14ac:dyDescent="0.35">
      <c r="A7" s="132">
        <v>212</v>
      </c>
      <c r="B7" s="134">
        <v>21008</v>
      </c>
      <c r="C7" s="311" t="s">
        <v>19</v>
      </c>
      <c r="D7" s="134">
        <v>2</v>
      </c>
      <c r="E7" s="134"/>
      <c r="F7" s="134">
        <v>6</v>
      </c>
      <c r="G7" s="370">
        <v>211.3</v>
      </c>
      <c r="H7" s="134" t="s">
        <v>22</v>
      </c>
      <c r="I7" s="134" t="s">
        <v>23</v>
      </c>
      <c r="O7" s="41"/>
      <c r="Z7" s="41"/>
      <c r="AK7" s="41"/>
      <c r="AV7" s="41"/>
    </row>
    <row r="8" spans="1:55" ht="114.75" hidden="1" customHeight="1" x14ac:dyDescent="0.35">
      <c r="A8" s="132">
        <v>212</v>
      </c>
      <c r="B8" s="134">
        <v>21008</v>
      </c>
      <c r="C8" s="311" t="s">
        <v>19</v>
      </c>
      <c r="D8" s="134">
        <v>3</v>
      </c>
      <c r="E8" s="134"/>
      <c r="F8" s="186">
        <f>G8/35</f>
        <v>11.437142857142858</v>
      </c>
      <c r="G8" s="370">
        <f>G7+189</f>
        <v>400.3</v>
      </c>
      <c r="H8" s="134" t="s">
        <v>24</v>
      </c>
      <c r="I8" s="134" t="s">
        <v>25</v>
      </c>
      <c r="O8" s="41"/>
      <c r="Z8" s="41"/>
      <c r="AK8" s="41"/>
      <c r="AV8" s="41"/>
    </row>
    <row r="9" spans="1:55" s="21" customFormat="1" ht="15" hidden="1" customHeight="1" x14ac:dyDescent="0.35">
      <c r="A9" s="132">
        <v>210</v>
      </c>
      <c r="B9" s="134">
        <v>21052</v>
      </c>
      <c r="C9" s="311" t="s">
        <v>26</v>
      </c>
      <c r="D9" s="134">
        <v>1</v>
      </c>
      <c r="E9" s="134"/>
      <c r="F9" s="186">
        <v>2.7</v>
      </c>
      <c r="G9" s="370">
        <v>95</v>
      </c>
      <c r="H9" s="134" t="s">
        <v>27</v>
      </c>
      <c r="I9" s="134" t="s">
        <v>28</v>
      </c>
      <c r="J9" s="3"/>
      <c r="K9"/>
      <c r="L9"/>
      <c r="M9"/>
      <c r="N9"/>
      <c r="O9" s="41"/>
      <c r="P9"/>
      <c r="Q9"/>
      <c r="R9"/>
      <c r="S9"/>
      <c r="T9"/>
      <c r="U9"/>
      <c r="V9"/>
      <c r="W9"/>
      <c r="X9"/>
      <c r="Y9"/>
      <c r="Z9" s="41"/>
      <c r="AA9"/>
      <c r="AB9"/>
      <c r="AC9"/>
      <c r="AD9"/>
      <c r="AE9"/>
      <c r="AF9"/>
      <c r="AG9"/>
      <c r="AH9"/>
      <c r="AI9"/>
      <c r="AJ9"/>
      <c r="AK9" s="41"/>
      <c r="AL9"/>
      <c r="AM9"/>
      <c r="AN9"/>
      <c r="AO9"/>
      <c r="AP9"/>
      <c r="AQ9"/>
      <c r="AR9"/>
      <c r="AS9"/>
      <c r="AT9"/>
      <c r="AU9"/>
      <c r="AV9" s="41"/>
      <c r="AW9"/>
      <c r="AX9"/>
      <c r="AY9"/>
      <c r="AZ9"/>
      <c r="BA9"/>
      <c r="BB9"/>
      <c r="BC9"/>
    </row>
    <row r="10" spans="1:55" s="21" customFormat="1" ht="15" hidden="1" customHeight="1" x14ac:dyDescent="0.35">
      <c r="A10" s="132">
        <v>210</v>
      </c>
      <c r="B10" s="134">
        <v>21052</v>
      </c>
      <c r="C10" s="311" t="s">
        <v>26</v>
      </c>
      <c r="D10" s="134">
        <v>2</v>
      </c>
      <c r="E10" s="134"/>
      <c r="F10" s="186">
        <v>12.8</v>
      </c>
      <c r="G10" s="370">
        <f>352.105+G9</f>
        <v>447.10500000000002</v>
      </c>
      <c r="H10" s="134" t="s">
        <v>29</v>
      </c>
      <c r="I10" s="134" t="s">
        <v>30</v>
      </c>
      <c r="J10" s="3"/>
      <c r="K10"/>
      <c r="L10"/>
      <c r="M10"/>
      <c r="N10"/>
      <c r="O10" s="41"/>
      <c r="P10"/>
      <c r="Q10"/>
      <c r="R10"/>
      <c r="S10"/>
      <c r="T10"/>
      <c r="U10"/>
      <c r="V10"/>
      <c r="W10"/>
      <c r="X10"/>
      <c r="Y10"/>
      <c r="Z10" s="41"/>
      <c r="AA10"/>
      <c r="AB10"/>
      <c r="AC10"/>
      <c r="AD10"/>
      <c r="AE10"/>
      <c r="AF10"/>
      <c r="AG10"/>
      <c r="AH10"/>
      <c r="AI10"/>
      <c r="AJ10"/>
      <c r="AK10" s="41"/>
      <c r="AL10"/>
      <c r="AM10"/>
      <c r="AN10"/>
      <c r="AO10"/>
      <c r="AP10"/>
      <c r="AQ10"/>
      <c r="AR10"/>
      <c r="AS10"/>
      <c r="AT10"/>
      <c r="AU10"/>
      <c r="AV10" s="41"/>
      <c r="AW10"/>
      <c r="AX10"/>
      <c r="AY10"/>
      <c r="AZ10"/>
      <c r="BA10"/>
      <c r="BB10"/>
      <c r="BC10"/>
    </row>
    <row r="11" spans="1:55" s="21" customFormat="1" ht="15" hidden="1" customHeight="1" x14ac:dyDescent="0.35">
      <c r="A11" s="132">
        <v>210</v>
      </c>
      <c r="B11" s="134">
        <v>21052</v>
      </c>
      <c r="C11" s="311" t="s">
        <v>26</v>
      </c>
      <c r="D11" s="134">
        <v>3</v>
      </c>
      <c r="E11" s="134"/>
      <c r="F11" s="186">
        <v>22.3</v>
      </c>
      <c r="G11" s="370">
        <f>334.125+G10</f>
        <v>781.23</v>
      </c>
      <c r="H11" s="134" t="s">
        <v>31</v>
      </c>
      <c r="I11" s="218" t="s">
        <v>32</v>
      </c>
      <c r="J11" s="3"/>
      <c r="K11"/>
      <c r="L11"/>
      <c r="M11"/>
      <c r="N11"/>
      <c r="O11" s="41"/>
      <c r="P11"/>
      <c r="Q11"/>
      <c r="R11"/>
      <c r="S11"/>
      <c r="T11"/>
      <c r="U11"/>
      <c r="V11"/>
      <c r="W11"/>
      <c r="X11"/>
      <c r="Y11"/>
      <c r="Z11" s="41"/>
      <c r="AA11"/>
      <c r="AB11"/>
      <c r="AC11"/>
      <c r="AD11"/>
      <c r="AE11"/>
      <c r="AF11"/>
      <c r="AG11"/>
      <c r="AH11"/>
      <c r="AI11"/>
      <c r="AJ11"/>
      <c r="AK11" s="41"/>
      <c r="AL11"/>
      <c r="AM11"/>
      <c r="AN11"/>
      <c r="AO11"/>
      <c r="AP11"/>
      <c r="AQ11"/>
      <c r="AR11"/>
      <c r="AS11"/>
      <c r="AT11"/>
      <c r="AU11"/>
      <c r="AV11" s="41"/>
      <c r="AW11"/>
      <c r="AX11"/>
      <c r="AY11"/>
      <c r="AZ11"/>
      <c r="BA11"/>
      <c r="BB11"/>
      <c r="BC11"/>
    </row>
    <row r="12" spans="1:55" s="71" customFormat="1" ht="15" hidden="1" customHeight="1" x14ac:dyDescent="0.35">
      <c r="A12" s="132">
        <v>212</v>
      </c>
      <c r="B12" s="145">
        <v>21056</v>
      </c>
      <c r="C12" s="312" t="s">
        <v>33</v>
      </c>
      <c r="D12" s="175">
        <v>1</v>
      </c>
      <c r="E12" s="182"/>
      <c r="F12" s="192">
        <v>2</v>
      </c>
      <c r="G12" s="371">
        <v>71</v>
      </c>
      <c r="H12" s="203" t="s">
        <v>34</v>
      </c>
      <c r="I12" s="215" t="s">
        <v>35</v>
      </c>
      <c r="J12" s="221"/>
    </row>
    <row r="13" spans="1:55" s="71" customFormat="1" ht="15" hidden="1" customHeight="1" x14ac:dyDescent="0.35">
      <c r="A13" s="132">
        <v>212</v>
      </c>
      <c r="B13" s="154">
        <v>21056</v>
      </c>
      <c r="C13" s="313" t="s">
        <v>33</v>
      </c>
      <c r="D13" s="154">
        <v>2</v>
      </c>
      <c r="E13" s="185"/>
      <c r="F13" s="133">
        <v>11.5</v>
      </c>
      <c r="G13" s="372">
        <f>330.55+G12</f>
        <v>401.55</v>
      </c>
      <c r="H13" s="208" t="s">
        <v>36</v>
      </c>
      <c r="I13" s="132" t="s">
        <v>23</v>
      </c>
      <c r="J13" s="3"/>
    </row>
    <row r="14" spans="1:55" s="73" customFormat="1" ht="163.5" hidden="1" customHeight="1" x14ac:dyDescent="0.35">
      <c r="A14" s="1">
        <v>221</v>
      </c>
      <c r="B14" s="149">
        <v>21504</v>
      </c>
      <c r="C14" s="167" t="s">
        <v>37</v>
      </c>
      <c r="D14" s="177">
        <v>2</v>
      </c>
      <c r="E14" s="167"/>
      <c r="F14" s="194">
        <v>7.5</v>
      </c>
      <c r="G14" s="350">
        <v>263</v>
      </c>
      <c r="H14" s="205" t="s">
        <v>38</v>
      </c>
      <c r="I14" s="69" t="s">
        <v>39</v>
      </c>
      <c r="J14" s="222"/>
    </row>
    <row r="15" spans="1:55" s="71" customFormat="1" ht="15" hidden="1" customHeight="1" x14ac:dyDescent="0.35">
      <c r="A15" s="1">
        <v>221</v>
      </c>
      <c r="B15" s="149">
        <v>21504</v>
      </c>
      <c r="C15" s="167" t="s">
        <v>37</v>
      </c>
      <c r="D15" s="177">
        <v>1</v>
      </c>
      <c r="E15" s="167"/>
      <c r="F15" s="194">
        <v>5.3</v>
      </c>
      <c r="G15" s="350">
        <v>187.5</v>
      </c>
      <c r="H15" s="205" t="s">
        <v>40</v>
      </c>
      <c r="I15" s="217" t="s">
        <v>41</v>
      </c>
      <c r="J15"/>
    </row>
    <row r="16" spans="1:55" s="21" customFormat="1" ht="15" hidden="1" customHeight="1" x14ac:dyDescent="0.35">
      <c r="A16"/>
      <c r="B16" s="27">
        <v>21510</v>
      </c>
      <c r="C16" s="314" t="s">
        <v>42</v>
      </c>
      <c r="D16" s="30">
        <v>3</v>
      </c>
      <c r="E16" s="31"/>
      <c r="F16" s="31">
        <v>14.8</v>
      </c>
      <c r="G16" s="373">
        <v>518.6</v>
      </c>
      <c r="H16" s="197" t="s">
        <v>43</v>
      </c>
      <c r="I16" s="29" t="s">
        <v>44</v>
      </c>
      <c r="J16"/>
      <c r="K16"/>
      <c r="L16"/>
      <c r="M16"/>
      <c r="N16"/>
      <c r="O16" s="41"/>
      <c r="P16"/>
      <c r="Q16"/>
      <c r="R16"/>
      <c r="S16"/>
      <c r="T16"/>
      <c r="U16"/>
      <c r="V16"/>
      <c r="W16"/>
      <c r="X16"/>
      <c r="Y16"/>
      <c r="Z16" s="41"/>
      <c r="AA16"/>
      <c r="AB16"/>
      <c r="AC16"/>
      <c r="AD16"/>
      <c r="AE16"/>
      <c r="AF16"/>
      <c r="AG16"/>
      <c r="AH16"/>
      <c r="AI16"/>
      <c r="AJ16"/>
      <c r="AK16" s="41"/>
      <c r="AL16"/>
      <c r="AM16"/>
      <c r="AN16"/>
      <c r="AO16"/>
      <c r="AP16"/>
      <c r="AQ16"/>
      <c r="AR16"/>
      <c r="AS16"/>
      <c r="AT16"/>
      <c r="AU16"/>
      <c r="AV16" s="41"/>
      <c r="AW16"/>
      <c r="AX16"/>
      <c r="AY16"/>
      <c r="AZ16"/>
      <c r="BA16"/>
      <c r="BB16"/>
      <c r="BC16"/>
    </row>
    <row r="17" spans="1:55" s="21" customFormat="1" ht="15" hidden="1" customHeight="1" x14ac:dyDescent="0.35">
      <c r="A17"/>
      <c r="B17" s="27">
        <v>21510</v>
      </c>
      <c r="C17" s="314" t="s">
        <v>42</v>
      </c>
      <c r="D17" s="30">
        <v>2</v>
      </c>
      <c r="E17" s="31">
        <v>2</v>
      </c>
      <c r="F17" s="31">
        <v>8.1</v>
      </c>
      <c r="G17" s="373">
        <v>280.3</v>
      </c>
      <c r="H17" s="197" t="s">
        <v>45</v>
      </c>
      <c r="I17" s="29" t="s">
        <v>46</v>
      </c>
      <c r="J17"/>
      <c r="K17"/>
      <c r="L17"/>
      <c r="M17"/>
      <c r="N17"/>
      <c r="O17" s="41"/>
      <c r="P17"/>
      <c r="Q17"/>
      <c r="R17"/>
      <c r="S17"/>
      <c r="T17"/>
      <c r="U17"/>
      <c r="V17"/>
      <c r="W17"/>
      <c r="X17"/>
      <c r="Y17"/>
      <c r="Z17" s="41"/>
      <c r="AA17"/>
      <c r="AB17"/>
      <c r="AC17"/>
      <c r="AD17"/>
      <c r="AE17"/>
      <c r="AF17"/>
      <c r="AG17"/>
      <c r="AH17"/>
      <c r="AI17"/>
      <c r="AJ17"/>
      <c r="AK17" s="41"/>
      <c r="AL17"/>
      <c r="AM17"/>
      <c r="AN17"/>
      <c r="AO17"/>
      <c r="AP17"/>
      <c r="AQ17"/>
      <c r="AR17"/>
      <c r="AS17"/>
      <c r="AT17"/>
      <c r="AU17"/>
      <c r="AV17" s="41"/>
      <c r="AW17"/>
      <c r="AX17"/>
      <c r="AY17"/>
      <c r="AZ17"/>
      <c r="BA17"/>
      <c r="BB17"/>
      <c r="BC17"/>
    </row>
    <row r="18" spans="1:55" s="71" customFormat="1" ht="15" hidden="1" customHeight="1" x14ac:dyDescent="0.35">
      <c r="A18"/>
      <c r="B18" s="150">
        <v>21510</v>
      </c>
      <c r="C18" s="315" t="s">
        <v>42</v>
      </c>
      <c r="D18" s="29">
        <v>1</v>
      </c>
      <c r="E18" s="29">
        <v>2</v>
      </c>
      <c r="F18" s="29">
        <v>4.8</v>
      </c>
      <c r="G18" s="374">
        <v>168</v>
      </c>
      <c r="H18" s="32" t="s">
        <v>47</v>
      </c>
      <c r="I18" s="29" t="s">
        <v>48</v>
      </c>
      <c r="J18"/>
    </row>
    <row r="19" spans="1:55" s="65" customFormat="1" ht="58.5" hidden="1" customHeight="1" x14ac:dyDescent="0.35">
      <c r="A19" s="65">
        <v>221</v>
      </c>
      <c r="B19" s="266">
        <v>21519</v>
      </c>
      <c r="C19" s="267" t="s">
        <v>49</v>
      </c>
      <c r="D19" s="267">
        <v>1</v>
      </c>
      <c r="E19" s="267"/>
      <c r="F19" s="267">
        <f>G19/35</f>
        <v>5.6</v>
      </c>
      <c r="G19" s="351">
        <v>196</v>
      </c>
      <c r="H19" s="268" t="s">
        <v>50</v>
      </c>
      <c r="I19" s="267" t="s">
        <v>51</v>
      </c>
    </row>
    <row r="20" spans="1:55" s="65" customFormat="1" ht="132.75" hidden="1" customHeight="1" x14ac:dyDescent="0.35">
      <c r="A20" s="65">
        <v>221</v>
      </c>
      <c r="B20" s="266">
        <v>21519</v>
      </c>
      <c r="C20" s="267" t="s">
        <v>49</v>
      </c>
      <c r="D20" s="267">
        <v>2</v>
      </c>
      <c r="E20" s="267"/>
      <c r="F20" s="269">
        <f>G20/35</f>
        <v>8.8285714285714292</v>
      </c>
      <c r="G20" s="351">
        <v>309</v>
      </c>
      <c r="H20" s="268" t="s">
        <v>52</v>
      </c>
      <c r="I20" s="267" t="s">
        <v>53</v>
      </c>
    </row>
    <row r="21" spans="1:55" s="71" customFormat="1" ht="142.5" hidden="1" customHeight="1" x14ac:dyDescent="0.35">
      <c r="B21" s="144">
        <v>21528</v>
      </c>
      <c r="C21" s="77" t="s">
        <v>54</v>
      </c>
      <c r="D21" s="77">
        <v>2</v>
      </c>
      <c r="E21" s="77"/>
      <c r="F21" s="77">
        <v>8.6</v>
      </c>
      <c r="G21" s="352">
        <v>303.5</v>
      </c>
      <c r="H21" s="202" t="s">
        <v>55</v>
      </c>
      <c r="I21" s="214" t="s">
        <v>53</v>
      </c>
    </row>
    <row r="22" spans="1:55" s="21" customFormat="1" ht="66.75" hidden="1" customHeight="1" x14ac:dyDescent="0.35">
      <c r="A22" s="74"/>
      <c r="B22" s="156">
        <v>21528</v>
      </c>
      <c r="C22" s="75" t="s">
        <v>54</v>
      </c>
      <c r="D22" s="78">
        <v>1</v>
      </c>
      <c r="E22" s="79"/>
      <c r="F22" s="79">
        <v>5.6</v>
      </c>
      <c r="G22" s="353">
        <v>194</v>
      </c>
      <c r="H22" s="211" t="s">
        <v>56</v>
      </c>
      <c r="I22" s="213" t="s">
        <v>57</v>
      </c>
      <c r="J22" s="223"/>
      <c r="K22"/>
      <c r="L22"/>
      <c r="M22"/>
      <c r="N22"/>
      <c r="O22" s="41"/>
      <c r="P22"/>
      <c r="Q22"/>
      <c r="R22"/>
      <c r="S22"/>
      <c r="T22"/>
      <c r="U22"/>
      <c r="V22"/>
      <c r="W22"/>
      <c r="X22"/>
      <c r="Y22"/>
      <c r="Z22" s="41"/>
      <c r="AA22"/>
      <c r="AB22"/>
      <c r="AC22"/>
      <c r="AD22"/>
      <c r="AE22"/>
      <c r="AF22"/>
      <c r="AG22"/>
      <c r="AH22"/>
      <c r="AI22"/>
      <c r="AJ22"/>
      <c r="AK22" s="41"/>
      <c r="AL22"/>
      <c r="AM22"/>
      <c r="AN22"/>
      <c r="AO22"/>
      <c r="AP22"/>
      <c r="AQ22"/>
      <c r="AR22"/>
      <c r="AS22"/>
      <c r="AT22"/>
      <c r="AU22"/>
      <c r="AV22" s="41"/>
      <c r="AW22"/>
      <c r="AX22"/>
      <c r="AY22"/>
      <c r="AZ22"/>
      <c r="BA22"/>
      <c r="BB22"/>
      <c r="BC22"/>
    </row>
    <row r="23" spans="1:55" s="277" customFormat="1" ht="59.25" hidden="1" customHeight="1" x14ac:dyDescent="0.35">
      <c r="A23" s="124">
        <v>221</v>
      </c>
      <c r="B23" s="275">
        <v>21529</v>
      </c>
      <c r="C23" s="272" t="s">
        <v>58</v>
      </c>
      <c r="D23" s="273">
        <v>1</v>
      </c>
      <c r="E23" s="273"/>
      <c r="F23" s="274">
        <f>G23/35</f>
        <v>5.8571428571428568</v>
      </c>
      <c r="G23" s="111">
        <v>205</v>
      </c>
      <c r="H23" s="115" t="s">
        <v>59</v>
      </c>
      <c r="I23" s="276" t="s">
        <v>60</v>
      </c>
      <c r="J23" s="65"/>
      <c r="K23" s="65"/>
      <c r="L23" s="65"/>
      <c r="M23" s="65"/>
      <c r="N23" s="65"/>
      <c r="O23" s="65"/>
      <c r="P23" s="65"/>
      <c r="Q23" s="65"/>
      <c r="R23" s="65"/>
      <c r="S23" s="65"/>
      <c r="T23" s="65"/>
      <c r="U23" s="65"/>
      <c r="V23" s="65"/>
      <c r="W23" s="65"/>
      <c r="X23" s="65"/>
      <c r="Y23" s="65"/>
      <c r="Z23" s="65"/>
      <c r="AA23" s="65"/>
      <c r="AB23" s="65"/>
      <c r="AC23" s="65"/>
      <c r="AD23" s="65"/>
      <c r="AE23" s="65"/>
      <c r="AF23" s="65"/>
      <c r="AG23" s="65"/>
      <c r="AH23" s="65"/>
      <c r="AI23" s="65"/>
      <c r="AJ23" s="65"/>
      <c r="AK23" s="65"/>
      <c r="AL23" s="65"/>
      <c r="AM23" s="65"/>
      <c r="AN23" s="65"/>
      <c r="AO23" s="65"/>
      <c r="AP23" s="65"/>
      <c r="AQ23" s="65"/>
      <c r="AR23" s="65"/>
      <c r="AS23" s="65"/>
      <c r="AT23" s="65"/>
      <c r="AU23" s="65"/>
      <c r="AV23" s="65"/>
      <c r="AW23" s="65"/>
      <c r="AX23" s="65"/>
      <c r="AY23" s="65"/>
      <c r="AZ23" s="65"/>
      <c r="BA23" s="65"/>
      <c r="BB23" s="65"/>
      <c r="BC23" s="65"/>
    </row>
    <row r="24" spans="1:55" s="21" customFormat="1" ht="88.5" hidden="1" customHeight="1" x14ac:dyDescent="0.35">
      <c r="A24" s="74">
        <v>221</v>
      </c>
      <c r="B24" s="153">
        <v>21529</v>
      </c>
      <c r="C24" s="82" t="s">
        <v>58</v>
      </c>
      <c r="D24" s="270">
        <v>2</v>
      </c>
      <c r="E24" s="270"/>
      <c r="F24" s="271">
        <f>G24/35</f>
        <v>7.4857142857142858</v>
      </c>
      <c r="G24" s="49">
        <v>262</v>
      </c>
      <c r="H24" s="268" t="s">
        <v>61</v>
      </c>
      <c r="I24" s="267" t="s">
        <v>53</v>
      </c>
      <c r="J24" s="71"/>
      <c r="K24"/>
      <c r="L24"/>
      <c r="M24"/>
      <c r="N24"/>
      <c r="O24" s="41"/>
      <c r="P24"/>
      <c r="Q24"/>
      <c r="R24"/>
      <c r="S24"/>
      <c r="T24"/>
      <c r="U24"/>
      <c r="V24"/>
      <c r="W24"/>
      <c r="X24"/>
      <c r="Y24"/>
      <c r="Z24" s="41"/>
      <c r="AA24"/>
      <c r="AB24"/>
      <c r="AC24"/>
      <c r="AD24"/>
      <c r="AE24"/>
      <c r="AF24"/>
      <c r="AG24"/>
      <c r="AH24"/>
      <c r="AI24"/>
      <c r="AJ24"/>
      <c r="AK24" s="41"/>
      <c r="AL24"/>
      <c r="AM24"/>
      <c r="AN24"/>
      <c r="AO24"/>
      <c r="AP24"/>
      <c r="AQ24"/>
      <c r="AR24"/>
      <c r="AS24"/>
      <c r="AT24"/>
      <c r="AU24"/>
      <c r="AV24" s="41"/>
      <c r="AW24"/>
      <c r="AX24"/>
      <c r="AY24"/>
      <c r="AZ24"/>
      <c r="BA24"/>
      <c r="BB24"/>
      <c r="BC24"/>
    </row>
    <row r="25" spans="1:55" s="4" customFormat="1" ht="130.5" hidden="1" customHeight="1" x14ac:dyDescent="0.35">
      <c r="A25" s="74"/>
      <c r="B25" s="153">
        <v>21538</v>
      </c>
      <c r="C25" s="82" t="s">
        <v>62</v>
      </c>
      <c r="D25" s="80">
        <v>2</v>
      </c>
      <c r="E25" s="81"/>
      <c r="F25" s="285">
        <f>G25/35</f>
        <v>7.7714285714285714</v>
      </c>
      <c r="G25" s="354">
        <v>272</v>
      </c>
      <c r="H25" s="207" t="s">
        <v>63</v>
      </c>
      <c r="I25" s="219" t="s">
        <v>64</v>
      </c>
      <c r="J25" s="71"/>
      <c r="K25"/>
      <c r="L25"/>
      <c r="M25"/>
      <c r="N25"/>
      <c r="O25" s="41"/>
      <c r="P25"/>
      <c r="Q25"/>
      <c r="R25"/>
      <c r="S25"/>
      <c r="T25"/>
      <c r="U25"/>
      <c r="V25"/>
      <c r="W25"/>
      <c r="X25"/>
      <c r="Y25"/>
      <c r="Z25" s="41"/>
      <c r="AA25"/>
      <c r="AB25"/>
      <c r="AC25"/>
      <c r="AD25"/>
      <c r="AE25"/>
      <c r="AF25"/>
      <c r="AG25"/>
      <c r="AH25"/>
      <c r="AI25"/>
      <c r="AJ25"/>
      <c r="AK25" s="41"/>
      <c r="AL25"/>
      <c r="AM25"/>
      <c r="AN25"/>
      <c r="AO25"/>
      <c r="AP25"/>
      <c r="AQ25"/>
      <c r="AR25"/>
      <c r="AS25"/>
      <c r="AT25"/>
      <c r="AU25"/>
      <c r="AV25" s="41"/>
      <c r="AW25"/>
      <c r="AX25"/>
      <c r="AY25"/>
      <c r="AZ25"/>
      <c r="BA25"/>
      <c r="BB25"/>
      <c r="BC25"/>
    </row>
    <row r="26" spans="1:55" s="4" customFormat="1" ht="66" hidden="1" customHeight="1" x14ac:dyDescent="0.35">
      <c r="A26" s="74"/>
      <c r="B26" s="88">
        <v>21538</v>
      </c>
      <c r="C26" s="44" t="s">
        <v>62</v>
      </c>
      <c r="D26" s="44">
        <v>1</v>
      </c>
      <c r="E26" s="44"/>
      <c r="F26" s="284">
        <f>G26/35</f>
        <v>5.0285714285714285</v>
      </c>
      <c r="G26" s="49">
        <v>176</v>
      </c>
      <c r="H26" s="85" t="s">
        <v>65</v>
      </c>
      <c r="I26" s="88" t="s">
        <v>66</v>
      </c>
      <c r="J26" s="71"/>
      <c r="K26"/>
      <c r="L26"/>
      <c r="M26"/>
      <c r="N26"/>
      <c r="O26" s="41"/>
      <c r="P26"/>
      <c r="Q26"/>
      <c r="R26"/>
      <c r="S26"/>
      <c r="T26"/>
      <c r="U26"/>
      <c r="V26"/>
      <c r="W26"/>
      <c r="X26"/>
      <c r="Y26"/>
      <c r="Z26" s="41"/>
      <c r="AA26"/>
      <c r="AB26"/>
      <c r="AC26"/>
      <c r="AD26"/>
      <c r="AE26"/>
      <c r="AF26"/>
      <c r="AG26"/>
      <c r="AH26"/>
      <c r="AI26"/>
      <c r="AJ26"/>
      <c r="AK26" s="41"/>
      <c r="AL26"/>
      <c r="AM26"/>
      <c r="AN26"/>
      <c r="AO26"/>
      <c r="AP26"/>
      <c r="AQ26"/>
      <c r="AR26"/>
      <c r="AS26"/>
      <c r="AT26"/>
      <c r="AU26"/>
      <c r="AV26" s="41"/>
      <c r="AW26"/>
      <c r="AX26"/>
      <c r="AY26"/>
      <c r="AZ26"/>
      <c r="BA26"/>
      <c r="BB26"/>
      <c r="BC26"/>
    </row>
    <row r="27" spans="1:55" s="4" customFormat="1" ht="107.15" customHeight="1" x14ac:dyDescent="0.35">
      <c r="A27"/>
      <c r="B27" s="140">
        <v>21543</v>
      </c>
      <c r="C27" s="316" t="s">
        <v>67</v>
      </c>
      <c r="D27" s="12">
        <v>1</v>
      </c>
      <c r="E27" s="12"/>
      <c r="F27" s="229">
        <f>G27/35</f>
        <v>8.2657142857142869</v>
      </c>
      <c r="G27" s="375">
        <v>289.3</v>
      </c>
      <c r="H27" s="230" t="s">
        <v>68</v>
      </c>
      <c r="I27" s="32" t="s">
        <v>69</v>
      </c>
      <c r="J27"/>
      <c r="K27"/>
      <c r="L27"/>
      <c r="M27"/>
      <c r="N27"/>
      <c r="O27" s="41"/>
      <c r="P27"/>
      <c r="Q27"/>
      <c r="R27"/>
      <c r="S27"/>
      <c r="T27"/>
      <c r="U27"/>
      <c r="V27"/>
      <c r="W27"/>
      <c r="X27"/>
      <c r="Y27"/>
      <c r="Z27" s="41"/>
      <c r="AA27"/>
      <c r="AB27"/>
      <c r="AC27"/>
      <c r="AD27"/>
      <c r="AE27"/>
      <c r="AF27"/>
      <c r="AG27"/>
      <c r="AH27"/>
      <c r="AI27"/>
      <c r="AJ27"/>
      <c r="AK27" s="41"/>
      <c r="AL27"/>
      <c r="AM27"/>
      <c r="AN27"/>
      <c r="AO27"/>
      <c r="AP27"/>
      <c r="AQ27"/>
      <c r="AR27"/>
      <c r="AS27"/>
      <c r="AT27"/>
      <c r="AU27"/>
      <c r="AV27" s="41"/>
      <c r="AW27"/>
      <c r="AX27"/>
      <c r="AY27"/>
      <c r="AZ27"/>
      <c r="BA27"/>
      <c r="BB27"/>
      <c r="BC27"/>
    </row>
    <row r="28" spans="1:55" s="4" customFormat="1" ht="15" customHeight="1" x14ac:dyDescent="0.35">
      <c r="A28"/>
      <c r="B28" s="15">
        <v>21543</v>
      </c>
      <c r="C28" s="310" t="s">
        <v>67</v>
      </c>
      <c r="D28">
        <v>2</v>
      </c>
      <c r="E28">
        <v>2</v>
      </c>
      <c r="F28">
        <v>12.4</v>
      </c>
      <c r="G28" s="367">
        <v>434</v>
      </c>
      <c r="H28" s="10" t="s">
        <v>70</v>
      </c>
      <c r="I28" s="6" t="s">
        <v>69</v>
      </c>
      <c r="J28"/>
      <c r="K28"/>
      <c r="L28"/>
      <c r="M28"/>
      <c r="N28"/>
      <c r="O28" s="41"/>
      <c r="P28"/>
      <c r="Q28"/>
      <c r="R28"/>
      <c r="S28"/>
      <c r="T28"/>
      <c r="U28"/>
      <c r="V28"/>
      <c r="W28"/>
      <c r="X28"/>
      <c r="Y28"/>
      <c r="Z28" s="41"/>
      <c r="AA28"/>
      <c r="AB28"/>
      <c r="AC28"/>
      <c r="AD28"/>
      <c r="AE28"/>
      <c r="AF28"/>
      <c r="AG28"/>
      <c r="AH28"/>
      <c r="AI28"/>
      <c r="AJ28"/>
      <c r="AK28" s="41"/>
      <c r="AL28"/>
      <c r="AM28"/>
      <c r="AN28"/>
      <c r="AO28"/>
      <c r="AP28"/>
      <c r="AQ28"/>
      <c r="AR28"/>
      <c r="AS28"/>
      <c r="AT28"/>
      <c r="AU28"/>
      <c r="AV28" s="41"/>
      <c r="AW28"/>
      <c r="AX28"/>
      <c r="AY28"/>
      <c r="AZ28"/>
      <c r="BA28"/>
      <c r="BB28"/>
      <c r="BC28"/>
    </row>
    <row r="29" spans="1:55" s="4" customFormat="1" ht="15" customHeight="1" x14ac:dyDescent="0.35">
      <c r="A29"/>
      <c r="B29" s="15">
        <v>21543</v>
      </c>
      <c r="C29" s="310" t="s">
        <v>67</v>
      </c>
      <c r="D29" s="44">
        <v>3</v>
      </c>
      <c r="E29"/>
      <c r="F29" s="25">
        <v>16.671428571428571</v>
      </c>
      <c r="G29" s="367">
        <v>583.5</v>
      </c>
      <c r="H29" s="10" t="s">
        <v>71</v>
      </c>
      <c r="I29" s="6" t="s">
        <v>72</v>
      </c>
      <c r="J29"/>
      <c r="K29"/>
      <c r="L29"/>
      <c r="M29"/>
      <c r="N29"/>
      <c r="O29" s="41"/>
      <c r="P29"/>
      <c r="Q29"/>
      <c r="R29"/>
      <c r="S29"/>
      <c r="T29"/>
      <c r="U29"/>
      <c r="V29"/>
      <c r="W29"/>
      <c r="X29"/>
      <c r="Y29"/>
      <c r="Z29" s="41"/>
      <c r="AA29"/>
      <c r="AB29"/>
      <c r="AC29"/>
      <c r="AD29"/>
      <c r="AE29"/>
      <c r="AF29"/>
      <c r="AG29"/>
      <c r="AH29"/>
      <c r="AI29"/>
      <c r="AJ29"/>
      <c r="AK29" s="41"/>
      <c r="AL29"/>
      <c r="AM29"/>
      <c r="AN29"/>
      <c r="AO29"/>
      <c r="AP29"/>
      <c r="AQ29"/>
      <c r="AR29"/>
      <c r="AS29"/>
      <c r="AT29"/>
      <c r="AU29"/>
      <c r="AV29" s="41"/>
      <c r="AW29"/>
      <c r="AX29"/>
      <c r="AY29"/>
      <c r="AZ29"/>
      <c r="BA29"/>
      <c r="BB29"/>
      <c r="BC29"/>
    </row>
    <row r="30" spans="1:55" s="4" customFormat="1" ht="15" hidden="1" customHeight="1" x14ac:dyDescent="0.35">
      <c r="A30" s="71">
        <v>221</v>
      </c>
      <c r="B30" s="83">
        <v>21547</v>
      </c>
      <c r="C30" s="165" t="s">
        <v>73</v>
      </c>
      <c r="D30" s="44">
        <v>1</v>
      </c>
      <c r="E30" s="44">
        <v>0.5</v>
      </c>
      <c r="F30" s="44">
        <v>2</v>
      </c>
      <c r="G30" s="49">
        <v>70</v>
      </c>
      <c r="H30" s="85" t="s">
        <v>74</v>
      </c>
      <c r="I30" s="57" t="s">
        <v>75</v>
      </c>
      <c r="J30" s="71"/>
      <c r="K30"/>
      <c r="L30"/>
      <c r="M30"/>
      <c r="N30"/>
      <c r="O30" s="41"/>
      <c r="P30"/>
      <c r="Q30"/>
      <c r="R30"/>
      <c r="S30"/>
      <c r="T30"/>
      <c r="U30"/>
      <c r="V30"/>
      <c r="W30"/>
      <c r="X30"/>
      <c r="Y30"/>
      <c r="Z30" s="41"/>
      <c r="AA30"/>
      <c r="AB30"/>
      <c r="AC30"/>
      <c r="AD30"/>
      <c r="AE30"/>
      <c r="AF30"/>
      <c r="AG30"/>
      <c r="AH30"/>
      <c r="AI30"/>
      <c r="AJ30"/>
      <c r="AK30" s="41"/>
      <c r="AL30"/>
      <c r="AM30"/>
      <c r="AN30"/>
      <c r="AO30"/>
      <c r="AP30"/>
      <c r="AQ30"/>
      <c r="AR30"/>
      <c r="AS30"/>
      <c r="AT30"/>
      <c r="AU30"/>
      <c r="AV30" s="41"/>
      <c r="AW30"/>
      <c r="AX30"/>
      <c r="AY30"/>
      <c r="AZ30"/>
      <c r="BA30"/>
      <c r="BB30"/>
      <c r="BC30"/>
    </row>
    <row r="31" spans="1:55" ht="15" hidden="1" customHeight="1" x14ac:dyDescent="0.35">
      <c r="A31" s="71">
        <v>221</v>
      </c>
      <c r="B31" s="83">
        <v>21547</v>
      </c>
      <c r="C31" s="165" t="s">
        <v>73</v>
      </c>
      <c r="D31" s="44">
        <v>2</v>
      </c>
      <c r="E31" s="44"/>
      <c r="F31" s="44">
        <v>7</v>
      </c>
      <c r="G31" s="49">
        <v>245</v>
      </c>
      <c r="H31" s="85" t="s">
        <v>76</v>
      </c>
      <c r="I31" s="104" t="s">
        <v>77</v>
      </c>
      <c r="J31" s="71"/>
      <c r="O31" s="41"/>
      <c r="Z31" s="41"/>
      <c r="AK31" s="41"/>
      <c r="AV31" s="41"/>
    </row>
    <row r="32" spans="1:55" ht="15" hidden="1" customHeight="1" x14ac:dyDescent="0.35">
      <c r="A32" s="71">
        <v>221</v>
      </c>
      <c r="B32" s="83">
        <v>21547</v>
      </c>
      <c r="C32" s="165" t="s">
        <v>73</v>
      </c>
      <c r="D32" s="44">
        <v>3</v>
      </c>
      <c r="E32" s="44"/>
      <c r="F32" s="44"/>
      <c r="G32" s="49">
        <f>245+72.5</f>
        <v>317.5</v>
      </c>
      <c r="H32" s="85" t="s">
        <v>78</v>
      </c>
      <c r="I32" s="104" t="s">
        <v>79</v>
      </c>
      <c r="J32" s="71"/>
      <c r="O32" s="41"/>
      <c r="Z32" s="41"/>
      <c r="AK32" s="41"/>
      <c r="AV32" s="41"/>
    </row>
    <row r="33" spans="1:48" ht="74.25" hidden="1" customHeight="1" x14ac:dyDescent="0.35">
      <c r="B33" s="15">
        <v>21567</v>
      </c>
      <c r="C33" s="165" t="s">
        <v>80</v>
      </c>
      <c r="D33" s="44">
        <v>1</v>
      </c>
      <c r="E33" s="44"/>
      <c r="F33" s="45">
        <f>G33/35</f>
        <v>4.2857142857142856</v>
      </c>
      <c r="G33" s="49">
        <v>150</v>
      </c>
      <c r="H33" s="10" t="s">
        <v>81</v>
      </c>
      <c r="I33" s="69" t="s">
        <v>82</v>
      </c>
      <c r="J33" s="286" t="s">
        <v>83</v>
      </c>
      <c r="O33" s="41"/>
      <c r="Z33" s="41"/>
      <c r="AK33" s="41"/>
      <c r="AV33" s="41"/>
    </row>
    <row r="34" spans="1:48" ht="144" hidden="1" customHeight="1" x14ac:dyDescent="0.35">
      <c r="B34" s="15">
        <v>21567</v>
      </c>
      <c r="C34" s="165" t="s">
        <v>80</v>
      </c>
      <c r="D34" s="44">
        <v>2</v>
      </c>
      <c r="E34" s="44"/>
      <c r="F34" s="45">
        <f>G34/35</f>
        <v>8.2857142857142865</v>
      </c>
      <c r="G34" s="49">
        <v>290</v>
      </c>
      <c r="H34" s="10" t="s">
        <v>84</v>
      </c>
      <c r="I34" s="69" t="s">
        <v>85</v>
      </c>
      <c r="J34"/>
      <c r="O34" s="41"/>
      <c r="Z34" s="41"/>
      <c r="AK34" s="41"/>
      <c r="AV34" s="41"/>
    </row>
    <row r="35" spans="1:48" ht="15" hidden="1" customHeight="1" x14ac:dyDescent="0.35">
      <c r="A35">
        <v>221</v>
      </c>
      <c r="B35" s="15">
        <v>21572</v>
      </c>
      <c r="C35" s="44" t="s">
        <v>86</v>
      </c>
      <c r="D35" s="44">
        <v>1</v>
      </c>
      <c r="E35" s="44">
        <v>0.5</v>
      </c>
      <c r="F35" s="44">
        <v>2.2999999999999998</v>
      </c>
      <c r="G35" s="49">
        <v>80</v>
      </c>
      <c r="H35" s="6" t="s">
        <v>87</v>
      </c>
      <c r="I35" s="6" t="s">
        <v>88</v>
      </c>
      <c r="J35"/>
      <c r="O35" s="41"/>
      <c r="Z35" s="41"/>
      <c r="AK35" s="41"/>
      <c r="AV35" s="41"/>
    </row>
    <row r="36" spans="1:48" ht="37.5" hidden="1" customHeight="1" x14ac:dyDescent="0.35">
      <c r="A36">
        <v>221</v>
      </c>
      <c r="B36" s="15">
        <v>21572</v>
      </c>
      <c r="C36" s="44" t="s">
        <v>86</v>
      </c>
      <c r="D36" s="44">
        <v>2</v>
      </c>
      <c r="E36" s="44">
        <v>2</v>
      </c>
      <c r="F36" s="45">
        <f>G36/35</f>
        <v>9.3714285714285719</v>
      </c>
      <c r="G36" s="49">
        <f>G35+248</f>
        <v>328</v>
      </c>
      <c r="H36" s="24" t="s">
        <v>89</v>
      </c>
      <c r="I36" s="6" t="s">
        <v>90</v>
      </c>
      <c r="J36"/>
      <c r="O36" s="41"/>
      <c r="Z36" s="41"/>
      <c r="AK36" s="41"/>
      <c r="AV36" s="41"/>
    </row>
    <row r="37" spans="1:48" ht="192.75" hidden="1" customHeight="1" x14ac:dyDescent="0.35">
      <c r="A37">
        <v>221</v>
      </c>
      <c r="B37" s="83">
        <v>21572</v>
      </c>
      <c r="C37" s="44" t="s">
        <v>86</v>
      </c>
      <c r="D37" s="44">
        <v>3</v>
      </c>
      <c r="E37" s="44">
        <v>4.5</v>
      </c>
      <c r="F37" s="45">
        <f>G37/35</f>
        <v>14.085714285714285</v>
      </c>
      <c r="G37" s="49">
        <f>G36+165</f>
        <v>493</v>
      </c>
      <c r="H37" s="24" t="s">
        <v>91</v>
      </c>
      <c r="I37" s="24" t="s">
        <v>92</v>
      </c>
      <c r="J37"/>
      <c r="O37" s="41"/>
      <c r="Z37" s="41"/>
      <c r="AK37" s="41"/>
      <c r="AV37" s="41"/>
    </row>
    <row r="38" spans="1:48" s="65" customFormat="1" ht="88.5" hidden="1" customHeight="1" x14ac:dyDescent="0.35">
      <c r="A38" s="65">
        <v>221</v>
      </c>
      <c r="B38" s="64">
        <v>21578</v>
      </c>
      <c r="C38" s="65" t="s">
        <v>93</v>
      </c>
      <c r="D38" s="65">
        <v>1</v>
      </c>
      <c r="F38" s="66">
        <f>G38/35</f>
        <v>1.4285714285714286</v>
      </c>
      <c r="G38" s="111">
        <v>50</v>
      </c>
      <c r="H38" s="67" t="s">
        <v>94</v>
      </c>
      <c r="I38" s="67" t="s">
        <v>95</v>
      </c>
    </row>
    <row r="39" spans="1:48" ht="83.15" hidden="1" customHeight="1" x14ac:dyDescent="0.35">
      <c r="B39" s="35">
        <v>21581</v>
      </c>
      <c r="C39" s="317" t="s">
        <v>96</v>
      </c>
      <c r="D39" s="36">
        <v>2</v>
      </c>
      <c r="E39" s="36">
        <v>2</v>
      </c>
      <c r="F39" s="36">
        <v>4.5</v>
      </c>
      <c r="G39" s="376">
        <v>160</v>
      </c>
      <c r="H39" s="37" t="s">
        <v>97</v>
      </c>
      <c r="I39" s="37" t="s">
        <v>88</v>
      </c>
      <c r="J39"/>
      <c r="O39" s="41"/>
      <c r="Z39" s="41"/>
      <c r="AK39" s="41"/>
      <c r="AV39" s="41"/>
    </row>
    <row r="40" spans="1:48" s="65" customFormat="1" ht="83.15" hidden="1" customHeight="1" x14ac:dyDescent="0.35">
      <c r="A40" s="65">
        <v>221</v>
      </c>
      <c r="B40" s="64">
        <v>21589</v>
      </c>
      <c r="C40" s="65" t="s">
        <v>98</v>
      </c>
      <c r="D40" s="65">
        <v>1</v>
      </c>
      <c r="E40" s="66">
        <f>F40/4</f>
        <v>0.8928571428571429</v>
      </c>
      <c r="F40" s="66">
        <f>G40/35</f>
        <v>3.5714285714285716</v>
      </c>
      <c r="G40" s="111">
        <v>125</v>
      </c>
      <c r="H40" s="67" t="s">
        <v>99</v>
      </c>
      <c r="I40" s="67" t="s">
        <v>100</v>
      </c>
    </row>
    <row r="41" spans="1:48" s="65" customFormat="1" ht="83.15" hidden="1" customHeight="1" x14ac:dyDescent="0.35">
      <c r="A41" s="65">
        <v>221</v>
      </c>
      <c r="B41" s="64">
        <v>21589</v>
      </c>
      <c r="C41" s="65" t="s">
        <v>98</v>
      </c>
      <c r="D41" s="65">
        <v>2</v>
      </c>
      <c r="E41" s="66">
        <f>F41/4</f>
        <v>1.4857142857142858</v>
      </c>
      <c r="F41" s="66">
        <f>G41/35</f>
        <v>5.9428571428571431</v>
      </c>
      <c r="G41" s="111">
        <f>G40+83</f>
        <v>208</v>
      </c>
      <c r="H41" s="67" t="s">
        <v>101</v>
      </c>
      <c r="I41" s="67" t="s">
        <v>102</v>
      </c>
    </row>
    <row r="42" spans="1:48" ht="62.25" hidden="1" customHeight="1" x14ac:dyDescent="0.45">
      <c r="A42" s="87">
        <v>221</v>
      </c>
      <c r="B42" s="83">
        <v>21592</v>
      </c>
      <c r="C42" s="76" t="s">
        <v>103</v>
      </c>
      <c r="D42" s="88">
        <v>2</v>
      </c>
      <c r="E42" s="88"/>
      <c r="F42" s="89">
        <v>2</v>
      </c>
      <c r="G42" s="355">
        <v>70</v>
      </c>
      <c r="H42" s="90" t="s">
        <v>104</v>
      </c>
      <c r="I42" s="24" t="s">
        <v>105</v>
      </c>
      <c r="J42"/>
      <c r="O42" s="41"/>
      <c r="Z42" s="41"/>
      <c r="AK42" s="41"/>
      <c r="AV42" s="41"/>
    </row>
    <row r="43" spans="1:48" s="65" customFormat="1" ht="62.25" hidden="1" customHeight="1" x14ac:dyDescent="0.45">
      <c r="A43" s="238">
        <v>221</v>
      </c>
      <c r="B43" s="64">
        <v>21597</v>
      </c>
      <c r="C43" s="65" t="s">
        <v>106</v>
      </c>
      <c r="D43" s="65">
        <v>1</v>
      </c>
      <c r="F43" s="66">
        <f t="shared" ref="F43:F53" si="0">G43/35</f>
        <v>1.4285714285714286</v>
      </c>
      <c r="G43" s="111">
        <v>50</v>
      </c>
      <c r="H43" s="67" t="s">
        <v>94</v>
      </c>
      <c r="I43" s="67" t="s">
        <v>95</v>
      </c>
    </row>
    <row r="44" spans="1:48" s="65" customFormat="1" ht="62.25" hidden="1" customHeight="1" x14ac:dyDescent="0.45">
      <c r="A44" s="238">
        <v>221</v>
      </c>
      <c r="B44" s="64">
        <v>21598</v>
      </c>
      <c r="C44" s="65" t="s">
        <v>107</v>
      </c>
      <c r="D44" s="65">
        <v>1</v>
      </c>
      <c r="F44" s="66">
        <f t="shared" si="0"/>
        <v>5.7142857142857144</v>
      </c>
      <c r="G44" s="111">
        <v>200</v>
      </c>
      <c r="H44" s="11" t="s">
        <v>108</v>
      </c>
      <c r="I44" s="69" t="s">
        <v>109</v>
      </c>
    </row>
    <row r="45" spans="1:48" s="65" customFormat="1" ht="62.25" hidden="1" customHeight="1" x14ac:dyDescent="0.45">
      <c r="A45" s="238">
        <v>221</v>
      </c>
      <c r="B45" s="64">
        <v>21598</v>
      </c>
      <c r="C45" s="65" t="s">
        <v>107</v>
      </c>
      <c r="D45" s="65">
        <v>2</v>
      </c>
      <c r="F45" s="66">
        <f t="shared" si="0"/>
        <v>8.6285714285714281</v>
      </c>
      <c r="G45" s="111">
        <v>302</v>
      </c>
      <c r="H45" s="11" t="s">
        <v>110</v>
      </c>
      <c r="I45" s="69" t="s">
        <v>111</v>
      </c>
    </row>
    <row r="46" spans="1:48" ht="79.5" hidden="1" customHeight="1" x14ac:dyDescent="0.35">
      <c r="A46">
        <v>221</v>
      </c>
      <c r="B46" s="15">
        <v>21755</v>
      </c>
      <c r="C46" s="67" t="s">
        <v>112</v>
      </c>
      <c r="D46" s="65">
        <v>1</v>
      </c>
      <c r="E46" s="65"/>
      <c r="F46" s="66">
        <f t="shared" si="0"/>
        <v>5.7142857142857144</v>
      </c>
      <c r="G46" s="111">
        <v>200</v>
      </c>
      <c r="H46" s="11" t="s">
        <v>113</v>
      </c>
      <c r="I46" s="69" t="s">
        <v>109</v>
      </c>
      <c r="J46" s="283" t="s">
        <v>114</v>
      </c>
      <c r="O46" s="41"/>
      <c r="Z46" s="41"/>
      <c r="AK46" s="41"/>
      <c r="AV46" s="41"/>
    </row>
    <row r="47" spans="1:48" ht="134.25" hidden="1" customHeight="1" x14ac:dyDescent="0.35">
      <c r="A47">
        <v>221</v>
      </c>
      <c r="B47" s="15">
        <v>21755</v>
      </c>
      <c r="C47" s="67" t="s">
        <v>112</v>
      </c>
      <c r="D47" s="65">
        <v>2</v>
      </c>
      <c r="E47" s="65"/>
      <c r="F47" s="66">
        <f t="shared" si="0"/>
        <v>8.6285714285714281</v>
      </c>
      <c r="G47" s="111">
        <v>302</v>
      </c>
      <c r="H47" s="11" t="s">
        <v>115</v>
      </c>
      <c r="I47" s="69" t="s">
        <v>111</v>
      </c>
      <c r="J47" s="283" t="s">
        <v>116</v>
      </c>
      <c r="O47" s="41"/>
      <c r="Z47" s="41"/>
      <c r="AK47" s="41"/>
      <c r="AV47" s="41"/>
    </row>
    <row r="48" spans="1:48" hidden="1" x14ac:dyDescent="0.35">
      <c r="A48" s="6">
        <v>221</v>
      </c>
      <c r="B48" s="336">
        <v>21755</v>
      </c>
      <c r="C48" s="67" t="s">
        <v>112</v>
      </c>
      <c r="D48">
        <v>3</v>
      </c>
      <c r="F48" s="66">
        <f t="shared" si="0"/>
        <v>10.828571428571429</v>
      </c>
      <c r="G48" s="111">
        <f>G47+77</f>
        <v>379</v>
      </c>
      <c r="H48" t="s">
        <v>117</v>
      </c>
      <c r="I48" s="69" t="s">
        <v>118</v>
      </c>
      <c r="J48" s="337"/>
    </row>
    <row r="49" spans="1:48" ht="92.25" hidden="1" customHeight="1" x14ac:dyDescent="0.45">
      <c r="A49" s="238">
        <v>231</v>
      </c>
      <c r="B49" s="15">
        <v>22024</v>
      </c>
      <c r="C49" s="67" t="s">
        <v>119</v>
      </c>
      <c r="D49" s="65">
        <v>1</v>
      </c>
      <c r="E49" s="65"/>
      <c r="F49" s="66">
        <f t="shared" si="0"/>
        <v>4.7714285714285714</v>
      </c>
      <c r="G49" s="111">
        <v>167</v>
      </c>
      <c r="H49" s="11" t="s">
        <v>120</v>
      </c>
      <c r="I49" s="69" t="s">
        <v>121</v>
      </c>
      <c r="J49" s="283"/>
      <c r="O49" s="41"/>
      <c r="Z49" s="41"/>
      <c r="AK49" s="41"/>
      <c r="AV49" s="41"/>
    </row>
    <row r="50" spans="1:48" s="88" customFormat="1" ht="85.5" hidden="1" customHeight="1" x14ac:dyDescent="0.35">
      <c r="A50" s="88">
        <v>231</v>
      </c>
      <c r="B50" s="83">
        <v>22024</v>
      </c>
      <c r="C50" s="67" t="s">
        <v>119</v>
      </c>
      <c r="D50" s="65">
        <v>2</v>
      </c>
      <c r="E50" s="65"/>
      <c r="F50" s="66">
        <f t="shared" si="0"/>
        <v>6.8571428571428568</v>
      </c>
      <c r="G50" s="111">
        <v>240</v>
      </c>
      <c r="H50" s="24" t="s">
        <v>122</v>
      </c>
      <c r="I50" s="57" t="s">
        <v>123</v>
      </c>
      <c r="J50" s="307"/>
    </row>
    <row r="51" spans="1:48" s="88" customFormat="1" ht="67.5" hidden="1" customHeight="1" x14ac:dyDescent="0.35">
      <c r="A51" s="88">
        <v>231</v>
      </c>
      <c r="B51" s="83">
        <v>22062</v>
      </c>
      <c r="C51" s="235" t="s">
        <v>124</v>
      </c>
      <c r="D51" s="88">
        <v>1</v>
      </c>
      <c r="F51" s="231">
        <f t="shared" si="0"/>
        <v>3.8857142857142857</v>
      </c>
      <c r="G51" s="355">
        <v>136</v>
      </c>
      <c r="H51" s="24" t="s">
        <v>125</v>
      </c>
      <c r="I51" s="57" t="s">
        <v>121</v>
      </c>
      <c r="J51" s="307"/>
    </row>
    <row r="52" spans="1:48" s="88" customFormat="1" ht="91.5" hidden="1" customHeight="1" x14ac:dyDescent="0.35">
      <c r="A52" s="88">
        <v>231</v>
      </c>
      <c r="B52" s="83">
        <v>22062</v>
      </c>
      <c r="C52" s="235" t="s">
        <v>124</v>
      </c>
      <c r="D52" s="88">
        <v>2</v>
      </c>
      <c r="F52" s="231">
        <f t="shared" si="0"/>
        <v>5.6571428571428575</v>
      </c>
      <c r="G52" s="355">
        <v>198</v>
      </c>
      <c r="H52" s="24" t="s">
        <v>126</v>
      </c>
      <c r="I52" s="69" t="s">
        <v>123</v>
      </c>
      <c r="J52" s="307"/>
    </row>
    <row r="53" spans="1:48" ht="75.75" hidden="1" customHeight="1" x14ac:dyDescent="0.45">
      <c r="A53" s="238">
        <v>230</v>
      </c>
      <c r="B53" s="15">
        <v>22254</v>
      </c>
      <c r="C53" s="67" t="s">
        <v>127</v>
      </c>
      <c r="D53" s="65">
        <v>1</v>
      </c>
      <c r="E53" s="65"/>
      <c r="F53" s="66">
        <f t="shared" si="0"/>
        <v>2.657142857142857</v>
      </c>
      <c r="G53" s="111">
        <v>93</v>
      </c>
      <c r="H53" s="11" t="s">
        <v>128</v>
      </c>
      <c r="I53" s="69" t="s">
        <v>123</v>
      </c>
      <c r="J53" s="283"/>
      <c r="O53" s="41"/>
      <c r="Z53" s="41"/>
      <c r="AK53" s="41"/>
      <c r="AV53" s="41"/>
    </row>
    <row r="54" spans="1:48" ht="75.75" hidden="1" customHeight="1" x14ac:dyDescent="0.35">
      <c r="A54">
        <v>230</v>
      </c>
      <c r="B54" s="5">
        <v>22269</v>
      </c>
      <c r="C54" s="318" t="s">
        <v>129</v>
      </c>
      <c r="D54">
        <v>1</v>
      </c>
      <c r="F54">
        <v>11</v>
      </c>
      <c r="G54" s="367">
        <v>392</v>
      </c>
      <c r="H54" s="6" t="s">
        <v>130</v>
      </c>
      <c r="I54" s="6" t="s">
        <v>131</v>
      </c>
      <c r="O54" s="41"/>
      <c r="Z54" s="41"/>
      <c r="AK54" s="41"/>
      <c r="AV54" s="41"/>
    </row>
    <row r="55" spans="1:48" ht="41.25" hidden="1" customHeight="1" x14ac:dyDescent="0.35">
      <c r="A55">
        <v>230</v>
      </c>
      <c r="B55" s="5">
        <v>22269</v>
      </c>
      <c r="C55" s="318" t="s">
        <v>129</v>
      </c>
      <c r="D55">
        <v>2</v>
      </c>
      <c r="F55">
        <v>17</v>
      </c>
      <c r="G55" s="367">
        <v>592</v>
      </c>
      <c r="H55" s="6" t="s">
        <v>132</v>
      </c>
      <c r="I55" s="6" t="s">
        <v>133</v>
      </c>
      <c r="O55" s="41"/>
      <c r="Z55" s="41"/>
      <c r="AK55" s="41"/>
      <c r="AV55" s="41"/>
    </row>
    <row r="56" spans="1:48" ht="95.25" hidden="1" customHeight="1" x14ac:dyDescent="0.35">
      <c r="A56">
        <v>230</v>
      </c>
      <c r="B56" s="5">
        <v>22269</v>
      </c>
      <c r="C56" s="318" t="s">
        <v>129</v>
      </c>
      <c r="D56">
        <v>3</v>
      </c>
      <c r="F56">
        <v>28</v>
      </c>
      <c r="G56" s="367">
        <v>990</v>
      </c>
      <c r="H56" s="6" t="s">
        <v>134</v>
      </c>
      <c r="I56" s="6" t="s">
        <v>135</v>
      </c>
      <c r="O56" s="41"/>
      <c r="Z56" s="41"/>
      <c r="AK56" s="41"/>
      <c r="AV56" s="41"/>
    </row>
    <row r="57" spans="1:48" ht="95.25" hidden="1" customHeight="1" x14ac:dyDescent="0.35">
      <c r="A57">
        <v>227</v>
      </c>
      <c r="B57" s="5">
        <v>22654</v>
      </c>
      <c r="C57" s="318" t="s">
        <v>136</v>
      </c>
      <c r="D57">
        <v>1</v>
      </c>
      <c r="F57">
        <v>10.7</v>
      </c>
      <c r="G57" s="367">
        <v>375</v>
      </c>
      <c r="H57" s="6" t="s">
        <v>137</v>
      </c>
      <c r="I57" s="6" t="s">
        <v>138</v>
      </c>
      <c r="O57" s="41"/>
      <c r="Z57" s="41"/>
      <c r="AK57" s="41"/>
      <c r="AV57" s="41"/>
    </row>
    <row r="58" spans="1:48" ht="112.5" hidden="1" customHeight="1" x14ac:dyDescent="0.35">
      <c r="A58">
        <v>227</v>
      </c>
      <c r="B58" s="5">
        <v>22654</v>
      </c>
      <c r="C58" s="318" t="s">
        <v>136</v>
      </c>
      <c r="D58">
        <v>2</v>
      </c>
      <c r="F58" s="25">
        <f>G58/35</f>
        <v>16.600000000000001</v>
      </c>
      <c r="G58" s="367">
        <v>581</v>
      </c>
      <c r="H58" s="6" t="s">
        <v>139</v>
      </c>
      <c r="I58" s="6" t="s">
        <v>140</v>
      </c>
      <c r="O58" s="41"/>
      <c r="Z58" s="41"/>
      <c r="AK58" s="41"/>
      <c r="AV58" s="41"/>
    </row>
    <row r="59" spans="1:48" ht="112.5" hidden="1" customHeight="1" x14ac:dyDescent="0.35">
      <c r="A59">
        <v>254</v>
      </c>
      <c r="B59" s="5">
        <v>23086</v>
      </c>
      <c r="C59" s="318" t="s">
        <v>141</v>
      </c>
      <c r="D59">
        <v>1</v>
      </c>
      <c r="F59" s="25">
        <f>G59/35</f>
        <v>2.2857142857142856</v>
      </c>
      <c r="G59" s="367">
        <v>80</v>
      </c>
      <c r="H59" s="6" t="s">
        <v>142</v>
      </c>
      <c r="I59" s="6" t="s">
        <v>143</v>
      </c>
      <c r="O59" s="41"/>
      <c r="Z59" s="41"/>
      <c r="AK59" s="41"/>
      <c r="AV59" s="41"/>
    </row>
    <row r="60" spans="1:48" ht="112.5" hidden="1" customHeight="1" x14ac:dyDescent="0.35">
      <c r="A60">
        <v>254</v>
      </c>
      <c r="B60" s="5">
        <v>23086</v>
      </c>
      <c r="C60" s="318" t="s">
        <v>141</v>
      </c>
      <c r="D60">
        <v>2</v>
      </c>
      <c r="F60" s="25">
        <f>G60/35</f>
        <v>3.4</v>
      </c>
      <c r="G60" s="367">
        <v>119</v>
      </c>
      <c r="H60" s="6" t="s">
        <v>144</v>
      </c>
      <c r="I60" s="6" t="s">
        <v>145</v>
      </c>
      <c r="O60" s="41"/>
      <c r="Z60" s="41"/>
      <c r="AK60" s="41"/>
      <c r="AV60" s="41"/>
    </row>
    <row r="61" spans="1:48" ht="95.25" hidden="1" customHeight="1" x14ac:dyDescent="0.35">
      <c r="A61">
        <v>115</v>
      </c>
      <c r="B61" s="5">
        <v>23594</v>
      </c>
      <c r="C61" s="318" t="s">
        <v>146</v>
      </c>
      <c r="D61">
        <v>1</v>
      </c>
      <c r="F61">
        <v>4.3</v>
      </c>
      <c r="G61" s="367">
        <v>150</v>
      </c>
      <c r="H61" s="6" t="s">
        <v>147</v>
      </c>
      <c r="I61" s="6" t="s">
        <v>143</v>
      </c>
      <c r="O61" s="41"/>
      <c r="Z61" s="41"/>
      <c r="AK61" s="41"/>
      <c r="AV61" s="41"/>
    </row>
    <row r="62" spans="1:48" ht="95.25" hidden="1" customHeight="1" x14ac:dyDescent="0.35">
      <c r="A62">
        <v>115</v>
      </c>
      <c r="B62" s="5">
        <v>23594</v>
      </c>
      <c r="C62" s="318" t="s">
        <v>146</v>
      </c>
      <c r="D62">
        <v>2</v>
      </c>
      <c r="F62">
        <v>5.6</v>
      </c>
      <c r="G62" s="367">
        <v>196</v>
      </c>
      <c r="H62" s="6" t="s">
        <v>148</v>
      </c>
      <c r="I62" s="6" t="s">
        <v>145</v>
      </c>
      <c r="O62" s="41"/>
      <c r="Z62" s="41"/>
      <c r="AK62" s="41"/>
      <c r="AV62" s="41"/>
    </row>
    <row r="63" spans="1:48" ht="95.25" hidden="1" customHeight="1" x14ac:dyDescent="0.35">
      <c r="A63">
        <v>115</v>
      </c>
      <c r="B63" s="5">
        <v>23594</v>
      </c>
      <c r="C63" s="318" t="s">
        <v>146</v>
      </c>
      <c r="D63">
        <v>3</v>
      </c>
      <c r="F63" s="25">
        <f t="shared" ref="F63:F69" si="1">G63/35</f>
        <v>11.885714285714286</v>
      </c>
      <c r="G63" s="367">
        <v>416</v>
      </c>
      <c r="H63" s="6" t="s">
        <v>149</v>
      </c>
      <c r="I63" s="6" t="s">
        <v>150</v>
      </c>
      <c r="O63" s="41"/>
      <c r="Z63" s="41"/>
      <c r="AK63" s="41"/>
      <c r="AV63" s="41"/>
    </row>
    <row r="64" spans="1:48" ht="95.25" hidden="1" customHeight="1" x14ac:dyDescent="0.35">
      <c r="A64">
        <v>253</v>
      </c>
      <c r="B64" s="5">
        <v>23613</v>
      </c>
      <c r="C64" s="318" t="s">
        <v>151</v>
      </c>
      <c r="D64">
        <v>1</v>
      </c>
      <c r="F64" s="25">
        <f t="shared" si="1"/>
        <v>4.5714285714285712</v>
      </c>
      <c r="G64" s="367">
        <v>160</v>
      </c>
      <c r="H64" s="6" t="s">
        <v>152</v>
      </c>
      <c r="I64" s="6" t="s">
        <v>143</v>
      </c>
      <c r="O64" s="41"/>
      <c r="Z64" s="41"/>
      <c r="AK64" s="41"/>
      <c r="AV64" s="41"/>
    </row>
    <row r="65" spans="1:55" ht="95.25" hidden="1" customHeight="1" x14ac:dyDescent="0.35">
      <c r="A65">
        <v>253</v>
      </c>
      <c r="B65" s="5">
        <v>23613</v>
      </c>
      <c r="C65" s="318" t="s">
        <v>151</v>
      </c>
      <c r="D65">
        <v>2</v>
      </c>
      <c r="F65" s="5">
        <f t="shared" si="1"/>
        <v>6.5714285714285712</v>
      </c>
      <c r="G65" s="367">
        <v>230</v>
      </c>
      <c r="H65" s="6" t="s">
        <v>153</v>
      </c>
      <c r="I65" s="6" t="s">
        <v>145</v>
      </c>
      <c r="O65" s="41"/>
      <c r="Z65" s="41"/>
      <c r="AK65" s="41"/>
      <c r="AV65" s="41"/>
    </row>
    <row r="66" spans="1:55" ht="95.25" hidden="1" customHeight="1" x14ac:dyDescent="0.35">
      <c r="A66">
        <v>253</v>
      </c>
      <c r="B66" s="5">
        <v>23613</v>
      </c>
      <c r="C66" s="318" t="s">
        <v>151</v>
      </c>
      <c r="D66">
        <v>3</v>
      </c>
      <c r="F66" s="5">
        <f t="shared" si="1"/>
        <v>12.457142857142857</v>
      </c>
      <c r="G66" s="367">
        <v>436</v>
      </c>
      <c r="H66" s="6" t="s">
        <v>154</v>
      </c>
      <c r="I66" s="6" t="s">
        <v>150</v>
      </c>
      <c r="O66" s="41"/>
      <c r="Z66" s="41"/>
      <c r="AK66" s="41"/>
      <c r="AV66" s="41"/>
    </row>
    <row r="67" spans="1:55" ht="75" hidden="1" customHeight="1" x14ac:dyDescent="0.35">
      <c r="A67">
        <v>251</v>
      </c>
      <c r="B67" s="83">
        <v>23684</v>
      </c>
      <c r="C67" s="44" t="s">
        <v>155</v>
      </c>
      <c r="D67" s="44">
        <v>1</v>
      </c>
      <c r="E67" s="44">
        <v>0.8</v>
      </c>
      <c r="F67" s="45">
        <f t="shared" si="1"/>
        <v>4.1171428571428565</v>
      </c>
      <c r="G67" s="49">
        <v>144.1</v>
      </c>
      <c r="H67" s="24" t="s">
        <v>156</v>
      </c>
      <c r="I67" s="85" t="s">
        <v>157</v>
      </c>
      <c r="J67"/>
      <c r="O67" s="41"/>
      <c r="Z67" s="41"/>
      <c r="AK67" s="41"/>
      <c r="AV67" s="41"/>
    </row>
    <row r="68" spans="1:55" ht="115.5" hidden="1" customHeight="1" x14ac:dyDescent="0.35">
      <c r="B68" s="15">
        <v>23684</v>
      </c>
      <c r="C68" s="310" t="s">
        <v>155</v>
      </c>
      <c r="D68">
        <v>2</v>
      </c>
      <c r="F68" s="45">
        <f t="shared" si="1"/>
        <v>10.117142857142857</v>
      </c>
      <c r="G68" s="49">
        <v>354.1</v>
      </c>
      <c r="H68" s="68" t="s">
        <v>158</v>
      </c>
      <c r="I68" s="6" t="s">
        <v>159</v>
      </c>
      <c r="J68"/>
      <c r="O68" s="41"/>
      <c r="Z68" s="41"/>
      <c r="AK68" s="41"/>
      <c r="AV68" s="41"/>
    </row>
    <row r="69" spans="1:55" ht="79.5" hidden="1" customHeight="1" x14ac:dyDescent="0.35">
      <c r="B69" s="15">
        <v>23684</v>
      </c>
      <c r="C69" s="310" t="s">
        <v>155</v>
      </c>
      <c r="D69">
        <v>3</v>
      </c>
      <c r="F69" s="45">
        <f t="shared" si="1"/>
        <v>17.602857142857143</v>
      </c>
      <c r="G69" s="49">
        <f>G68+262</f>
        <v>616.1</v>
      </c>
      <c r="H69" s="68" t="s">
        <v>160</v>
      </c>
      <c r="I69" s="6" t="s">
        <v>161</v>
      </c>
      <c r="J69"/>
      <c r="O69" s="41"/>
      <c r="Z69" s="41"/>
      <c r="AK69" s="41"/>
      <c r="AV69" s="41"/>
    </row>
    <row r="70" spans="1:55" ht="80.25" hidden="1" customHeight="1" x14ac:dyDescent="0.45">
      <c r="A70">
        <v>255</v>
      </c>
      <c r="B70" s="86">
        <v>24052</v>
      </c>
      <c r="C70" s="310" t="s">
        <v>162</v>
      </c>
      <c r="D70">
        <v>1</v>
      </c>
      <c r="F70" s="45">
        <v>4</v>
      </c>
      <c r="G70" s="49">
        <v>140</v>
      </c>
      <c r="H70" s="68" t="s">
        <v>163</v>
      </c>
      <c r="I70" s="6" t="s">
        <v>164</v>
      </c>
      <c r="J70"/>
      <c r="O70" s="41"/>
      <c r="Z70" s="41"/>
      <c r="AK70" s="41"/>
      <c r="AV70" s="41"/>
    </row>
    <row r="71" spans="1:55" ht="80.25" hidden="1" customHeight="1" x14ac:dyDescent="0.45">
      <c r="A71">
        <v>255</v>
      </c>
      <c r="B71" s="86">
        <v>24052</v>
      </c>
      <c r="C71" s="310" t="s">
        <v>162</v>
      </c>
      <c r="D71">
        <v>2</v>
      </c>
      <c r="F71" s="45">
        <v>11</v>
      </c>
      <c r="G71" s="49">
        <v>384</v>
      </c>
      <c r="H71" s="68" t="s">
        <v>165</v>
      </c>
      <c r="I71" s="6" t="s">
        <v>166</v>
      </c>
      <c r="J71"/>
      <c r="O71" s="41"/>
      <c r="Z71" s="41"/>
      <c r="AK71" s="41"/>
      <c r="AV71" s="41"/>
    </row>
    <row r="72" spans="1:55" ht="15" hidden="1" customHeight="1" x14ac:dyDescent="0.45">
      <c r="A72">
        <v>255</v>
      </c>
      <c r="B72" s="86">
        <v>24052</v>
      </c>
      <c r="C72" s="310" t="s">
        <v>162</v>
      </c>
      <c r="D72">
        <v>3</v>
      </c>
      <c r="F72" s="45">
        <f>G72/35</f>
        <v>18.457142857142856</v>
      </c>
      <c r="G72" s="49">
        <f>G71+262</f>
        <v>646</v>
      </c>
      <c r="H72" s="68" t="s">
        <v>167</v>
      </c>
      <c r="I72" s="6" t="s">
        <v>168</v>
      </c>
      <c r="J72"/>
      <c r="O72" s="41"/>
      <c r="Z72" s="41"/>
      <c r="AK72" s="41"/>
      <c r="AV72" s="41"/>
    </row>
    <row r="73" spans="1:55" s="4" customFormat="1" ht="15" hidden="1" customHeight="1" x14ac:dyDescent="0.35">
      <c r="A73">
        <v>255</v>
      </c>
      <c r="B73" s="15">
        <v>24054</v>
      </c>
      <c r="C73" s="310" t="s">
        <v>169</v>
      </c>
      <c r="D73">
        <v>1</v>
      </c>
      <c r="E73"/>
      <c r="F73" s="45">
        <v>4</v>
      </c>
      <c r="G73" s="49">
        <v>140</v>
      </c>
      <c r="H73" s="68" t="s">
        <v>170</v>
      </c>
      <c r="I73" s="6" t="s">
        <v>164</v>
      </c>
      <c r="J73"/>
      <c r="K73"/>
      <c r="L73"/>
      <c r="M73"/>
      <c r="N73"/>
      <c r="O73" s="41"/>
      <c r="P73"/>
      <c r="Q73"/>
      <c r="R73"/>
      <c r="S73"/>
      <c r="T73"/>
      <c r="U73"/>
      <c r="V73"/>
      <c r="W73"/>
      <c r="X73"/>
      <c r="Y73"/>
      <c r="Z73" s="41"/>
      <c r="AA73"/>
      <c r="AB73"/>
      <c r="AC73"/>
      <c r="AD73"/>
      <c r="AE73"/>
      <c r="AF73"/>
      <c r="AG73"/>
      <c r="AH73"/>
      <c r="AI73"/>
      <c r="AJ73"/>
      <c r="AK73" s="41"/>
      <c r="AL73"/>
      <c r="AM73"/>
      <c r="AN73"/>
      <c r="AO73"/>
      <c r="AP73"/>
      <c r="AQ73"/>
      <c r="AR73"/>
      <c r="AS73"/>
      <c r="AT73"/>
      <c r="AU73"/>
      <c r="AV73" s="41"/>
      <c r="AW73"/>
      <c r="AX73"/>
      <c r="AY73"/>
      <c r="AZ73"/>
      <c r="BA73"/>
      <c r="BB73"/>
      <c r="BC73"/>
    </row>
    <row r="74" spans="1:55" s="4" customFormat="1" ht="15" hidden="1" customHeight="1" x14ac:dyDescent="0.45">
      <c r="A74">
        <v>255</v>
      </c>
      <c r="B74" s="86">
        <v>24054</v>
      </c>
      <c r="C74" s="310" t="s">
        <v>169</v>
      </c>
      <c r="D74">
        <v>2</v>
      </c>
      <c r="E74"/>
      <c r="F74" s="45">
        <v>10.1</v>
      </c>
      <c r="G74" s="49">
        <v>354.1</v>
      </c>
      <c r="H74" s="68" t="s">
        <v>171</v>
      </c>
      <c r="I74" s="6" t="s">
        <v>172</v>
      </c>
      <c r="J74"/>
      <c r="K74"/>
      <c r="L74"/>
      <c r="M74"/>
      <c r="N74"/>
      <c r="O74" s="41"/>
      <c r="P74"/>
      <c r="Q74"/>
      <c r="R74"/>
      <c r="S74"/>
      <c r="T74"/>
      <c r="U74"/>
      <c r="V74"/>
      <c r="W74"/>
      <c r="X74"/>
      <c r="Y74"/>
      <c r="Z74" s="41"/>
      <c r="AA74"/>
      <c r="AB74"/>
      <c r="AC74"/>
      <c r="AD74"/>
      <c r="AE74"/>
      <c r="AF74"/>
      <c r="AG74"/>
      <c r="AH74"/>
      <c r="AI74"/>
      <c r="AJ74"/>
      <c r="AK74" s="41"/>
      <c r="AL74"/>
      <c r="AM74"/>
      <c r="AN74"/>
      <c r="AO74"/>
      <c r="AP74"/>
      <c r="AQ74"/>
      <c r="AR74"/>
      <c r="AS74"/>
      <c r="AT74"/>
      <c r="AU74"/>
      <c r="AV74" s="41"/>
      <c r="AW74"/>
      <c r="AX74"/>
      <c r="AY74"/>
      <c r="AZ74"/>
      <c r="BA74"/>
      <c r="BB74"/>
      <c r="BC74"/>
    </row>
    <row r="75" spans="1:55" s="4" customFormat="1" ht="15" hidden="1" customHeight="1" x14ac:dyDescent="0.45">
      <c r="A75">
        <v>255</v>
      </c>
      <c r="B75" s="86">
        <v>24054</v>
      </c>
      <c r="C75" s="310" t="s">
        <v>169</v>
      </c>
      <c r="D75">
        <v>3</v>
      </c>
      <c r="E75"/>
      <c r="F75" s="45">
        <f>G75/35</f>
        <v>17.602857142857143</v>
      </c>
      <c r="G75" s="49">
        <f>G74+262</f>
        <v>616.1</v>
      </c>
      <c r="H75" s="68" t="s">
        <v>173</v>
      </c>
      <c r="I75" s="6" t="s">
        <v>168</v>
      </c>
      <c r="J75"/>
      <c r="K75"/>
      <c r="L75"/>
      <c r="M75"/>
      <c r="N75"/>
      <c r="O75" s="41"/>
      <c r="P75"/>
      <c r="Q75"/>
      <c r="R75"/>
      <c r="S75"/>
      <c r="T75"/>
      <c r="U75"/>
      <c r="V75"/>
      <c r="W75"/>
      <c r="X75"/>
      <c r="Y75"/>
      <c r="Z75" s="41"/>
      <c r="AA75"/>
      <c r="AB75"/>
      <c r="AC75"/>
      <c r="AD75"/>
      <c r="AE75"/>
      <c r="AF75"/>
      <c r="AG75"/>
      <c r="AH75"/>
      <c r="AI75"/>
      <c r="AJ75"/>
      <c r="AK75" s="41"/>
      <c r="AL75"/>
      <c r="AM75"/>
      <c r="AN75"/>
      <c r="AO75"/>
      <c r="AP75"/>
      <c r="AQ75"/>
      <c r="AR75"/>
      <c r="AS75"/>
      <c r="AT75"/>
      <c r="AU75"/>
      <c r="AV75" s="41"/>
      <c r="AW75"/>
      <c r="AX75"/>
      <c r="AY75"/>
      <c r="AZ75"/>
      <c r="BA75"/>
      <c r="BB75"/>
      <c r="BC75"/>
    </row>
    <row r="76" spans="1:55" s="4" customFormat="1" ht="59.25" hidden="1" customHeight="1" x14ac:dyDescent="0.35">
      <c r="A76" s="132">
        <v>227</v>
      </c>
      <c r="B76" s="132">
        <v>24129</v>
      </c>
      <c r="C76" s="319" t="s">
        <v>174</v>
      </c>
      <c r="D76" s="132">
        <v>1</v>
      </c>
      <c r="E76" s="132"/>
      <c r="F76" s="132">
        <v>0.95</v>
      </c>
      <c r="G76" s="377">
        <v>33.25</v>
      </c>
      <c r="H76" s="132" t="s">
        <v>175</v>
      </c>
      <c r="I76" s="132" t="s">
        <v>176</v>
      </c>
      <c r="J76" s="3"/>
      <c r="K76"/>
      <c r="L76"/>
      <c r="M76"/>
      <c r="N76"/>
      <c r="O76" s="41"/>
      <c r="P76"/>
      <c r="Q76"/>
      <c r="R76"/>
      <c r="S76"/>
      <c r="T76"/>
      <c r="U76"/>
      <c r="V76"/>
      <c r="W76"/>
      <c r="X76"/>
      <c r="Y76"/>
      <c r="Z76" s="41"/>
      <c r="AA76"/>
      <c r="AB76"/>
      <c r="AC76"/>
      <c r="AD76"/>
      <c r="AE76"/>
      <c r="AF76"/>
      <c r="AG76"/>
      <c r="AH76"/>
      <c r="AI76"/>
      <c r="AJ76"/>
      <c r="AK76" s="41"/>
      <c r="AL76"/>
      <c r="AM76"/>
      <c r="AN76"/>
      <c r="AO76"/>
      <c r="AP76"/>
      <c r="AQ76"/>
      <c r="AR76"/>
      <c r="AS76"/>
      <c r="AT76"/>
      <c r="AU76"/>
      <c r="AV76" s="41"/>
      <c r="AW76"/>
      <c r="AX76"/>
      <c r="AY76"/>
      <c r="AZ76"/>
      <c r="BA76"/>
      <c r="BB76"/>
      <c r="BC76"/>
    </row>
    <row r="77" spans="1:55" s="4" customFormat="1" ht="110.15" hidden="1" customHeight="1" x14ac:dyDescent="0.35">
      <c r="A77" s="132">
        <v>227</v>
      </c>
      <c r="B77" s="132">
        <v>24129</v>
      </c>
      <c r="C77" s="319" t="s">
        <v>174</v>
      </c>
      <c r="D77" s="132">
        <v>2</v>
      </c>
      <c r="E77" s="132"/>
      <c r="F77" s="132">
        <v>7.3</v>
      </c>
      <c r="G77" s="377">
        <f>222.31+G76</f>
        <v>255.56</v>
      </c>
      <c r="H77" s="132" t="s">
        <v>177</v>
      </c>
      <c r="I77" s="132" t="s">
        <v>178</v>
      </c>
      <c r="J77" s="3"/>
      <c r="K77"/>
      <c r="L77"/>
      <c r="M77"/>
      <c r="N77"/>
      <c r="O77" s="41"/>
      <c r="P77"/>
      <c r="Q77"/>
      <c r="R77"/>
      <c r="S77"/>
      <c r="T77"/>
      <c r="U77"/>
      <c r="V77"/>
      <c r="W77"/>
      <c r="X77"/>
      <c r="Y77"/>
      <c r="Z77" s="41"/>
      <c r="AA77"/>
      <c r="AB77"/>
      <c r="AC77"/>
      <c r="AD77"/>
      <c r="AE77"/>
      <c r="AF77"/>
      <c r="AG77"/>
      <c r="AH77"/>
      <c r="AI77"/>
      <c r="AJ77"/>
      <c r="AK77" s="41"/>
      <c r="AL77"/>
      <c r="AM77"/>
      <c r="AN77"/>
      <c r="AO77"/>
      <c r="AP77"/>
      <c r="AQ77"/>
      <c r="AR77"/>
      <c r="AS77"/>
      <c r="AT77"/>
      <c r="AU77"/>
      <c r="AV77" s="41"/>
      <c r="AW77"/>
      <c r="AX77"/>
      <c r="AY77"/>
      <c r="AZ77"/>
      <c r="BA77"/>
      <c r="BB77"/>
      <c r="BC77"/>
    </row>
    <row r="78" spans="1:55" s="21" customFormat="1" ht="116.5" hidden="1" customHeight="1" x14ac:dyDescent="0.35">
      <c r="A78" s="132">
        <v>227</v>
      </c>
      <c r="B78" s="147">
        <v>24129</v>
      </c>
      <c r="C78" s="320" t="s">
        <v>174</v>
      </c>
      <c r="D78" s="166">
        <v>3</v>
      </c>
      <c r="E78" s="166"/>
      <c r="F78" s="166">
        <v>17.100000000000001</v>
      </c>
      <c r="G78" s="378">
        <f>344.59+G77</f>
        <v>600.15</v>
      </c>
      <c r="H78" s="166" t="s">
        <v>179</v>
      </c>
      <c r="I78" s="166" t="s">
        <v>180</v>
      </c>
      <c r="J78" s="3"/>
      <c r="K78"/>
      <c r="L78"/>
      <c r="M78"/>
      <c r="N78"/>
      <c r="O78" s="41"/>
      <c r="P78"/>
      <c r="Q78"/>
      <c r="R78"/>
      <c r="S78"/>
      <c r="T78"/>
      <c r="U78"/>
      <c r="V78"/>
      <c r="W78"/>
      <c r="X78"/>
      <c r="Y78"/>
      <c r="Z78" s="41"/>
      <c r="AA78"/>
      <c r="AB78"/>
      <c r="AC78"/>
      <c r="AD78"/>
      <c r="AE78"/>
      <c r="AF78"/>
      <c r="AG78"/>
      <c r="AH78"/>
      <c r="AI78"/>
      <c r="AJ78"/>
      <c r="AK78" s="41"/>
      <c r="AL78"/>
      <c r="AM78"/>
      <c r="AN78"/>
      <c r="AO78"/>
      <c r="AP78"/>
      <c r="AQ78"/>
      <c r="AR78"/>
      <c r="AS78"/>
      <c r="AT78"/>
      <c r="AU78"/>
      <c r="AV78" s="41"/>
      <c r="AW78"/>
      <c r="AX78"/>
      <c r="AY78"/>
      <c r="AZ78"/>
      <c r="BA78"/>
      <c r="BB78"/>
      <c r="BC78"/>
    </row>
    <row r="79" spans="1:55" s="301" customFormat="1" ht="66.75" hidden="1" customHeight="1" x14ac:dyDescent="0.35">
      <c r="A79" s="24">
        <v>255</v>
      </c>
      <c r="B79" s="300">
        <v>24346</v>
      </c>
      <c r="C79" s="321" t="s">
        <v>181</v>
      </c>
      <c r="D79" s="213">
        <v>1</v>
      </c>
      <c r="E79" s="213"/>
      <c r="F79" s="302">
        <v>1</v>
      </c>
      <c r="G79" s="379">
        <v>32</v>
      </c>
      <c r="H79" s="302" t="s">
        <v>182</v>
      </c>
      <c r="I79" s="213" t="s">
        <v>143</v>
      </c>
      <c r="J79" s="88"/>
      <c r="K79" s="88"/>
      <c r="L79" s="88"/>
      <c r="M79" s="88"/>
      <c r="N79" s="88"/>
      <c r="O79" s="88"/>
      <c r="P79" s="88"/>
      <c r="Q79" s="88"/>
      <c r="R79" s="88"/>
      <c r="S79" s="88"/>
      <c r="T79" s="88"/>
      <c r="U79" s="88"/>
      <c r="V79" s="88"/>
      <c r="W79" s="88"/>
      <c r="X79" s="88"/>
      <c r="Y79" s="88"/>
      <c r="Z79" s="88"/>
      <c r="AA79" s="88"/>
      <c r="AB79" s="88"/>
      <c r="AC79" s="88"/>
      <c r="AD79" s="88"/>
      <c r="AE79" s="88"/>
      <c r="AF79" s="88"/>
      <c r="AG79" s="88"/>
      <c r="AH79" s="88"/>
      <c r="AI79" s="88"/>
      <c r="AJ79" s="88"/>
      <c r="AK79" s="88"/>
      <c r="AL79" s="88"/>
      <c r="AM79" s="88"/>
      <c r="AN79" s="88"/>
      <c r="AO79" s="88"/>
      <c r="AP79" s="88"/>
      <c r="AQ79" s="88"/>
      <c r="AR79" s="88"/>
      <c r="AS79" s="88"/>
      <c r="AT79" s="88"/>
      <c r="AU79" s="88"/>
      <c r="AV79" s="88"/>
      <c r="AW79" s="88"/>
      <c r="AX79" s="88"/>
      <c r="AY79" s="88"/>
      <c r="AZ79" s="88"/>
      <c r="BA79" s="88"/>
      <c r="BB79" s="88"/>
      <c r="BC79" s="88"/>
    </row>
    <row r="80" spans="1:55" s="301" customFormat="1" ht="95.25" hidden="1" customHeight="1" x14ac:dyDescent="0.35">
      <c r="A80" s="24">
        <v>255</v>
      </c>
      <c r="B80" s="300">
        <v>24346</v>
      </c>
      <c r="C80" s="321" t="s">
        <v>181</v>
      </c>
      <c r="D80" s="213">
        <v>2</v>
      </c>
      <c r="E80" s="213"/>
      <c r="F80" s="303">
        <f>G80/35</f>
        <v>2.9142857142857141</v>
      </c>
      <c r="G80" s="379">
        <v>102</v>
      </c>
      <c r="H80" s="302" t="s">
        <v>183</v>
      </c>
      <c r="I80" s="213" t="s">
        <v>145</v>
      </c>
      <c r="J80" s="213"/>
      <c r="K80" s="88"/>
      <c r="L80" s="88"/>
      <c r="M80" s="88"/>
      <c r="N80" s="88"/>
      <c r="O80" s="88"/>
      <c r="P80" s="88"/>
      <c r="Q80" s="88"/>
      <c r="R80" s="88"/>
      <c r="S80" s="88"/>
      <c r="T80" s="88"/>
      <c r="U80" s="88"/>
      <c r="V80" s="88"/>
      <c r="W80" s="88"/>
      <c r="X80" s="88"/>
      <c r="Y80" s="88"/>
      <c r="Z80" s="88"/>
      <c r="AA80" s="88"/>
      <c r="AB80" s="88"/>
      <c r="AC80" s="88"/>
      <c r="AD80" s="88"/>
      <c r="AE80" s="88"/>
      <c r="AF80" s="88"/>
      <c r="AG80" s="88"/>
      <c r="AH80" s="88"/>
      <c r="AI80" s="88"/>
      <c r="AJ80" s="88"/>
      <c r="AK80" s="88"/>
      <c r="AL80" s="88"/>
      <c r="AM80" s="88"/>
      <c r="AN80" s="88"/>
      <c r="AO80" s="88"/>
      <c r="AP80" s="88"/>
      <c r="AQ80" s="88"/>
      <c r="AR80" s="88"/>
      <c r="AS80" s="88"/>
      <c r="AT80" s="88"/>
      <c r="AU80" s="88"/>
      <c r="AV80" s="88"/>
      <c r="AW80" s="88"/>
      <c r="AX80" s="88"/>
      <c r="AY80" s="88"/>
      <c r="AZ80" s="88"/>
      <c r="BA80" s="88"/>
      <c r="BB80" s="88"/>
      <c r="BC80" s="88"/>
    </row>
    <row r="81" spans="1:55" s="301" customFormat="1" ht="117" hidden="1" customHeight="1" x14ac:dyDescent="0.35">
      <c r="A81" s="24">
        <v>255</v>
      </c>
      <c r="B81" s="300">
        <v>24346</v>
      </c>
      <c r="C81" s="321" t="s">
        <v>181</v>
      </c>
      <c r="D81" s="213">
        <v>3</v>
      </c>
      <c r="E81" s="213"/>
      <c r="F81" s="304">
        <f>G81/35</f>
        <v>3.6</v>
      </c>
      <c r="G81" s="379">
        <v>126</v>
      </c>
      <c r="H81" s="302" t="s">
        <v>184</v>
      </c>
      <c r="I81" s="88" t="s">
        <v>185</v>
      </c>
      <c r="J81" s="309" t="s">
        <v>186</v>
      </c>
      <c r="K81" s="88"/>
      <c r="L81" s="88"/>
      <c r="M81" s="88"/>
      <c r="N81" s="88"/>
      <c r="O81" s="88"/>
      <c r="P81" s="88"/>
      <c r="Q81" s="88"/>
      <c r="R81" s="88"/>
      <c r="S81" s="88"/>
      <c r="T81" s="88"/>
      <c r="U81" s="88"/>
      <c r="V81" s="88"/>
      <c r="W81" s="88"/>
      <c r="X81" s="88"/>
      <c r="Y81" s="88"/>
      <c r="Z81" s="88"/>
      <c r="AA81" s="88"/>
      <c r="AB81" s="88"/>
      <c r="AC81" s="88"/>
      <c r="AD81" s="88"/>
      <c r="AE81" s="88"/>
      <c r="AF81" s="88"/>
      <c r="AG81" s="88"/>
      <c r="AH81" s="88"/>
      <c r="AI81" s="88"/>
      <c r="AJ81" s="88"/>
      <c r="AK81" s="88"/>
      <c r="AL81" s="88"/>
      <c r="AM81" s="88"/>
      <c r="AN81" s="88"/>
      <c r="AO81" s="88"/>
      <c r="AP81" s="88"/>
      <c r="AQ81" s="88"/>
      <c r="AR81" s="88"/>
      <c r="AS81" s="88"/>
      <c r="AT81" s="88"/>
      <c r="AU81" s="88"/>
      <c r="AV81" s="88"/>
      <c r="AW81" s="88"/>
      <c r="AX81" s="88"/>
      <c r="AY81" s="88"/>
      <c r="AZ81" s="88"/>
      <c r="BA81" s="88"/>
      <c r="BB81" s="88"/>
      <c r="BC81" s="88"/>
    </row>
    <row r="82" spans="1:55" s="301" customFormat="1" ht="95.25" hidden="1" customHeight="1" x14ac:dyDescent="0.35">
      <c r="A82" s="24">
        <v>255</v>
      </c>
      <c r="B82" s="300">
        <v>24354</v>
      </c>
      <c r="C82" s="321" t="s">
        <v>187</v>
      </c>
      <c r="D82" s="213">
        <v>1</v>
      </c>
      <c r="E82" s="213"/>
      <c r="F82" s="304">
        <f>G82/35</f>
        <v>0.74285714285714288</v>
      </c>
      <c r="G82" s="379">
        <v>26</v>
      </c>
      <c r="H82" s="302" t="s">
        <v>188</v>
      </c>
      <c r="I82" s="213" t="s">
        <v>189</v>
      </c>
      <c r="J82" s="88"/>
      <c r="K82" s="88"/>
      <c r="L82" s="88"/>
      <c r="M82" s="88"/>
      <c r="N82" s="88"/>
      <c r="O82" s="88"/>
      <c r="P82" s="88"/>
      <c r="Q82" s="88"/>
      <c r="R82" s="88"/>
      <c r="S82" s="88"/>
      <c r="T82" s="88"/>
      <c r="U82" s="88"/>
      <c r="V82" s="88"/>
      <c r="W82" s="88"/>
      <c r="X82" s="88"/>
      <c r="Y82" s="88"/>
      <c r="Z82" s="88"/>
      <c r="AA82" s="88"/>
      <c r="AB82" s="88"/>
      <c r="AC82" s="88"/>
      <c r="AD82" s="88"/>
      <c r="AE82" s="88"/>
      <c r="AF82" s="88"/>
      <c r="AG82" s="88"/>
      <c r="AH82" s="88"/>
      <c r="AI82" s="88"/>
      <c r="AJ82" s="88"/>
      <c r="AK82" s="88"/>
      <c r="AL82" s="88"/>
      <c r="AM82" s="88"/>
      <c r="AN82" s="88"/>
      <c r="AO82" s="88"/>
      <c r="AP82" s="88"/>
      <c r="AQ82" s="88"/>
      <c r="AR82" s="88"/>
      <c r="AS82" s="88"/>
      <c r="AT82" s="88"/>
      <c r="AU82" s="88"/>
      <c r="AV82" s="88"/>
      <c r="AW82" s="88"/>
      <c r="AX82" s="88"/>
      <c r="AY82" s="88"/>
      <c r="AZ82" s="88"/>
      <c r="BA82" s="88"/>
      <c r="BB82" s="88"/>
      <c r="BC82" s="88"/>
    </row>
    <row r="83" spans="1:55" s="301" customFormat="1" ht="201.75" hidden="1" customHeight="1" x14ac:dyDescent="0.35">
      <c r="A83" s="24">
        <v>255</v>
      </c>
      <c r="B83" s="300">
        <v>24354</v>
      </c>
      <c r="C83" s="321" t="s">
        <v>190</v>
      </c>
      <c r="D83" s="213">
        <v>2</v>
      </c>
      <c r="E83" s="213"/>
      <c r="F83" s="304">
        <v>3.4</v>
      </c>
      <c r="G83" s="379">
        <v>119</v>
      </c>
      <c r="H83" s="302" t="s">
        <v>191</v>
      </c>
      <c r="I83" s="213" t="s">
        <v>192</v>
      </c>
      <c r="J83" s="88"/>
      <c r="K83" s="88"/>
      <c r="L83" s="88"/>
      <c r="M83" s="88"/>
      <c r="N83" s="88"/>
      <c r="O83" s="88"/>
      <c r="P83" s="88"/>
      <c r="Q83" s="88"/>
      <c r="R83" s="88"/>
      <c r="S83" s="88"/>
      <c r="T83" s="88"/>
      <c r="U83" s="88"/>
      <c r="V83" s="88"/>
      <c r="W83" s="88"/>
      <c r="X83" s="88"/>
      <c r="Y83" s="88"/>
      <c r="Z83" s="88"/>
      <c r="AA83" s="88"/>
      <c r="AB83" s="88"/>
      <c r="AC83" s="88"/>
      <c r="AD83" s="88"/>
      <c r="AE83" s="88"/>
      <c r="AF83" s="88"/>
      <c r="AG83" s="88"/>
      <c r="AH83" s="88"/>
      <c r="AI83" s="88"/>
      <c r="AJ83" s="88"/>
      <c r="AK83" s="88"/>
      <c r="AL83" s="88"/>
      <c r="AM83" s="88"/>
      <c r="AN83" s="88"/>
      <c r="AO83" s="88"/>
      <c r="AP83" s="88"/>
      <c r="AQ83" s="88"/>
      <c r="AR83" s="88"/>
      <c r="AS83" s="88"/>
      <c r="AT83" s="88"/>
      <c r="AU83" s="88"/>
      <c r="AV83" s="88"/>
      <c r="AW83" s="88"/>
      <c r="AX83" s="88"/>
      <c r="AY83" s="88"/>
      <c r="AZ83" s="88"/>
      <c r="BA83" s="88"/>
      <c r="BB83" s="88"/>
      <c r="BC83" s="88"/>
    </row>
    <row r="84" spans="1:55" s="301" customFormat="1" ht="95.25" hidden="1" customHeight="1" x14ac:dyDescent="0.35">
      <c r="A84" s="24">
        <v>255</v>
      </c>
      <c r="B84" s="300">
        <v>24354</v>
      </c>
      <c r="C84" s="321" t="s">
        <v>190</v>
      </c>
      <c r="D84" s="213">
        <v>3</v>
      </c>
      <c r="E84" s="213"/>
      <c r="F84" s="305">
        <f>G84/35</f>
        <v>8.3285714285714292</v>
      </c>
      <c r="G84" s="380">
        <f>G83+172.5</f>
        <v>291.5</v>
      </c>
      <c r="H84" s="213" t="s">
        <v>193</v>
      </c>
      <c r="I84" s="213" t="s">
        <v>194</v>
      </c>
      <c r="J84" s="88"/>
      <c r="K84" s="88"/>
      <c r="L84" s="88"/>
      <c r="M84" s="88"/>
      <c r="N84" s="88"/>
      <c r="O84" s="88"/>
      <c r="P84" s="88"/>
      <c r="Q84" s="88"/>
      <c r="R84" s="88"/>
      <c r="S84" s="88"/>
      <c r="T84" s="88"/>
      <c r="U84" s="88"/>
      <c r="V84" s="88"/>
      <c r="W84" s="88"/>
      <c r="X84" s="88"/>
      <c r="Y84" s="88"/>
      <c r="Z84" s="88"/>
      <c r="AA84" s="88"/>
      <c r="AB84" s="88"/>
      <c r="AC84" s="88"/>
      <c r="AD84" s="88"/>
      <c r="AE84" s="88"/>
      <c r="AF84" s="88"/>
      <c r="AG84" s="88"/>
      <c r="AH84" s="88"/>
      <c r="AI84" s="88"/>
      <c r="AJ84" s="88"/>
      <c r="AK84" s="88"/>
      <c r="AL84" s="88"/>
      <c r="AM84" s="88"/>
      <c r="AN84" s="88"/>
      <c r="AO84" s="88"/>
      <c r="AP84" s="88"/>
      <c r="AQ84" s="88"/>
      <c r="AR84" s="88"/>
      <c r="AS84" s="88"/>
      <c r="AT84" s="88"/>
      <c r="AU84" s="88"/>
      <c r="AV84" s="88"/>
      <c r="AW84" s="88"/>
      <c r="AX84" s="88"/>
      <c r="AY84" s="88"/>
      <c r="AZ84" s="88"/>
      <c r="BA84" s="88"/>
      <c r="BB84" s="88"/>
      <c r="BC84" s="88"/>
    </row>
    <row r="85" spans="1:55" s="21" customFormat="1" ht="43.5" hidden="1" customHeight="1" x14ac:dyDescent="0.45">
      <c r="A85">
        <v>201</v>
      </c>
      <c r="B85" s="141">
        <v>24431</v>
      </c>
      <c r="C85" s="322" t="s">
        <v>195</v>
      </c>
      <c r="D85" s="173">
        <v>1</v>
      </c>
      <c r="E85" s="173"/>
      <c r="F85" s="188">
        <v>3.6</v>
      </c>
      <c r="G85" s="353">
        <v>157.5</v>
      </c>
      <c r="H85" s="302" t="s">
        <v>196</v>
      </c>
      <c r="I85" s="33" t="s">
        <v>197</v>
      </c>
      <c r="J85"/>
      <c r="K85"/>
      <c r="L85"/>
      <c r="M85"/>
      <c r="N85"/>
      <c r="O85" s="41"/>
      <c r="P85"/>
      <c r="Q85"/>
      <c r="R85"/>
      <c r="S85"/>
      <c r="T85"/>
      <c r="U85"/>
      <c r="V85"/>
      <c r="W85"/>
      <c r="X85"/>
      <c r="Y85"/>
      <c r="Z85" s="41"/>
      <c r="AA85"/>
      <c r="AB85"/>
      <c r="AC85"/>
      <c r="AD85"/>
      <c r="AE85"/>
      <c r="AF85"/>
      <c r="AG85"/>
      <c r="AH85"/>
      <c r="AI85"/>
      <c r="AJ85"/>
      <c r="AK85" s="41"/>
      <c r="AL85"/>
      <c r="AM85"/>
      <c r="AN85"/>
      <c r="AO85"/>
      <c r="AP85"/>
      <c r="AQ85"/>
      <c r="AR85"/>
      <c r="AS85"/>
      <c r="AT85"/>
      <c r="AU85"/>
      <c r="AV85" s="41"/>
      <c r="AW85"/>
      <c r="AX85"/>
      <c r="AY85"/>
      <c r="AZ85"/>
      <c r="BA85"/>
      <c r="BB85"/>
      <c r="BC85"/>
    </row>
    <row r="86" spans="1:55" s="21" customFormat="1" ht="15" hidden="1" customHeight="1" x14ac:dyDescent="0.45">
      <c r="A86">
        <v>201</v>
      </c>
      <c r="B86" s="141">
        <v>24431</v>
      </c>
      <c r="C86" s="322" t="s">
        <v>195</v>
      </c>
      <c r="D86" s="173">
        <v>2</v>
      </c>
      <c r="E86" s="173"/>
      <c r="F86" s="188">
        <v>4.0999999999999996</v>
      </c>
      <c r="G86" s="353">
        <v>354.1</v>
      </c>
      <c r="H86" s="199" t="s">
        <v>198</v>
      </c>
      <c r="I86" s="33" t="s">
        <v>199</v>
      </c>
      <c r="J86"/>
      <c r="K86"/>
      <c r="L86"/>
      <c r="M86"/>
      <c r="N86"/>
      <c r="O86" s="41"/>
      <c r="P86"/>
      <c r="Q86"/>
      <c r="R86"/>
      <c r="S86"/>
      <c r="T86"/>
      <c r="U86"/>
      <c r="V86"/>
      <c r="W86"/>
      <c r="X86"/>
      <c r="Y86"/>
      <c r="Z86" s="41"/>
      <c r="AA86"/>
      <c r="AB86"/>
      <c r="AC86"/>
      <c r="AD86"/>
      <c r="AE86"/>
      <c r="AF86"/>
      <c r="AG86"/>
      <c r="AH86"/>
      <c r="AI86"/>
      <c r="AJ86"/>
      <c r="AK86" s="41"/>
      <c r="AL86"/>
      <c r="AM86"/>
      <c r="AN86"/>
      <c r="AO86"/>
      <c r="AP86"/>
      <c r="AQ86"/>
      <c r="AR86"/>
      <c r="AS86"/>
      <c r="AT86"/>
      <c r="AU86"/>
      <c r="AV86" s="41"/>
      <c r="AW86"/>
      <c r="AX86"/>
      <c r="AY86"/>
      <c r="AZ86"/>
      <c r="BA86"/>
      <c r="BB86"/>
      <c r="BC86"/>
    </row>
    <row r="87" spans="1:55" s="21" customFormat="1" ht="15" hidden="1" customHeight="1" x14ac:dyDescent="0.45">
      <c r="A87">
        <v>201</v>
      </c>
      <c r="B87" s="141">
        <v>24431</v>
      </c>
      <c r="C87" s="322" t="s">
        <v>195</v>
      </c>
      <c r="D87" s="173">
        <v>3</v>
      </c>
      <c r="E87" s="173"/>
      <c r="F87" s="188">
        <v>28</v>
      </c>
      <c r="G87" s="353">
        <v>979</v>
      </c>
      <c r="H87" s="199" t="s">
        <v>200</v>
      </c>
      <c r="I87" s="33" t="s">
        <v>201</v>
      </c>
      <c r="J87"/>
      <c r="K87"/>
      <c r="L87"/>
      <c r="M87"/>
      <c r="N87"/>
      <c r="O87" s="41"/>
      <c r="P87"/>
      <c r="Q87"/>
      <c r="R87"/>
      <c r="S87"/>
      <c r="T87"/>
      <c r="U87"/>
      <c r="V87"/>
      <c r="W87"/>
      <c r="X87"/>
      <c r="Y87"/>
      <c r="Z87" s="41"/>
      <c r="AA87"/>
      <c r="AB87"/>
      <c r="AC87"/>
      <c r="AD87"/>
      <c r="AE87"/>
      <c r="AF87"/>
      <c r="AG87"/>
      <c r="AH87"/>
      <c r="AI87"/>
      <c r="AJ87"/>
      <c r="AK87" s="41"/>
      <c r="AL87"/>
      <c r="AM87"/>
      <c r="AN87"/>
      <c r="AO87"/>
      <c r="AP87"/>
      <c r="AQ87"/>
      <c r="AR87"/>
      <c r="AS87"/>
      <c r="AT87"/>
      <c r="AU87"/>
      <c r="AV87" s="41"/>
      <c r="AW87"/>
      <c r="AX87"/>
      <c r="AY87"/>
      <c r="AZ87"/>
      <c r="BA87"/>
      <c r="BB87"/>
      <c r="BC87"/>
    </row>
    <row r="88" spans="1:55" s="21" customFormat="1" ht="41.25" hidden="1" customHeight="1" x14ac:dyDescent="0.45">
      <c r="A88">
        <v>326</v>
      </c>
      <c r="B88" s="86">
        <v>30854</v>
      </c>
      <c r="C88" s="164" t="s">
        <v>202</v>
      </c>
      <c r="D88" s="164">
        <v>1</v>
      </c>
      <c r="E88" s="164"/>
      <c r="F88" s="191">
        <f>G88/35</f>
        <v>3.5</v>
      </c>
      <c r="G88" s="356">
        <v>122.5</v>
      </c>
      <c r="H88" s="201" t="s">
        <v>203</v>
      </c>
      <c r="I88" s="33" t="s">
        <v>204</v>
      </c>
      <c r="J88"/>
      <c r="K88"/>
      <c r="L88"/>
      <c r="M88"/>
      <c r="N88"/>
      <c r="O88" s="41"/>
      <c r="P88"/>
      <c r="Q88"/>
      <c r="R88"/>
      <c r="S88"/>
      <c r="T88"/>
      <c r="U88"/>
      <c r="V88"/>
      <c r="W88"/>
      <c r="X88"/>
      <c r="Y88"/>
      <c r="Z88" s="41"/>
      <c r="AA88"/>
      <c r="AB88"/>
      <c r="AC88"/>
      <c r="AD88"/>
      <c r="AE88"/>
      <c r="AF88"/>
      <c r="AG88"/>
      <c r="AH88"/>
      <c r="AI88"/>
      <c r="AJ88"/>
      <c r="AK88" s="41"/>
      <c r="AL88"/>
      <c r="AM88"/>
      <c r="AN88"/>
      <c r="AO88"/>
      <c r="AP88"/>
      <c r="AQ88"/>
      <c r="AR88"/>
      <c r="AS88"/>
      <c r="AT88"/>
      <c r="AU88"/>
      <c r="AV88" s="41"/>
      <c r="AW88"/>
      <c r="AX88"/>
      <c r="AY88"/>
      <c r="AZ88"/>
      <c r="BA88"/>
      <c r="BB88"/>
      <c r="BC88"/>
    </row>
    <row r="89" spans="1:55" s="21" customFormat="1" ht="165" hidden="1" customHeight="1" x14ac:dyDescent="0.45">
      <c r="A89">
        <v>326</v>
      </c>
      <c r="B89" s="86">
        <v>30854</v>
      </c>
      <c r="C89" s="164" t="s">
        <v>202</v>
      </c>
      <c r="D89" s="164">
        <v>2</v>
      </c>
      <c r="E89" s="164"/>
      <c r="F89" s="191">
        <f>G89/35</f>
        <v>9.3142857142857149</v>
      </c>
      <c r="G89" s="356">
        <v>326</v>
      </c>
      <c r="H89" s="201" t="s">
        <v>205</v>
      </c>
      <c r="I89" s="33" t="s">
        <v>206</v>
      </c>
      <c r="J89"/>
      <c r="K89"/>
      <c r="L89"/>
      <c r="M89"/>
      <c r="N89"/>
      <c r="O89" s="41"/>
      <c r="P89"/>
      <c r="Q89"/>
      <c r="R89"/>
      <c r="S89"/>
      <c r="T89"/>
      <c r="U89"/>
      <c r="V89"/>
      <c r="W89"/>
      <c r="X89"/>
      <c r="Y89"/>
      <c r="Z89" s="41"/>
      <c r="AA89"/>
      <c r="AB89"/>
      <c r="AC89"/>
      <c r="AD89"/>
      <c r="AE89"/>
      <c r="AF89"/>
      <c r="AG89"/>
      <c r="AH89"/>
      <c r="AI89"/>
      <c r="AJ89"/>
      <c r="AK89" s="41"/>
      <c r="AL89"/>
      <c r="AM89"/>
      <c r="AN89"/>
      <c r="AO89"/>
      <c r="AP89"/>
      <c r="AQ89"/>
      <c r="AR89"/>
      <c r="AS89"/>
      <c r="AT89"/>
      <c r="AU89"/>
      <c r="AV89" s="41"/>
      <c r="AW89"/>
      <c r="AX89"/>
      <c r="AY89"/>
      <c r="AZ89"/>
      <c r="BA89"/>
      <c r="BB89"/>
      <c r="BC89"/>
    </row>
    <row r="90" spans="1:55" s="21" customFormat="1" ht="70.5" hidden="1" customHeight="1" x14ac:dyDescent="0.45">
      <c r="A90" s="87">
        <v>326</v>
      </c>
      <c r="B90" s="83">
        <v>31010</v>
      </c>
      <c r="C90" s="164" t="s">
        <v>207</v>
      </c>
      <c r="D90" s="164">
        <v>2</v>
      </c>
      <c r="E90" s="164"/>
      <c r="F90" s="191">
        <v>2.5</v>
      </c>
      <c r="G90" s="356">
        <v>88</v>
      </c>
      <c r="H90" s="201" t="s">
        <v>208</v>
      </c>
      <c r="I90" s="213" t="s">
        <v>209</v>
      </c>
      <c r="J90"/>
      <c r="K90"/>
      <c r="L90"/>
      <c r="M90"/>
      <c r="N90"/>
      <c r="O90" s="41"/>
      <c r="P90"/>
      <c r="Q90"/>
      <c r="R90"/>
      <c r="S90"/>
      <c r="T90"/>
      <c r="U90"/>
      <c r="V90"/>
      <c r="W90"/>
      <c r="X90"/>
      <c r="Y90"/>
      <c r="Z90" s="41"/>
      <c r="AA90"/>
      <c r="AB90"/>
      <c r="AC90"/>
      <c r="AD90"/>
      <c r="AE90"/>
      <c r="AF90"/>
      <c r="AG90"/>
      <c r="AH90"/>
      <c r="AI90"/>
      <c r="AJ90"/>
      <c r="AK90" s="41"/>
      <c r="AL90"/>
      <c r="AM90"/>
      <c r="AN90"/>
      <c r="AO90"/>
      <c r="AP90"/>
      <c r="AQ90"/>
      <c r="AR90"/>
      <c r="AS90"/>
      <c r="AT90"/>
      <c r="AU90"/>
      <c r="AV90" s="41"/>
      <c r="AW90"/>
      <c r="AX90"/>
      <c r="AY90"/>
      <c r="AZ90"/>
      <c r="BA90"/>
      <c r="BB90"/>
      <c r="BC90"/>
    </row>
    <row r="91" spans="1:55" s="21" customFormat="1" ht="15" hidden="1" customHeight="1" x14ac:dyDescent="0.45">
      <c r="A91" s="87">
        <v>326</v>
      </c>
      <c r="B91" s="83">
        <v>31010</v>
      </c>
      <c r="C91" s="164" t="s">
        <v>207</v>
      </c>
      <c r="D91" s="164">
        <v>3</v>
      </c>
      <c r="E91" s="164"/>
      <c r="F91" s="191">
        <f t="shared" ref="F91:F98" si="2">G91/35</f>
        <v>4.871428571428571</v>
      </c>
      <c r="G91" s="357">
        <f>G90+82.5</f>
        <v>170.5</v>
      </c>
      <c r="H91" s="201" t="s">
        <v>210</v>
      </c>
      <c r="I91" s="213" t="s">
        <v>211</v>
      </c>
      <c r="J91"/>
      <c r="K91"/>
      <c r="L91"/>
      <c r="M91"/>
      <c r="N91"/>
      <c r="O91" s="41"/>
      <c r="P91"/>
      <c r="Q91"/>
      <c r="R91"/>
      <c r="S91"/>
      <c r="T91"/>
      <c r="U91"/>
      <c r="V91"/>
      <c r="W91"/>
      <c r="X91"/>
      <c r="Y91"/>
      <c r="Z91" s="41"/>
      <c r="AA91"/>
      <c r="AB91"/>
      <c r="AC91"/>
      <c r="AD91"/>
      <c r="AE91"/>
      <c r="AF91"/>
      <c r="AG91"/>
      <c r="AH91"/>
      <c r="AI91"/>
      <c r="AJ91"/>
      <c r="AK91" s="41"/>
      <c r="AL91"/>
      <c r="AM91"/>
      <c r="AN91"/>
      <c r="AO91"/>
      <c r="AP91"/>
      <c r="AQ91"/>
      <c r="AR91"/>
      <c r="AS91"/>
      <c r="AT91"/>
      <c r="AU91"/>
      <c r="AV91" s="41"/>
      <c r="AW91"/>
      <c r="AX91"/>
      <c r="AY91"/>
      <c r="AZ91"/>
      <c r="BA91"/>
      <c r="BB91"/>
      <c r="BC91"/>
    </row>
    <row r="92" spans="1:55" s="21" customFormat="1" ht="37.5" hidden="1" customHeight="1" x14ac:dyDescent="0.45">
      <c r="A92" s="87">
        <v>326</v>
      </c>
      <c r="B92" s="83">
        <v>31010</v>
      </c>
      <c r="C92" s="323" t="s">
        <v>207</v>
      </c>
      <c r="D92" s="170">
        <v>4</v>
      </c>
      <c r="E92" s="170"/>
      <c r="F92" s="196">
        <f t="shared" si="2"/>
        <v>7.2285714285714286</v>
      </c>
      <c r="G92" s="381">
        <f>G91+82.5</f>
        <v>253</v>
      </c>
      <c r="H92" s="201" t="s">
        <v>212</v>
      </c>
      <c r="I92" s="213" t="s">
        <v>213</v>
      </c>
      <c r="J92"/>
      <c r="K92"/>
      <c r="L92"/>
      <c r="M92"/>
      <c r="N92"/>
      <c r="O92" s="41"/>
      <c r="P92"/>
      <c r="Q92"/>
      <c r="R92"/>
      <c r="S92"/>
      <c r="T92"/>
      <c r="U92"/>
      <c r="V92"/>
      <c r="W92"/>
      <c r="X92"/>
      <c r="Y92"/>
      <c r="Z92" s="41"/>
      <c r="AA92"/>
      <c r="AB92"/>
      <c r="AC92"/>
      <c r="AD92"/>
      <c r="AE92"/>
      <c r="AF92"/>
      <c r="AG92"/>
      <c r="AH92"/>
      <c r="AI92"/>
      <c r="AJ92"/>
      <c r="AK92" s="41"/>
      <c r="AL92"/>
      <c r="AM92"/>
      <c r="AN92"/>
      <c r="AO92"/>
      <c r="AP92"/>
      <c r="AQ92"/>
      <c r="AR92"/>
      <c r="AS92"/>
      <c r="AT92"/>
      <c r="AU92"/>
      <c r="AV92" s="41"/>
      <c r="AW92"/>
      <c r="AX92"/>
      <c r="AY92"/>
      <c r="AZ92"/>
      <c r="BA92"/>
      <c r="BB92"/>
      <c r="BC92"/>
    </row>
    <row r="93" spans="1:55" ht="153.75" hidden="1" customHeight="1" x14ac:dyDescent="0.45">
      <c r="A93" s="87">
        <v>326</v>
      </c>
      <c r="B93" s="291">
        <v>31023</v>
      </c>
      <c r="C93" s="65" t="s">
        <v>214</v>
      </c>
      <c r="D93" s="65">
        <v>1</v>
      </c>
      <c r="E93" s="65"/>
      <c r="F93" s="66">
        <f t="shared" si="2"/>
        <v>0.45714285714285713</v>
      </c>
      <c r="G93" s="111">
        <v>16</v>
      </c>
      <c r="H93" s="90" t="s">
        <v>215</v>
      </c>
      <c r="I93" s="6" t="s">
        <v>216</v>
      </c>
      <c r="J93"/>
    </row>
    <row r="94" spans="1:55" ht="114" hidden="1" customHeight="1" x14ac:dyDescent="0.45">
      <c r="A94" s="87">
        <v>326</v>
      </c>
      <c r="B94" s="266">
        <v>31023</v>
      </c>
      <c r="C94" s="289" t="s">
        <v>214</v>
      </c>
      <c r="D94" s="289">
        <v>2</v>
      </c>
      <c r="E94" s="289"/>
      <c r="F94" s="290">
        <f t="shared" si="2"/>
        <v>5.2285714285714286</v>
      </c>
      <c r="G94" s="358">
        <v>183</v>
      </c>
      <c r="H94" s="287" t="s">
        <v>217</v>
      </c>
      <c r="I94" s="287" t="s">
        <v>206</v>
      </c>
      <c r="J94" s="288" t="s">
        <v>218</v>
      </c>
      <c r="O94" s="41"/>
      <c r="Z94" s="41"/>
      <c r="AK94" s="41"/>
      <c r="AV94" s="41"/>
    </row>
    <row r="95" spans="1:55" ht="132" hidden="1" customHeight="1" x14ac:dyDescent="0.45">
      <c r="A95" s="87">
        <v>326</v>
      </c>
      <c r="B95" s="266">
        <v>31023</v>
      </c>
      <c r="C95" s="289" t="s">
        <v>214</v>
      </c>
      <c r="D95" s="289">
        <v>3</v>
      </c>
      <c r="E95" s="289"/>
      <c r="F95" s="290">
        <f t="shared" si="2"/>
        <v>11.114285714285714</v>
      </c>
      <c r="G95" s="358">
        <f>G94+206</f>
        <v>389</v>
      </c>
      <c r="H95" s="287" t="s">
        <v>219</v>
      </c>
      <c r="I95" s="287" t="s">
        <v>220</v>
      </c>
      <c r="J95"/>
      <c r="O95" s="41"/>
      <c r="Z95" s="41"/>
      <c r="AK95" s="41"/>
      <c r="AV95" s="41"/>
    </row>
    <row r="96" spans="1:55" ht="132" hidden="1" customHeight="1" x14ac:dyDescent="0.45">
      <c r="A96" s="87">
        <v>326</v>
      </c>
      <c r="B96" s="266">
        <v>31023</v>
      </c>
      <c r="C96" s="289" t="s">
        <v>214</v>
      </c>
      <c r="D96" s="289">
        <v>4</v>
      </c>
      <c r="E96" s="289"/>
      <c r="F96" s="290">
        <f t="shared" si="2"/>
        <v>18.37142857142857</v>
      </c>
      <c r="G96" s="358">
        <v>643</v>
      </c>
      <c r="H96" s="287" t="s">
        <v>221</v>
      </c>
      <c r="I96" s="287" t="s">
        <v>222</v>
      </c>
      <c r="J96"/>
      <c r="O96" s="41"/>
      <c r="Z96" s="41"/>
      <c r="AK96" s="41"/>
      <c r="AV96" s="41"/>
    </row>
    <row r="97" spans="1:55" s="65" customFormat="1" ht="132" hidden="1" customHeight="1" x14ac:dyDescent="0.45">
      <c r="A97" s="238">
        <v>326</v>
      </c>
      <c r="B97" s="237">
        <v>31036</v>
      </c>
      <c r="C97" s="158" t="s">
        <v>223</v>
      </c>
      <c r="D97" s="84">
        <v>1</v>
      </c>
      <c r="E97" s="84"/>
      <c r="F97" s="84">
        <f t="shared" si="2"/>
        <v>3.4</v>
      </c>
      <c r="G97" s="350">
        <v>119</v>
      </c>
      <c r="H97" s="158" t="s">
        <v>224</v>
      </c>
      <c r="I97" s="158" t="s">
        <v>225</v>
      </c>
    </row>
    <row r="98" spans="1:55" s="65" customFormat="1" ht="84.75" hidden="1" customHeight="1" x14ac:dyDescent="0.45">
      <c r="A98" s="238">
        <v>326</v>
      </c>
      <c r="B98" s="237">
        <v>31036</v>
      </c>
      <c r="C98" s="158" t="s">
        <v>223</v>
      </c>
      <c r="D98" s="65">
        <v>2</v>
      </c>
      <c r="F98" s="66">
        <f t="shared" si="2"/>
        <v>7.2571428571428571</v>
      </c>
      <c r="G98" s="111">
        <f>G97+135</f>
        <v>254</v>
      </c>
      <c r="H98" s="67" t="s">
        <v>226</v>
      </c>
      <c r="I98" s="67" t="s">
        <v>206</v>
      </c>
    </row>
    <row r="99" spans="1:55" s="65" customFormat="1" ht="84.75" hidden="1" customHeight="1" x14ac:dyDescent="0.45">
      <c r="A99" s="238">
        <v>326</v>
      </c>
      <c r="B99" s="237">
        <v>31036</v>
      </c>
      <c r="C99" s="158" t="s">
        <v>223</v>
      </c>
      <c r="D99" s="65">
        <v>3</v>
      </c>
      <c r="F99" s="66">
        <v>12.5</v>
      </c>
      <c r="G99" s="111">
        <v>437</v>
      </c>
      <c r="H99" s="67" t="s">
        <v>227</v>
      </c>
      <c r="I99" s="67" t="s">
        <v>228</v>
      </c>
    </row>
    <row r="100" spans="1:55" s="65" customFormat="1" ht="60.75" hidden="1" customHeight="1" x14ac:dyDescent="0.35">
      <c r="A100" s="65">
        <v>326</v>
      </c>
      <c r="B100" s="237">
        <v>31051</v>
      </c>
      <c r="C100" s="158" t="s">
        <v>229</v>
      </c>
      <c r="D100" s="65">
        <v>1</v>
      </c>
      <c r="F100" s="65">
        <v>1.8</v>
      </c>
      <c r="G100" s="111">
        <v>63</v>
      </c>
      <c r="H100" s="67" t="s">
        <v>230</v>
      </c>
      <c r="I100" s="67" t="s">
        <v>192</v>
      </c>
    </row>
    <row r="101" spans="1:55" s="65" customFormat="1" ht="60.75" hidden="1" customHeight="1" x14ac:dyDescent="0.35">
      <c r="A101" s="65">
        <v>326</v>
      </c>
      <c r="B101" s="237">
        <v>31051</v>
      </c>
      <c r="C101" s="158" t="s">
        <v>229</v>
      </c>
      <c r="D101" s="65">
        <v>2</v>
      </c>
      <c r="F101" s="66">
        <f>G101/35</f>
        <v>5.7142857142857144</v>
      </c>
      <c r="G101" s="111">
        <f>G100+137</f>
        <v>200</v>
      </c>
      <c r="H101" s="67" t="s">
        <v>231</v>
      </c>
      <c r="I101" s="67" t="s">
        <v>232</v>
      </c>
    </row>
    <row r="102" spans="1:55" s="72" customFormat="1" ht="162.75" hidden="1" customHeight="1" x14ac:dyDescent="0.35">
      <c r="A102">
        <v>326</v>
      </c>
      <c r="B102" s="136">
        <v>31054</v>
      </c>
      <c r="C102" s="158" t="s">
        <v>233</v>
      </c>
      <c r="D102" s="65">
        <v>1</v>
      </c>
      <c r="E102" s="65"/>
      <c r="F102" s="65">
        <v>1.8</v>
      </c>
      <c r="G102" s="111">
        <v>63</v>
      </c>
      <c r="H102" s="24" t="s">
        <v>234</v>
      </c>
      <c r="I102" s="24" t="s">
        <v>192</v>
      </c>
      <c r="J102"/>
      <c r="K102" s="71"/>
      <c r="L102" s="71"/>
      <c r="M102" s="71"/>
      <c r="N102" s="71"/>
      <c r="O102" s="71"/>
      <c r="P102" s="71"/>
      <c r="Q102" s="71"/>
      <c r="R102" s="71"/>
      <c r="S102" s="71"/>
      <c r="T102" s="71"/>
      <c r="U102" s="71"/>
      <c r="V102" s="71"/>
      <c r="W102" s="71"/>
      <c r="X102" s="71"/>
      <c r="Y102" s="71"/>
      <c r="Z102" s="71"/>
      <c r="AA102" s="71"/>
      <c r="AB102" s="71"/>
      <c r="AC102" s="71"/>
      <c r="AD102" s="71"/>
      <c r="AE102" s="71"/>
      <c r="AF102" s="71"/>
      <c r="AG102" s="71"/>
      <c r="AH102" s="71"/>
      <c r="AI102" s="71"/>
      <c r="AJ102" s="71"/>
      <c r="AK102" s="71"/>
      <c r="AL102" s="71"/>
      <c r="AM102" s="71"/>
      <c r="AN102" s="71"/>
      <c r="AO102" s="71"/>
      <c r="AP102" s="71"/>
      <c r="AQ102" s="71"/>
      <c r="AR102" s="71"/>
      <c r="AS102" s="71"/>
      <c r="AT102" s="71"/>
      <c r="AU102" s="71"/>
      <c r="AV102" s="71"/>
      <c r="AW102" s="71"/>
      <c r="AX102" s="71"/>
      <c r="AY102" s="71"/>
      <c r="AZ102" s="71"/>
      <c r="BA102" s="71"/>
      <c r="BB102" s="71"/>
      <c r="BC102" s="71"/>
    </row>
    <row r="103" spans="1:55" s="71" customFormat="1" ht="55.5" hidden="1" customHeight="1" x14ac:dyDescent="0.35">
      <c r="A103">
        <v>326</v>
      </c>
      <c r="B103" s="83">
        <v>31054</v>
      </c>
      <c r="C103" s="67" t="s">
        <v>233</v>
      </c>
      <c r="D103" s="65">
        <v>2</v>
      </c>
      <c r="E103" s="65"/>
      <c r="F103" s="65">
        <v>5.3</v>
      </c>
      <c r="G103" s="111">
        <v>188</v>
      </c>
      <c r="H103" s="24" t="s">
        <v>235</v>
      </c>
      <c r="I103" s="24" t="s">
        <v>236</v>
      </c>
      <c r="J103"/>
    </row>
    <row r="104" spans="1:55" s="76" customFormat="1" ht="88.5" hidden="1" customHeight="1" x14ac:dyDescent="0.35">
      <c r="A104" s="88">
        <v>326</v>
      </c>
      <c r="B104" s="83">
        <v>31054</v>
      </c>
      <c r="C104" s="67" t="s">
        <v>233</v>
      </c>
      <c r="D104" s="65">
        <v>3</v>
      </c>
      <c r="E104" s="65"/>
      <c r="F104" s="65">
        <v>11.6</v>
      </c>
      <c r="G104" s="111">
        <v>407</v>
      </c>
      <c r="H104" s="24" t="s">
        <v>237</v>
      </c>
      <c r="I104" s="24" t="s">
        <v>238</v>
      </c>
    </row>
    <row r="105" spans="1:55" s="71" customFormat="1" ht="88.5" hidden="1" customHeight="1" x14ac:dyDescent="0.35">
      <c r="A105"/>
      <c r="B105" s="83">
        <v>31058</v>
      </c>
      <c r="C105" s="65" t="s">
        <v>239</v>
      </c>
      <c r="D105" s="65">
        <v>1</v>
      </c>
      <c r="E105" s="65">
        <v>0.77</v>
      </c>
      <c r="F105" s="65">
        <v>3.1</v>
      </c>
      <c r="G105" s="111">
        <v>109</v>
      </c>
      <c r="H105" s="24" t="s">
        <v>240</v>
      </c>
      <c r="I105" s="24" t="s">
        <v>241</v>
      </c>
      <c r="J105"/>
    </row>
    <row r="106" spans="1:55" s="71" customFormat="1" ht="43.5" hidden="1" customHeight="1" x14ac:dyDescent="0.35">
      <c r="A106"/>
      <c r="B106" s="5">
        <v>31058</v>
      </c>
      <c r="C106" s="65" t="s">
        <v>239</v>
      </c>
      <c r="D106" s="65">
        <v>2</v>
      </c>
      <c r="E106" s="65">
        <v>1.5</v>
      </c>
      <c r="F106" s="66">
        <f>G106/35</f>
        <v>7.0114285714285716</v>
      </c>
      <c r="G106" s="111">
        <f>G105+136.4</f>
        <v>245.4</v>
      </c>
      <c r="H106" s="10" t="s">
        <v>242</v>
      </c>
      <c r="I106" s="24" t="s">
        <v>243</v>
      </c>
      <c r="J106"/>
    </row>
    <row r="107" spans="1:55" s="65" customFormat="1" ht="145.5" hidden="1" customHeight="1" x14ac:dyDescent="0.35">
      <c r="A107" s="65">
        <v>326</v>
      </c>
      <c r="B107" s="64">
        <v>31067</v>
      </c>
      <c r="C107" s="65" t="s">
        <v>244</v>
      </c>
      <c r="D107" s="65">
        <v>1</v>
      </c>
      <c r="F107" s="66">
        <f>G107/35</f>
        <v>1.8571428571428572</v>
      </c>
      <c r="G107" s="111">
        <v>65</v>
      </c>
      <c r="H107" s="67" t="s">
        <v>245</v>
      </c>
      <c r="I107" s="67" t="s">
        <v>246</v>
      </c>
    </row>
    <row r="108" spans="1:55" s="71" customFormat="1" ht="156" hidden="1" customHeight="1" x14ac:dyDescent="0.35">
      <c r="A108">
        <v>326</v>
      </c>
      <c r="B108" s="64">
        <v>31067</v>
      </c>
      <c r="C108" s="65" t="s">
        <v>244</v>
      </c>
      <c r="D108" s="65">
        <v>2</v>
      </c>
      <c r="E108" s="65"/>
      <c r="F108" s="66">
        <f>G108/35</f>
        <v>10.914285714285715</v>
      </c>
      <c r="G108" s="111">
        <v>382</v>
      </c>
      <c r="H108" s="67" t="s">
        <v>247</v>
      </c>
      <c r="I108" s="67" t="s">
        <v>206</v>
      </c>
      <c r="J108" s="283" t="s">
        <v>248</v>
      </c>
    </row>
    <row r="109" spans="1:55" s="71" customFormat="1" ht="95.25" hidden="1" customHeight="1" x14ac:dyDescent="0.35">
      <c r="A109">
        <v>326</v>
      </c>
      <c r="B109" s="64">
        <v>31067</v>
      </c>
      <c r="C109" s="65" t="s">
        <v>244</v>
      </c>
      <c r="D109" s="65">
        <v>3</v>
      </c>
      <c r="E109" s="65"/>
      <c r="F109" s="66">
        <f>G109/35</f>
        <v>21.2</v>
      </c>
      <c r="G109" s="111">
        <v>742</v>
      </c>
      <c r="H109" s="67" t="s">
        <v>249</v>
      </c>
      <c r="I109" s="67" t="s">
        <v>238</v>
      </c>
      <c r="J109" s="283"/>
    </row>
    <row r="110" spans="1:55" s="71" customFormat="1" ht="95.25" hidden="1" customHeight="1" x14ac:dyDescent="0.35">
      <c r="A110">
        <v>326</v>
      </c>
      <c r="B110" s="64">
        <v>31084</v>
      </c>
      <c r="C110" s="65" t="s">
        <v>250</v>
      </c>
      <c r="D110" s="65">
        <v>1</v>
      </c>
      <c r="E110" s="65"/>
      <c r="F110" s="66">
        <v>4.0999999999999996</v>
      </c>
      <c r="G110" s="111">
        <v>144</v>
      </c>
      <c r="H110" s="67" t="s">
        <v>251</v>
      </c>
      <c r="I110" s="67" t="s">
        <v>252</v>
      </c>
      <c r="J110" s="283"/>
    </row>
    <row r="111" spans="1:55" s="71" customFormat="1" ht="95.25" hidden="1" customHeight="1" x14ac:dyDescent="0.35">
      <c r="A111">
        <v>326</v>
      </c>
      <c r="B111" s="64">
        <v>31084</v>
      </c>
      <c r="C111" s="65" t="s">
        <v>250</v>
      </c>
      <c r="D111" s="65">
        <v>2</v>
      </c>
      <c r="E111" s="65"/>
      <c r="F111" s="66">
        <v>6.2</v>
      </c>
      <c r="G111" s="111">
        <v>216</v>
      </c>
      <c r="H111" s="67" t="s">
        <v>253</v>
      </c>
      <c r="I111" s="67" t="s">
        <v>254</v>
      </c>
      <c r="J111" s="283"/>
    </row>
    <row r="112" spans="1:55" s="4" customFormat="1" ht="188.5" hidden="1" x14ac:dyDescent="0.35">
      <c r="A112" s="71">
        <v>200</v>
      </c>
      <c r="B112" s="70">
        <v>31436</v>
      </c>
      <c r="C112" s="71" t="s">
        <v>255</v>
      </c>
      <c r="D112" s="71">
        <v>1</v>
      </c>
      <c r="E112" s="71">
        <v>0.5</v>
      </c>
      <c r="F112" s="71">
        <v>2</v>
      </c>
      <c r="G112" s="60">
        <v>70</v>
      </c>
      <c r="H112" s="228" t="s">
        <v>256</v>
      </c>
      <c r="I112" s="212" t="s">
        <v>257</v>
      </c>
      <c r="J112"/>
      <c r="K112"/>
      <c r="L112"/>
      <c r="M112"/>
      <c r="N112"/>
      <c r="O112" s="41"/>
      <c r="P112"/>
      <c r="Q112"/>
      <c r="R112"/>
      <c r="S112"/>
      <c r="T112"/>
      <c r="U112"/>
      <c r="V112"/>
      <c r="W112"/>
      <c r="X112"/>
      <c r="Y112"/>
      <c r="Z112" s="41"/>
      <c r="AA112"/>
      <c r="AB112"/>
      <c r="AC112"/>
      <c r="AD112"/>
      <c r="AE112"/>
      <c r="AF112"/>
      <c r="AG112"/>
      <c r="AH112"/>
      <c r="AI112"/>
      <c r="AJ112"/>
      <c r="AK112" s="41"/>
      <c r="AL112"/>
      <c r="AM112"/>
      <c r="AN112"/>
      <c r="AO112"/>
      <c r="AP112"/>
      <c r="AQ112"/>
      <c r="AR112"/>
      <c r="AS112"/>
      <c r="AT112"/>
      <c r="AU112"/>
      <c r="AV112" s="41"/>
      <c r="AW112"/>
      <c r="AX112"/>
      <c r="AY112"/>
      <c r="AZ112"/>
      <c r="BA112"/>
      <c r="BB112"/>
      <c r="BC112"/>
    </row>
    <row r="113" spans="1:55" s="120" customFormat="1" ht="32.25" hidden="1" customHeight="1" x14ac:dyDescent="0.35">
      <c r="A113" s="71">
        <v>200</v>
      </c>
      <c r="B113" s="70">
        <v>31436</v>
      </c>
      <c r="C113" s="71" t="s">
        <v>255</v>
      </c>
      <c r="D113" s="71">
        <v>2</v>
      </c>
      <c r="E113" s="71">
        <v>2</v>
      </c>
      <c r="F113" s="71">
        <f>G113/35</f>
        <v>7</v>
      </c>
      <c r="G113" s="60">
        <v>245</v>
      </c>
      <c r="H113" s="200" t="s">
        <v>258</v>
      </c>
      <c r="I113" s="212" t="s">
        <v>259</v>
      </c>
      <c r="J113"/>
      <c r="K113" s="65"/>
      <c r="L113" s="65"/>
      <c r="M113" s="65"/>
      <c r="N113" s="65"/>
      <c r="O113" s="65"/>
      <c r="P113" s="65"/>
      <c r="Q113" s="65"/>
      <c r="R113" s="65"/>
      <c r="S113" s="65"/>
      <c r="T113" s="65"/>
      <c r="U113" s="65"/>
      <c r="V113" s="65"/>
      <c r="W113" s="65"/>
      <c r="X113" s="65"/>
      <c r="Y113" s="65"/>
      <c r="Z113" s="65"/>
      <c r="AA113" s="65"/>
      <c r="AB113" s="65"/>
      <c r="AC113" s="65"/>
      <c r="AD113" s="65"/>
      <c r="AE113" s="65"/>
      <c r="AF113" s="65"/>
      <c r="AG113" s="65"/>
      <c r="AH113" s="65"/>
      <c r="AI113" s="65"/>
      <c r="AJ113" s="65"/>
      <c r="AK113" s="65"/>
      <c r="AL113" s="65"/>
      <c r="AM113" s="65"/>
      <c r="AN113" s="65"/>
      <c r="AO113" s="65"/>
      <c r="AP113" s="65"/>
      <c r="AQ113" s="65"/>
      <c r="AR113" s="65"/>
      <c r="AS113" s="65"/>
      <c r="AT113" s="65"/>
      <c r="AU113" s="65"/>
      <c r="AV113" s="65"/>
      <c r="AW113" s="65"/>
      <c r="AX113" s="65"/>
      <c r="AY113" s="65"/>
      <c r="AZ113" s="65"/>
      <c r="BA113" s="65"/>
      <c r="BB113" s="65"/>
      <c r="BC113" s="65"/>
    </row>
    <row r="114" spans="1:55" s="120" customFormat="1" ht="32.25" hidden="1" customHeight="1" x14ac:dyDescent="0.35">
      <c r="A114" s="71">
        <v>200</v>
      </c>
      <c r="B114" s="70">
        <v>31436</v>
      </c>
      <c r="C114" s="71" t="s">
        <v>255</v>
      </c>
      <c r="D114" s="71">
        <v>3</v>
      </c>
      <c r="E114" s="71">
        <v>4.5</v>
      </c>
      <c r="F114" s="195">
        <f>G114/35</f>
        <v>14.885714285714286</v>
      </c>
      <c r="G114" s="60">
        <f>G113+276</f>
        <v>521</v>
      </c>
      <c r="H114" s="200" t="s">
        <v>260</v>
      </c>
      <c r="I114" s="212" t="s">
        <v>261</v>
      </c>
      <c r="J114"/>
      <c r="K114" s="65"/>
      <c r="L114" s="65"/>
      <c r="M114" s="65"/>
      <c r="N114" s="65"/>
      <c r="O114" s="65"/>
      <c r="P114" s="65"/>
      <c r="Q114" s="65"/>
      <c r="R114" s="65"/>
      <c r="S114" s="65"/>
      <c r="T114" s="65"/>
      <c r="U114" s="65"/>
      <c r="V114" s="65"/>
      <c r="W114" s="65"/>
      <c r="X114" s="65"/>
      <c r="Y114" s="65"/>
      <c r="Z114" s="65"/>
      <c r="AA114" s="65"/>
      <c r="AB114" s="65"/>
      <c r="AC114" s="65"/>
      <c r="AD114" s="65"/>
      <c r="AE114" s="65"/>
      <c r="AF114" s="65"/>
      <c r="AG114" s="65"/>
      <c r="AH114" s="65"/>
      <c r="AI114" s="65"/>
      <c r="AJ114" s="65"/>
      <c r="AK114" s="65"/>
      <c r="AL114" s="65"/>
      <c r="AM114" s="65"/>
      <c r="AN114" s="65"/>
      <c r="AO114" s="65"/>
      <c r="AP114" s="65"/>
      <c r="AQ114" s="65"/>
      <c r="AR114" s="65"/>
      <c r="AS114" s="65"/>
      <c r="AT114" s="65"/>
      <c r="AU114" s="65"/>
      <c r="AV114" s="65"/>
      <c r="AW114" s="65"/>
      <c r="AX114" s="65"/>
      <c r="AY114" s="65"/>
      <c r="AZ114" s="65"/>
      <c r="BA114" s="65"/>
      <c r="BB114" s="65"/>
      <c r="BC114" s="65"/>
    </row>
    <row r="115" spans="1:55" s="120" customFormat="1" ht="32.25" hidden="1" customHeight="1" x14ac:dyDescent="0.35">
      <c r="A115" s="71">
        <v>200</v>
      </c>
      <c r="B115" s="83">
        <v>31608</v>
      </c>
      <c r="C115" s="65" t="s">
        <v>262</v>
      </c>
      <c r="D115" s="65">
        <v>1</v>
      </c>
      <c r="E115" s="65">
        <v>0.5</v>
      </c>
      <c r="F115" s="65">
        <v>3</v>
      </c>
      <c r="G115" s="111">
        <v>104.5</v>
      </c>
      <c r="H115" s="24" t="s">
        <v>263</v>
      </c>
      <c r="I115" s="57" t="s">
        <v>264</v>
      </c>
      <c r="J115" s="3"/>
      <c r="K115" s="65"/>
      <c r="L115" s="65"/>
      <c r="M115" s="65"/>
      <c r="N115" s="65"/>
      <c r="O115" s="65"/>
      <c r="P115" s="65"/>
      <c r="Q115" s="65"/>
      <c r="R115" s="65"/>
      <c r="S115" s="65"/>
      <c r="T115" s="65"/>
      <c r="U115" s="65"/>
      <c r="V115" s="65"/>
      <c r="W115" s="65"/>
      <c r="X115" s="65"/>
      <c r="Y115" s="65"/>
      <c r="Z115" s="65"/>
      <c r="AA115" s="65"/>
      <c r="AB115" s="65"/>
      <c r="AC115" s="65"/>
      <c r="AD115" s="65"/>
      <c r="AE115" s="65"/>
      <c r="AF115" s="65"/>
      <c r="AG115" s="65"/>
      <c r="AH115" s="65"/>
      <c r="AI115" s="65"/>
      <c r="AJ115" s="65"/>
      <c r="AK115" s="65"/>
      <c r="AL115" s="65"/>
      <c r="AM115" s="65"/>
      <c r="AN115" s="65"/>
      <c r="AO115" s="65"/>
      <c r="AP115" s="65"/>
      <c r="AQ115" s="65"/>
      <c r="AR115" s="65"/>
      <c r="AS115" s="65"/>
      <c r="AT115" s="65"/>
      <c r="AU115" s="65"/>
      <c r="AV115" s="65"/>
      <c r="AW115" s="65"/>
      <c r="AX115" s="65"/>
      <c r="AY115" s="65"/>
      <c r="AZ115" s="65"/>
      <c r="BA115" s="65"/>
      <c r="BB115" s="65"/>
      <c r="BC115" s="65"/>
    </row>
    <row r="116" spans="1:55" s="120" customFormat="1" ht="41.25" hidden="1" customHeight="1" x14ac:dyDescent="0.35">
      <c r="A116" s="71">
        <v>200</v>
      </c>
      <c r="B116" s="83">
        <v>31608</v>
      </c>
      <c r="C116" s="65" t="s">
        <v>262</v>
      </c>
      <c r="D116" s="65">
        <v>2</v>
      </c>
      <c r="E116" s="65"/>
      <c r="F116" s="65">
        <v>6.7</v>
      </c>
      <c r="G116" s="111">
        <v>235</v>
      </c>
      <c r="H116" s="24" t="s">
        <v>265</v>
      </c>
      <c r="I116" s="57" t="s">
        <v>77</v>
      </c>
      <c r="J116" s="42"/>
      <c r="K116" s="65"/>
      <c r="L116" s="65"/>
      <c r="M116" s="65"/>
      <c r="N116" s="65"/>
      <c r="O116" s="65"/>
      <c r="P116" s="65"/>
      <c r="Q116" s="65"/>
      <c r="R116" s="65"/>
      <c r="S116" s="65"/>
      <c r="T116" s="65"/>
      <c r="U116" s="65"/>
      <c r="V116" s="65"/>
      <c r="W116" s="65"/>
      <c r="X116" s="65"/>
      <c r="Y116" s="65"/>
      <c r="Z116" s="65"/>
      <c r="AA116" s="65"/>
      <c r="AB116" s="65"/>
      <c r="AC116" s="65"/>
      <c r="AD116" s="65"/>
      <c r="AE116" s="65"/>
      <c r="AF116" s="65"/>
      <c r="AG116" s="65"/>
      <c r="AH116" s="65"/>
      <c r="AI116" s="65"/>
      <c r="AJ116" s="65"/>
      <c r="AK116" s="65"/>
      <c r="AL116" s="65"/>
      <c r="AM116" s="65"/>
      <c r="AN116" s="65"/>
      <c r="AO116" s="65"/>
      <c r="AP116" s="65"/>
      <c r="AQ116" s="65"/>
      <c r="AR116" s="65"/>
      <c r="AS116" s="65"/>
      <c r="AT116" s="65"/>
      <c r="AU116" s="65"/>
      <c r="AV116" s="65"/>
      <c r="AW116" s="65"/>
      <c r="AX116" s="65"/>
      <c r="AY116" s="65"/>
      <c r="AZ116" s="65"/>
      <c r="BA116" s="65"/>
      <c r="BB116" s="65"/>
      <c r="BC116" s="65"/>
    </row>
    <row r="117" spans="1:55" s="120" customFormat="1" ht="101.5" hidden="1" customHeight="1" x14ac:dyDescent="0.35">
      <c r="A117" s="71">
        <v>200</v>
      </c>
      <c r="B117" s="83">
        <v>31608</v>
      </c>
      <c r="C117" s="65" t="s">
        <v>262</v>
      </c>
      <c r="D117" s="65">
        <v>3</v>
      </c>
      <c r="E117" s="65"/>
      <c r="F117" s="65">
        <v>16.2</v>
      </c>
      <c r="G117" s="111">
        <v>568.29999999999995</v>
      </c>
      <c r="H117" s="24" t="s">
        <v>266</v>
      </c>
      <c r="I117" s="57" t="s">
        <v>267</v>
      </c>
      <c r="J117" s="42"/>
      <c r="K117" s="65"/>
      <c r="L117" s="65"/>
      <c r="M117" s="65"/>
      <c r="N117" s="65"/>
      <c r="O117" s="65"/>
      <c r="P117" s="65"/>
      <c r="Q117" s="65"/>
      <c r="R117" s="65"/>
      <c r="S117" s="65"/>
      <c r="T117" s="65"/>
      <c r="U117" s="65"/>
      <c r="V117" s="65"/>
      <c r="W117" s="65"/>
      <c r="X117" s="65"/>
      <c r="Y117" s="65"/>
      <c r="Z117" s="65"/>
      <c r="AA117" s="65"/>
      <c r="AB117" s="65"/>
      <c r="AC117" s="65"/>
      <c r="AD117" s="65"/>
      <c r="AE117" s="65"/>
      <c r="AF117" s="65"/>
      <c r="AG117" s="65"/>
      <c r="AH117" s="65"/>
      <c r="AI117" s="65"/>
      <c r="AJ117" s="65"/>
      <c r="AK117" s="65"/>
      <c r="AL117" s="65"/>
      <c r="AM117" s="65"/>
      <c r="AN117" s="65"/>
      <c r="AO117" s="65"/>
      <c r="AP117" s="65"/>
      <c r="AQ117" s="65"/>
      <c r="AR117" s="65"/>
      <c r="AS117" s="65"/>
      <c r="AT117" s="65"/>
      <c r="AU117" s="65"/>
      <c r="AV117" s="65"/>
      <c r="AW117" s="65"/>
      <c r="AX117" s="65"/>
      <c r="AY117" s="65"/>
      <c r="AZ117" s="65"/>
      <c r="BA117" s="65"/>
      <c r="BB117" s="65"/>
      <c r="BC117" s="65"/>
    </row>
    <row r="118" spans="1:55" s="120" customFormat="1" ht="41.25" hidden="1" customHeight="1" x14ac:dyDescent="0.35">
      <c r="A118" s="71">
        <v>200</v>
      </c>
      <c r="B118" s="83">
        <v>31608</v>
      </c>
      <c r="C118" s="65" t="s">
        <v>262</v>
      </c>
      <c r="D118" s="65">
        <v>4</v>
      </c>
      <c r="E118" s="65"/>
      <c r="F118" s="65">
        <v>32.799999999999997</v>
      </c>
      <c r="G118" s="111">
        <v>1148.3</v>
      </c>
      <c r="H118" s="20" t="s">
        <v>268</v>
      </c>
      <c r="I118" s="91" t="s">
        <v>269</v>
      </c>
      <c r="J118" s="20" t="s">
        <v>270</v>
      </c>
      <c r="K118" s="65"/>
      <c r="L118" s="65"/>
      <c r="M118" s="65"/>
      <c r="N118" s="65"/>
      <c r="O118" s="65"/>
      <c r="P118" s="65"/>
      <c r="Q118" s="65"/>
      <c r="R118" s="65"/>
      <c r="S118" s="65"/>
      <c r="T118" s="65"/>
      <c r="U118" s="65"/>
      <c r="V118" s="65"/>
      <c r="W118" s="65"/>
      <c r="X118" s="65"/>
      <c r="Y118" s="65"/>
      <c r="Z118" s="65"/>
      <c r="AA118" s="65"/>
      <c r="AB118" s="65"/>
      <c r="AC118" s="65"/>
      <c r="AD118" s="65"/>
      <c r="AE118" s="65"/>
      <c r="AF118" s="65"/>
      <c r="AG118" s="65"/>
      <c r="AH118" s="65"/>
      <c r="AI118" s="65"/>
      <c r="AJ118" s="65"/>
      <c r="AK118" s="65"/>
      <c r="AL118" s="65"/>
      <c r="AM118" s="65"/>
      <c r="AN118" s="65"/>
      <c r="AO118" s="65"/>
      <c r="AP118" s="65"/>
      <c r="AQ118" s="65"/>
      <c r="AR118" s="65"/>
      <c r="AS118" s="65"/>
      <c r="AT118" s="65"/>
      <c r="AU118" s="65"/>
      <c r="AV118" s="65"/>
      <c r="AW118" s="65"/>
      <c r="AX118" s="65"/>
      <c r="AY118" s="65"/>
      <c r="AZ118" s="65"/>
      <c r="BA118" s="65"/>
      <c r="BB118" s="65"/>
      <c r="BC118" s="65"/>
    </row>
    <row r="119" spans="1:55" s="120" customFormat="1" ht="41.25" hidden="1" customHeight="1" x14ac:dyDescent="0.35">
      <c r="A119" s="71">
        <v>200</v>
      </c>
      <c r="B119" s="83">
        <v>31620</v>
      </c>
      <c r="C119" s="65" t="s">
        <v>271</v>
      </c>
      <c r="D119" s="65">
        <v>1</v>
      </c>
      <c r="E119" s="65">
        <v>0.5</v>
      </c>
      <c r="F119" s="65">
        <v>2</v>
      </c>
      <c r="G119" s="111">
        <v>70</v>
      </c>
      <c r="H119" s="57" t="s">
        <v>272</v>
      </c>
      <c r="I119" s="57" t="s">
        <v>257</v>
      </c>
      <c r="J119" s="71"/>
      <c r="K119" s="65"/>
      <c r="L119" s="65"/>
      <c r="M119" s="65"/>
      <c r="N119" s="65"/>
      <c r="O119" s="65"/>
      <c r="P119" s="65"/>
      <c r="Q119" s="65"/>
      <c r="R119" s="65"/>
      <c r="S119" s="65"/>
      <c r="T119" s="65"/>
      <c r="U119" s="65"/>
      <c r="V119" s="65"/>
      <c r="W119" s="65"/>
      <c r="X119" s="65"/>
      <c r="Y119" s="65"/>
      <c r="Z119" s="65"/>
      <c r="AA119" s="65"/>
      <c r="AB119" s="65"/>
      <c r="AC119" s="65"/>
      <c r="AD119" s="65"/>
      <c r="AE119" s="65"/>
      <c r="AF119" s="65"/>
      <c r="AG119" s="65"/>
      <c r="AH119" s="65"/>
      <c r="AI119" s="65"/>
      <c r="AJ119" s="65"/>
      <c r="AK119" s="65"/>
      <c r="AL119" s="65"/>
      <c r="AM119" s="65"/>
      <c r="AN119" s="65"/>
      <c r="AO119" s="65"/>
      <c r="AP119" s="65"/>
      <c r="AQ119" s="65"/>
      <c r="AR119" s="65"/>
      <c r="AS119" s="65"/>
      <c r="AT119" s="65"/>
      <c r="AU119" s="65"/>
      <c r="AV119" s="65"/>
      <c r="AW119" s="65"/>
      <c r="AX119" s="65"/>
      <c r="AY119" s="65"/>
      <c r="AZ119" s="65"/>
      <c r="BA119" s="65"/>
      <c r="BB119" s="65"/>
      <c r="BC119" s="65"/>
    </row>
    <row r="120" spans="1:55" s="65" customFormat="1" ht="33.75" hidden="1" customHeight="1" x14ac:dyDescent="0.35">
      <c r="A120" s="71"/>
      <c r="B120" s="83">
        <v>31620</v>
      </c>
      <c r="C120" s="65" t="s">
        <v>271</v>
      </c>
      <c r="D120" s="65">
        <v>2</v>
      </c>
      <c r="F120" s="65">
        <v>8.4</v>
      </c>
      <c r="G120" s="111">
        <v>294</v>
      </c>
      <c r="H120" s="57" t="s">
        <v>273</v>
      </c>
      <c r="I120" s="57" t="s">
        <v>241</v>
      </c>
      <c r="J120" s="71"/>
    </row>
    <row r="121" spans="1:55" s="65" customFormat="1" ht="33.75" hidden="1" customHeight="1" x14ac:dyDescent="0.35">
      <c r="A121" s="71"/>
      <c r="B121" s="83">
        <v>31620</v>
      </c>
      <c r="C121" s="65" t="s">
        <v>271</v>
      </c>
      <c r="D121" s="65">
        <v>3</v>
      </c>
      <c r="F121" s="65">
        <v>12.9</v>
      </c>
      <c r="G121" s="111">
        <v>454</v>
      </c>
      <c r="H121" s="57" t="s">
        <v>274</v>
      </c>
      <c r="I121" s="57" t="s">
        <v>243</v>
      </c>
      <c r="J121" s="71"/>
    </row>
    <row r="122" spans="1:55" s="65" customFormat="1" ht="45.75" hidden="1" customHeight="1" x14ac:dyDescent="0.35">
      <c r="A122" s="71">
        <v>200</v>
      </c>
      <c r="B122" s="83">
        <v>31624</v>
      </c>
      <c r="C122" s="65" t="s">
        <v>275</v>
      </c>
      <c r="D122" s="65">
        <v>1</v>
      </c>
      <c r="F122" s="65">
        <v>2</v>
      </c>
      <c r="G122" s="111">
        <v>70</v>
      </c>
      <c r="H122" s="108" t="s">
        <v>276</v>
      </c>
      <c r="I122" s="112" t="s">
        <v>277</v>
      </c>
      <c r="J122" s="71"/>
    </row>
    <row r="123" spans="1:55" s="65" customFormat="1" ht="45.75" hidden="1" customHeight="1" x14ac:dyDescent="0.35">
      <c r="A123" s="71">
        <v>200</v>
      </c>
      <c r="B123" s="83">
        <v>31624</v>
      </c>
      <c r="C123" s="65" t="s">
        <v>275</v>
      </c>
      <c r="D123" s="65">
        <v>2</v>
      </c>
      <c r="F123" s="65">
        <v>14</v>
      </c>
      <c r="G123" s="111">
        <v>490</v>
      </c>
      <c r="H123" s="57" t="s">
        <v>278</v>
      </c>
      <c r="I123" s="57" t="s">
        <v>279</v>
      </c>
      <c r="J123" s="71"/>
    </row>
    <row r="124" spans="1:55" s="65" customFormat="1" ht="45.75" hidden="1" customHeight="1" x14ac:dyDescent="0.35">
      <c r="A124" s="71">
        <v>200</v>
      </c>
      <c r="B124" s="83">
        <v>31624</v>
      </c>
      <c r="C124" s="65" t="s">
        <v>275</v>
      </c>
      <c r="D124" s="65">
        <v>3</v>
      </c>
      <c r="F124" s="65">
        <v>28.5</v>
      </c>
      <c r="G124" s="111">
        <v>997</v>
      </c>
      <c r="H124" s="57" t="s">
        <v>280</v>
      </c>
      <c r="I124" s="57" t="s">
        <v>281</v>
      </c>
      <c r="J124" s="71"/>
    </row>
    <row r="125" spans="1:55" s="65" customFormat="1" ht="45.75" hidden="1" customHeight="1" x14ac:dyDescent="0.35">
      <c r="A125" s="21">
        <v>200</v>
      </c>
      <c r="B125" s="22">
        <v>31624</v>
      </c>
      <c r="C125" s="324" t="s">
        <v>275</v>
      </c>
      <c r="D125" s="21">
        <v>4</v>
      </c>
      <c r="E125" s="21"/>
      <c r="F125" s="21">
        <v>35.5</v>
      </c>
      <c r="G125" s="382">
        <v>1242</v>
      </c>
      <c r="H125" s="23" t="s">
        <v>282</v>
      </c>
      <c r="I125" s="23" t="s">
        <v>283</v>
      </c>
      <c r="J125" s="42"/>
    </row>
    <row r="126" spans="1:55" s="65" customFormat="1" ht="50.25" hidden="1" customHeight="1" x14ac:dyDescent="0.35">
      <c r="B126" s="64">
        <v>31652</v>
      </c>
      <c r="C126" s="65" t="s">
        <v>284</v>
      </c>
      <c r="D126" s="65">
        <v>1</v>
      </c>
      <c r="E126" s="65">
        <v>0.5</v>
      </c>
      <c r="F126" s="65">
        <v>2.2000000000000002</v>
      </c>
      <c r="G126" s="111">
        <v>77.8</v>
      </c>
      <c r="H126" s="67" t="s">
        <v>285</v>
      </c>
      <c r="I126" s="67" t="s">
        <v>286</v>
      </c>
    </row>
    <row r="127" spans="1:55" s="65" customFormat="1" ht="50.25" hidden="1" customHeight="1" x14ac:dyDescent="0.35">
      <c r="B127" s="64">
        <v>31652</v>
      </c>
      <c r="C127" s="65" t="s">
        <v>284</v>
      </c>
      <c r="D127" s="65">
        <v>2</v>
      </c>
      <c r="E127" s="65">
        <v>2</v>
      </c>
      <c r="F127" s="65">
        <v>8</v>
      </c>
      <c r="G127" s="111">
        <v>280</v>
      </c>
      <c r="H127" s="67" t="s">
        <v>287</v>
      </c>
      <c r="I127" s="67" t="s">
        <v>288</v>
      </c>
    </row>
    <row r="128" spans="1:55" s="65" customFormat="1" ht="50.25" hidden="1" customHeight="1" x14ac:dyDescent="0.35">
      <c r="B128" s="64">
        <v>31652</v>
      </c>
      <c r="C128" s="65" t="s">
        <v>284</v>
      </c>
      <c r="D128" s="65">
        <v>3</v>
      </c>
      <c r="E128" s="65">
        <v>4.5</v>
      </c>
      <c r="F128" s="65">
        <v>14.2</v>
      </c>
      <c r="G128" s="111">
        <v>496.4</v>
      </c>
      <c r="H128" s="67" t="s">
        <v>289</v>
      </c>
      <c r="I128" s="67" t="s">
        <v>290</v>
      </c>
    </row>
    <row r="129" spans="1:56" s="65" customFormat="1" ht="50.25" hidden="1" customHeight="1" x14ac:dyDescent="0.35">
      <c r="A129" s="65" t="s">
        <v>291</v>
      </c>
      <c r="B129" s="64">
        <v>31660</v>
      </c>
      <c r="C129" s="65" t="s">
        <v>292</v>
      </c>
      <c r="D129" s="65">
        <v>1</v>
      </c>
      <c r="E129" s="65">
        <v>0.5</v>
      </c>
      <c r="F129" s="65">
        <v>2.2999999999999998</v>
      </c>
      <c r="G129" s="111">
        <v>79.3</v>
      </c>
      <c r="H129" s="67" t="s">
        <v>293</v>
      </c>
      <c r="I129" s="67" t="s">
        <v>294</v>
      </c>
    </row>
    <row r="130" spans="1:56" s="65" customFormat="1" ht="50.25" hidden="1" customHeight="1" x14ac:dyDescent="0.35">
      <c r="A130" s="65" t="s">
        <v>291</v>
      </c>
      <c r="B130" s="64">
        <v>31660</v>
      </c>
      <c r="C130" s="65" t="s">
        <v>292</v>
      </c>
      <c r="D130" s="65">
        <v>2</v>
      </c>
      <c r="E130" s="65">
        <v>2</v>
      </c>
      <c r="F130" s="66">
        <f>G130/35</f>
        <v>6.4942857142857147</v>
      </c>
      <c r="G130" s="111">
        <f>G129+148</f>
        <v>227.3</v>
      </c>
      <c r="H130" s="116" t="s">
        <v>295</v>
      </c>
      <c r="I130" s="67" t="s">
        <v>296</v>
      </c>
    </row>
    <row r="131" spans="1:56" s="65" customFormat="1" ht="50.25" hidden="1" customHeight="1" x14ac:dyDescent="0.35">
      <c r="A131" s="65" t="s">
        <v>291</v>
      </c>
      <c r="B131" s="64">
        <v>31661</v>
      </c>
      <c r="C131" s="65" t="s">
        <v>292</v>
      </c>
      <c r="D131" s="65">
        <v>3</v>
      </c>
      <c r="E131" s="65">
        <v>4.5</v>
      </c>
      <c r="F131" s="66">
        <f>G131/35</f>
        <v>11.465714285714286</v>
      </c>
      <c r="G131" s="111">
        <f>G130+54+120</f>
        <v>401.3</v>
      </c>
      <c r="H131" s="116" t="s">
        <v>297</v>
      </c>
      <c r="I131" s="67" t="s">
        <v>298</v>
      </c>
    </row>
    <row r="132" spans="1:56" s="65" customFormat="1" ht="15" hidden="1" customHeight="1" x14ac:dyDescent="0.35">
      <c r="A132" s="65" t="s">
        <v>291</v>
      </c>
      <c r="B132" s="64">
        <v>31661</v>
      </c>
      <c r="C132" s="65" t="s">
        <v>292</v>
      </c>
      <c r="D132" s="65">
        <v>4</v>
      </c>
      <c r="F132" s="66">
        <f>G132/35</f>
        <v>26.252857142857142</v>
      </c>
      <c r="G132" s="359">
        <f>G130+G131+243+47.25</f>
        <v>918.85</v>
      </c>
      <c r="H132" s="67" t="s">
        <v>299</v>
      </c>
      <c r="I132" s="67" t="s">
        <v>300</v>
      </c>
    </row>
    <row r="133" spans="1:56" s="65" customFormat="1" ht="61.5" hidden="1" customHeight="1" x14ac:dyDescent="0.35">
      <c r="B133" s="64">
        <v>31662</v>
      </c>
      <c r="C133" s="65" t="s">
        <v>301</v>
      </c>
      <c r="D133" s="65">
        <v>1</v>
      </c>
      <c r="E133" s="65">
        <v>0.5</v>
      </c>
      <c r="F133" s="65">
        <v>1.1000000000000001</v>
      </c>
      <c r="G133" s="111">
        <v>38.9</v>
      </c>
      <c r="H133" s="67" t="s">
        <v>302</v>
      </c>
      <c r="I133" s="65" t="s">
        <v>286</v>
      </c>
    </row>
    <row r="134" spans="1:56" ht="87" hidden="1" customHeight="1" x14ac:dyDescent="0.35">
      <c r="A134" s="65"/>
      <c r="B134" s="64">
        <v>31662</v>
      </c>
      <c r="C134" s="65" t="s">
        <v>301</v>
      </c>
      <c r="D134" s="65">
        <v>2</v>
      </c>
      <c r="E134" s="65">
        <v>2</v>
      </c>
      <c r="F134" s="65">
        <v>5.8</v>
      </c>
      <c r="G134" s="111">
        <v>201.3</v>
      </c>
      <c r="H134" s="67" t="s">
        <v>303</v>
      </c>
      <c r="I134" s="65" t="s">
        <v>288</v>
      </c>
      <c r="J134" s="65"/>
    </row>
    <row r="135" spans="1:56" s="65" customFormat="1" ht="15" hidden="1" customHeight="1" x14ac:dyDescent="0.35">
      <c r="A135" s="65">
        <v>311</v>
      </c>
      <c r="B135" s="64">
        <v>31663</v>
      </c>
      <c r="C135" s="65" t="s">
        <v>304</v>
      </c>
      <c r="D135" s="65">
        <v>1</v>
      </c>
      <c r="E135" s="65">
        <v>0.5</v>
      </c>
      <c r="F135" s="66">
        <v>3.15</v>
      </c>
      <c r="G135" s="111">
        <v>110</v>
      </c>
      <c r="H135" s="67" t="s">
        <v>305</v>
      </c>
      <c r="I135" s="121" t="s">
        <v>306</v>
      </c>
    </row>
    <row r="136" spans="1:56" s="65" customFormat="1" ht="15" hidden="1" customHeight="1" x14ac:dyDescent="0.35">
      <c r="A136" s="65">
        <v>311</v>
      </c>
      <c r="B136" s="64">
        <v>31663</v>
      </c>
      <c r="C136" s="65" t="s">
        <v>304</v>
      </c>
      <c r="D136" s="65">
        <v>2</v>
      </c>
      <c r="E136" s="65">
        <v>2</v>
      </c>
      <c r="F136" s="66">
        <f t="shared" ref="F136:F144" si="3">G136/35</f>
        <v>11.285714285714286</v>
      </c>
      <c r="G136" s="111">
        <f>G135+285</f>
        <v>395</v>
      </c>
      <c r="H136" s="67" t="s">
        <v>307</v>
      </c>
      <c r="I136" s="122" t="s">
        <v>308</v>
      </c>
    </row>
    <row r="137" spans="1:56" s="18" customFormat="1" ht="46.5" hidden="1" customHeight="1" x14ac:dyDescent="0.35">
      <c r="A137" s="65">
        <v>311</v>
      </c>
      <c r="B137" s="64">
        <v>31663</v>
      </c>
      <c r="C137" s="65" t="s">
        <v>304</v>
      </c>
      <c r="D137" s="65">
        <v>3</v>
      </c>
      <c r="E137" s="65">
        <v>4.5</v>
      </c>
      <c r="F137" s="66">
        <f t="shared" si="3"/>
        <v>18.085714285714285</v>
      </c>
      <c r="G137" s="111">
        <f>G136+238</f>
        <v>633</v>
      </c>
      <c r="H137" s="67" t="s">
        <v>309</v>
      </c>
      <c r="I137" s="121" t="s">
        <v>310</v>
      </c>
      <c r="J137" s="65"/>
      <c r="K137" s="42"/>
      <c r="L137" s="42"/>
      <c r="M137" s="42"/>
      <c r="N137" s="42"/>
      <c r="O137" s="42"/>
      <c r="P137" s="42"/>
      <c r="Q137" s="42"/>
      <c r="R137" s="42"/>
      <c r="S137" s="42"/>
      <c r="T137" s="42"/>
      <c r="U137" s="42"/>
      <c r="V137" s="42"/>
      <c r="W137" s="42"/>
      <c r="X137" s="42"/>
      <c r="Y137" s="42"/>
      <c r="Z137" s="42"/>
      <c r="AA137" s="42"/>
      <c r="AB137" s="42"/>
      <c r="AC137" s="42"/>
      <c r="AD137" s="42"/>
      <c r="AE137" s="42"/>
      <c r="AF137" s="42"/>
      <c r="AG137" s="42"/>
      <c r="AH137" s="42"/>
      <c r="AI137" s="42"/>
      <c r="AJ137" s="42"/>
      <c r="AK137" s="42"/>
      <c r="AL137" s="42"/>
      <c r="AM137" s="42"/>
      <c r="AN137" s="42"/>
      <c r="AO137" s="42"/>
      <c r="AP137" s="42"/>
      <c r="AQ137" s="42"/>
      <c r="AR137" s="42"/>
      <c r="AS137" s="42"/>
      <c r="AT137" s="42"/>
      <c r="AU137" s="42"/>
      <c r="AV137" s="42"/>
      <c r="AW137" s="42"/>
      <c r="AX137" s="42"/>
      <c r="AY137" s="42"/>
      <c r="AZ137" s="42"/>
      <c r="BA137" s="42"/>
      <c r="BB137" s="42"/>
      <c r="BC137" s="42"/>
    </row>
    <row r="138" spans="1:56" s="18" customFormat="1" ht="45" hidden="1" customHeight="1" x14ac:dyDescent="0.35">
      <c r="A138" s="65">
        <v>311</v>
      </c>
      <c r="B138" s="64">
        <v>31663</v>
      </c>
      <c r="C138" s="65" t="s">
        <v>304</v>
      </c>
      <c r="D138" s="65">
        <v>4</v>
      </c>
      <c r="E138" s="65"/>
      <c r="F138" s="66">
        <f t="shared" si="3"/>
        <v>24.37142857142857</v>
      </c>
      <c r="G138" s="111">
        <f>G137+220</f>
        <v>853</v>
      </c>
      <c r="H138" s="67" t="s">
        <v>311</v>
      </c>
      <c r="I138" s="123" t="s">
        <v>312</v>
      </c>
      <c r="J138" s="65"/>
      <c r="K138" s="42"/>
      <c r="L138" s="42"/>
      <c r="M138" s="42"/>
      <c r="N138" s="42"/>
      <c r="O138" s="42"/>
      <c r="P138" s="42"/>
      <c r="Q138" s="42"/>
      <c r="R138" s="42"/>
      <c r="S138" s="42"/>
      <c r="T138" s="42"/>
      <c r="U138" s="42"/>
      <c r="V138" s="42"/>
      <c r="W138" s="42"/>
      <c r="X138" s="42"/>
      <c r="Y138" s="42"/>
      <c r="Z138" s="42"/>
      <c r="AA138" s="42"/>
      <c r="AB138" s="42"/>
      <c r="AC138" s="42"/>
      <c r="AD138" s="42"/>
      <c r="AE138" s="42"/>
      <c r="AF138" s="42"/>
      <c r="AG138" s="42"/>
      <c r="AH138" s="42"/>
      <c r="AI138" s="42"/>
      <c r="AJ138" s="42"/>
      <c r="AK138" s="42"/>
      <c r="AL138" s="42"/>
      <c r="AM138" s="42"/>
      <c r="AN138" s="42"/>
      <c r="AO138" s="42"/>
      <c r="AP138" s="42"/>
      <c r="AQ138" s="42"/>
      <c r="AR138" s="42"/>
      <c r="AS138" s="42"/>
      <c r="AT138" s="42"/>
      <c r="AU138" s="42"/>
      <c r="AV138" s="42"/>
      <c r="AW138" s="42"/>
      <c r="AX138" s="42"/>
      <c r="AY138" s="42"/>
      <c r="AZ138" s="42"/>
      <c r="BA138" s="42"/>
      <c r="BB138" s="42"/>
      <c r="BC138" s="42"/>
    </row>
    <row r="139" spans="1:56" s="42" customFormat="1" ht="29.25" hidden="1" customHeight="1" x14ac:dyDescent="0.35">
      <c r="A139" s="65">
        <v>311</v>
      </c>
      <c r="B139" s="64">
        <v>31721</v>
      </c>
      <c r="C139" s="65" t="s">
        <v>313</v>
      </c>
      <c r="D139" s="65">
        <v>1</v>
      </c>
      <c r="E139" s="65">
        <v>0.5</v>
      </c>
      <c r="F139" s="66">
        <f t="shared" si="3"/>
        <v>8.5714285714285712</v>
      </c>
      <c r="G139" s="359">
        <v>300</v>
      </c>
      <c r="H139" s="67" t="s">
        <v>314</v>
      </c>
      <c r="I139" s="67" t="s">
        <v>315</v>
      </c>
      <c r="J139" s="65"/>
    </row>
    <row r="140" spans="1:56" s="19" customFormat="1" ht="76.5" hidden="1" customHeight="1" x14ac:dyDescent="0.35">
      <c r="A140" s="65">
        <v>311</v>
      </c>
      <c r="B140" s="64">
        <v>31721</v>
      </c>
      <c r="C140" s="65" t="s">
        <v>313</v>
      </c>
      <c r="D140" s="65">
        <v>2</v>
      </c>
      <c r="E140" s="65">
        <v>2</v>
      </c>
      <c r="F140" s="66">
        <f t="shared" si="3"/>
        <v>12.247619047619047</v>
      </c>
      <c r="G140" s="359">
        <f>300+1/3*386</f>
        <v>428.66666666666663</v>
      </c>
      <c r="H140" s="67" t="s">
        <v>316</v>
      </c>
      <c r="I140" s="67" t="s">
        <v>306</v>
      </c>
      <c r="J140" s="65"/>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row>
    <row r="141" spans="1:56" s="119" customFormat="1" ht="15" hidden="1" customHeight="1" x14ac:dyDescent="0.35">
      <c r="A141" s="65">
        <v>311</v>
      </c>
      <c r="B141" s="64">
        <v>31721</v>
      </c>
      <c r="C141" s="65" t="s">
        <v>313</v>
      </c>
      <c r="D141" s="65">
        <v>3</v>
      </c>
      <c r="E141" s="113">
        <v>4.5</v>
      </c>
      <c r="F141" s="114">
        <f t="shared" si="3"/>
        <v>18.950476190476191</v>
      </c>
      <c r="G141" s="263">
        <f>G140+234.6</f>
        <v>663.26666666666665</v>
      </c>
      <c r="H141" s="115" t="s">
        <v>317</v>
      </c>
      <c r="I141" s="115" t="s">
        <v>318</v>
      </c>
      <c r="J141" s="65"/>
      <c r="K141" s="65"/>
      <c r="L141" s="65"/>
      <c r="M141" s="65"/>
      <c r="N141" s="65"/>
      <c r="O141" s="65"/>
      <c r="P141" s="65"/>
      <c r="Q141" s="65"/>
      <c r="R141" s="65"/>
      <c r="S141" s="65"/>
      <c r="T141" s="65"/>
      <c r="U141" s="65"/>
      <c r="V141" s="65"/>
      <c r="W141" s="65"/>
      <c r="X141" s="65"/>
      <c r="Y141" s="65"/>
      <c r="Z141" s="65"/>
      <c r="AA141" s="65"/>
      <c r="AB141" s="65"/>
      <c r="AC141" s="65"/>
      <c r="AD141" s="65"/>
      <c r="AE141" s="65"/>
      <c r="AF141" s="65"/>
      <c r="AG141" s="65"/>
      <c r="AH141" s="65"/>
      <c r="AI141" s="65"/>
      <c r="AJ141" s="65"/>
      <c r="AK141" s="65"/>
      <c r="AL141" s="65"/>
      <c r="AM141" s="65"/>
      <c r="AN141" s="65"/>
      <c r="AO141" s="65"/>
      <c r="AP141" s="65"/>
      <c r="AQ141" s="65"/>
      <c r="AR141" s="65"/>
      <c r="AS141" s="65"/>
      <c r="AT141" s="65"/>
      <c r="AU141" s="65"/>
      <c r="AV141" s="65"/>
      <c r="AW141" s="65"/>
      <c r="AX141" s="65"/>
      <c r="AY141" s="65"/>
      <c r="AZ141" s="65"/>
      <c r="BA141" s="65"/>
      <c r="BB141" s="65"/>
      <c r="BC141" s="65"/>
    </row>
    <row r="142" spans="1:56" s="65" customFormat="1" ht="15" hidden="1" customHeight="1" x14ac:dyDescent="0.35">
      <c r="A142" s="65">
        <v>311</v>
      </c>
      <c r="B142" s="64">
        <v>31743</v>
      </c>
      <c r="C142" s="65" t="s">
        <v>319</v>
      </c>
      <c r="D142" s="65">
        <v>1</v>
      </c>
      <c r="E142" s="113">
        <v>0.5</v>
      </c>
      <c r="F142" s="114">
        <f t="shared" si="3"/>
        <v>8.5714285714285712</v>
      </c>
      <c r="G142" s="179">
        <v>300</v>
      </c>
      <c r="H142" s="67" t="s">
        <v>320</v>
      </c>
      <c r="I142" s="67" t="s">
        <v>315</v>
      </c>
    </row>
    <row r="143" spans="1:56" s="120" customFormat="1" ht="15" hidden="1" customHeight="1" x14ac:dyDescent="0.35">
      <c r="A143" s="65">
        <v>311</v>
      </c>
      <c r="B143" s="64">
        <v>31743</v>
      </c>
      <c r="C143" s="65" t="s">
        <v>319</v>
      </c>
      <c r="D143" s="65">
        <v>2</v>
      </c>
      <c r="E143" s="65">
        <v>2</v>
      </c>
      <c r="F143" s="114">
        <f t="shared" si="3"/>
        <v>12.247619047619047</v>
      </c>
      <c r="G143" s="359">
        <f>G142+1/3*386</f>
        <v>428.66666666666663</v>
      </c>
      <c r="H143" s="67" t="s">
        <v>316</v>
      </c>
      <c r="I143" s="115" t="s">
        <v>306</v>
      </c>
      <c r="J143" s="65"/>
      <c r="K143" s="65"/>
      <c r="L143" s="65"/>
      <c r="M143" s="65"/>
      <c r="N143" s="65"/>
      <c r="O143" s="65"/>
      <c r="P143" s="65"/>
      <c r="Q143" s="65"/>
      <c r="R143" s="65"/>
      <c r="S143" s="65"/>
      <c r="T143" s="65"/>
      <c r="U143" s="65"/>
      <c r="V143" s="65"/>
      <c r="W143" s="65"/>
      <c r="X143" s="65"/>
      <c r="Y143" s="65"/>
      <c r="Z143" s="65"/>
      <c r="AA143" s="65"/>
      <c r="AB143" s="65"/>
      <c r="AC143" s="65"/>
      <c r="AD143" s="65"/>
      <c r="AE143" s="65"/>
      <c r="AF143" s="65"/>
      <c r="AG143" s="65"/>
      <c r="AH143" s="65"/>
      <c r="AI143" s="65"/>
      <c r="AJ143" s="65"/>
      <c r="AK143" s="65"/>
      <c r="AL143" s="65"/>
      <c r="AM143" s="65"/>
      <c r="AN143" s="65"/>
      <c r="AO143" s="65"/>
      <c r="AP143" s="65"/>
      <c r="AQ143" s="65"/>
      <c r="AR143" s="65"/>
      <c r="AS143" s="65"/>
      <c r="AT143" s="65"/>
      <c r="AU143" s="65"/>
      <c r="AV143" s="65"/>
      <c r="AW143" s="65"/>
      <c r="AX143" s="65"/>
      <c r="AY143" s="65"/>
      <c r="AZ143" s="65"/>
      <c r="BA143" s="65"/>
      <c r="BB143" s="65"/>
      <c r="BC143" s="65"/>
      <c r="BD143" s="65"/>
    </row>
    <row r="144" spans="1:56" s="9" customFormat="1" ht="76.5" hidden="1" customHeight="1" x14ac:dyDescent="0.35">
      <c r="A144" s="65">
        <v>311</v>
      </c>
      <c r="B144" s="64">
        <v>31743</v>
      </c>
      <c r="C144" s="65" t="s">
        <v>319</v>
      </c>
      <c r="D144" s="65">
        <v>3</v>
      </c>
      <c r="E144" s="113">
        <v>4.5</v>
      </c>
      <c r="F144" s="114">
        <f t="shared" si="3"/>
        <v>18.950476190476191</v>
      </c>
      <c r="G144" s="263">
        <f>G143+234.6</f>
        <v>663.26666666666665</v>
      </c>
      <c r="H144" s="115" t="s">
        <v>317</v>
      </c>
      <c r="I144" s="115" t="s">
        <v>318</v>
      </c>
      <c r="J144" s="65"/>
    </row>
    <row r="145" spans="1:10" s="9" customFormat="1" ht="141" hidden="1" customHeight="1" x14ac:dyDescent="0.35">
      <c r="A145" s="65">
        <v>311</v>
      </c>
      <c r="B145" s="64">
        <v>31747</v>
      </c>
      <c r="C145" s="65" t="s">
        <v>321</v>
      </c>
      <c r="D145" s="65">
        <v>1</v>
      </c>
      <c r="E145" s="113"/>
      <c r="F145" s="306">
        <f>G145/35</f>
        <v>2.9742857142857142</v>
      </c>
      <c r="G145" s="263">
        <v>104.1</v>
      </c>
      <c r="H145" s="115" t="s">
        <v>322</v>
      </c>
      <c r="I145" s="115" t="s">
        <v>323</v>
      </c>
      <c r="J145" s="65"/>
    </row>
    <row r="146" spans="1:10" s="9" customFormat="1" ht="208.5" hidden="1" customHeight="1" x14ac:dyDescent="0.35">
      <c r="A146" s="65">
        <v>311</v>
      </c>
      <c r="B146" s="64">
        <v>31747</v>
      </c>
      <c r="C146" s="65" t="s">
        <v>321</v>
      </c>
      <c r="D146" s="65">
        <v>2</v>
      </c>
      <c r="E146" s="113"/>
      <c r="F146" s="306">
        <v>4.3</v>
      </c>
      <c r="G146" s="263">
        <v>152</v>
      </c>
      <c r="H146" s="115" t="s">
        <v>324</v>
      </c>
      <c r="I146" s="115" t="s">
        <v>325</v>
      </c>
      <c r="J146" s="76"/>
    </row>
    <row r="147" spans="1:10" s="9" customFormat="1" ht="69.75" hidden="1" customHeight="1" x14ac:dyDescent="0.35">
      <c r="A147" s="65">
        <v>311</v>
      </c>
      <c r="B147" s="64">
        <v>31754</v>
      </c>
      <c r="C147" s="65" t="s">
        <v>326</v>
      </c>
      <c r="D147" s="65">
        <v>1</v>
      </c>
      <c r="E147" s="65"/>
      <c r="F147" s="65">
        <v>1</v>
      </c>
      <c r="G147" s="111">
        <v>35</v>
      </c>
      <c r="H147" s="115" t="s">
        <v>327</v>
      </c>
      <c r="I147" s="115" t="s">
        <v>328</v>
      </c>
      <c r="J147" s="65"/>
    </row>
    <row r="148" spans="1:10" s="9" customFormat="1" ht="102.75" hidden="1" customHeight="1" x14ac:dyDescent="0.35">
      <c r="A148" s="65">
        <v>311</v>
      </c>
      <c r="B148" s="64">
        <v>31754</v>
      </c>
      <c r="C148" s="65" t="s">
        <v>326</v>
      </c>
      <c r="D148" s="65">
        <v>2</v>
      </c>
      <c r="E148" s="65">
        <v>0.5</v>
      </c>
      <c r="F148" s="65">
        <v>2.2000000000000002</v>
      </c>
      <c r="G148" s="111">
        <v>76</v>
      </c>
      <c r="H148" s="67" t="s">
        <v>329</v>
      </c>
      <c r="I148" s="67" t="s">
        <v>294</v>
      </c>
      <c r="J148" s="65"/>
    </row>
    <row r="149" spans="1:10" s="9" customFormat="1" ht="102.75" hidden="1" customHeight="1" x14ac:dyDescent="0.35">
      <c r="A149" s="65">
        <v>311</v>
      </c>
      <c r="B149" s="64">
        <v>31759</v>
      </c>
      <c r="C149" s="65" t="s">
        <v>330</v>
      </c>
      <c r="D149" s="65" t="s">
        <v>331</v>
      </c>
      <c r="E149" s="65"/>
      <c r="F149" s="65">
        <f>G149/35</f>
        <v>1.8</v>
      </c>
      <c r="G149" s="111">
        <v>63</v>
      </c>
      <c r="H149" s="67" t="s">
        <v>332</v>
      </c>
      <c r="I149" s="67" t="s">
        <v>333</v>
      </c>
      <c r="J149" s="65"/>
    </row>
    <row r="150" spans="1:10" ht="75" hidden="1" customHeight="1" x14ac:dyDescent="0.35">
      <c r="A150" s="65">
        <v>311</v>
      </c>
      <c r="B150" s="64">
        <v>31768</v>
      </c>
      <c r="C150" s="65" t="s">
        <v>334</v>
      </c>
      <c r="D150" s="65">
        <v>1</v>
      </c>
      <c r="E150" s="65">
        <v>1</v>
      </c>
      <c r="F150" s="65">
        <v>0.4</v>
      </c>
      <c r="G150" s="111">
        <v>71</v>
      </c>
      <c r="H150" s="67" t="s">
        <v>335</v>
      </c>
      <c r="I150" s="116" t="s">
        <v>328</v>
      </c>
      <c r="J150" s="65"/>
    </row>
    <row r="151" spans="1:10" ht="101.5" hidden="1" x14ac:dyDescent="0.35">
      <c r="A151" s="65">
        <v>311</v>
      </c>
      <c r="B151" s="64">
        <v>31768</v>
      </c>
      <c r="C151" s="65" t="s">
        <v>334</v>
      </c>
      <c r="D151" s="65">
        <v>2</v>
      </c>
      <c r="E151" s="65">
        <v>2</v>
      </c>
      <c r="F151" s="65">
        <f>G151/35</f>
        <v>5.2</v>
      </c>
      <c r="G151" s="111">
        <f>G150+111</f>
        <v>182</v>
      </c>
      <c r="H151" s="117" t="s">
        <v>336</v>
      </c>
      <c r="I151" s="116" t="s">
        <v>294</v>
      </c>
      <c r="J151" s="65"/>
    </row>
    <row r="152" spans="1:10" ht="93.75" hidden="1" customHeight="1" x14ac:dyDescent="0.35">
      <c r="A152" s="65">
        <v>311</v>
      </c>
      <c r="B152" s="64">
        <v>31807</v>
      </c>
      <c r="C152" s="65" t="s">
        <v>337</v>
      </c>
      <c r="D152" s="65">
        <v>1</v>
      </c>
      <c r="E152" s="65">
        <v>0.5</v>
      </c>
      <c r="F152" s="65">
        <v>2.2999999999999998</v>
      </c>
      <c r="G152" s="111">
        <v>82</v>
      </c>
      <c r="H152" s="67" t="s">
        <v>338</v>
      </c>
      <c r="I152" s="67" t="s">
        <v>339</v>
      </c>
      <c r="J152" s="42"/>
    </row>
    <row r="153" spans="1:10" ht="93.75" hidden="1" customHeight="1" x14ac:dyDescent="0.35">
      <c r="A153" s="65">
        <v>311</v>
      </c>
      <c r="B153" s="64">
        <v>31807</v>
      </c>
      <c r="C153" s="65" t="s">
        <v>337</v>
      </c>
      <c r="D153" s="65">
        <v>2</v>
      </c>
      <c r="E153" s="65">
        <v>2</v>
      </c>
      <c r="F153" s="66">
        <f>G153/35</f>
        <v>5.9714285714285715</v>
      </c>
      <c r="G153" s="111">
        <f>G152+127</f>
        <v>209</v>
      </c>
      <c r="H153" s="67" t="s">
        <v>340</v>
      </c>
      <c r="I153" s="67" t="s">
        <v>341</v>
      </c>
      <c r="J153" s="42"/>
    </row>
    <row r="154" spans="1:10" s="46" customFormat="1" ht="106.5" hidden="1" customHeight="1" x14ac:dyDescent="0.35">
      <c r="A154">
        <v>311</v>
      </c>
      <c r="B154" s="15">
        <v>31833</v>
      </c>
      <c r="C154" s="310" t="s">
        <v>342</v>
      </c>
      <c r="D154">
        <v>1</v>
      </c>
      <c r="E154">
        <v>0.5</v>
      </c>
      <c r="F154" s="25">
        <f>G154/35</f>
        <v>1.7142857142857142</v>
      </c>
      <c r="G154" s="367">
        <v>60</v>
      </c>
      <c r="H154" s="6" t="s">
        <v>343</v>
      </c>
      <c r="I154" s="6" t="s">
        <v>344</v>
      </c>
      <c r="J154" s="42"/>
    </row>
    <row r="155" spans="1:10" ht="123" hidden="1" customHeight="1" x14ac:dyDescent="0.35">
      <c r="A155">
        <v>311</v>
      </c>
      <c r="B155" s="15">
        <v>31833</v>
      </c>
      <c r="C155" s="310" t="s">
        <v>342</v>
      </c>
      <c r="D155">
        <v>2</v>
      </c>
      <c r="E155">
        <v>2</v>
      </c>
      <c r="F155" s="25">
        <f>G155/35</f>
        <v>13.714285714285714</v>
      </c>
      <c r="G155" s="367">
        <f>G154+420</f>
        <v>480</v>
      </c>
      <c r="H155" s="6" t="s">
        <v>345</v>
      </c>
      <c r="I155" s="6" t="s">
        <v>339</v>
      </c>
    </row>
    <row r="156" spans="1:10" ht="66.75" hidden="1" customHeight="1" x14ac:dyDescent="0.35">
      <c r="A156" s="65"/>
      <c r="B156" s="118">
        <v>31854</v>
      </c>
      <c r="C156" s="65" t="s">
        <v>346</v>
      </c>
      <c r="D156" s="65">
        <v>1</v>
      </c>
      <c r="E156" s="65">
        <v>0.5</v>
      </c>
      <c r="F156" s="66">
        <v>4.2107142857142854</v>
      </c>
      <c r="G156" s="359">
        <v>147.375</v>
      </c>
      <c r="H156" s="67" t="s">
        <v>347</v>
      </c>
      <c r="I156" s="65" t="s">
        <v>294</v>
      </c>
      <c r="J156" s="65"/>
    </row>
    <row r="157" spans="1:10" ht="123" hidden="1" customHeight="1" x14ac:dyDescent="0.35">
      <c r="A157" s="65"/>
      <c r="B157" s="118">
        <v>31854</v>
      </c>
      <c r="C157" s="65" t="s">
        <v>346</v>
      </c>
      <c r="D157" s="65">
        <v>2</v>
      </c>
      <c r="E157" s="65">
        <v>2</v>
      </c>
      <c r="F157" s="66">
        <v>12.147222222222222</v>
      </c>
      <c r="G157" s="359">
        <v>425.15277777777777</v>
      </c>
      <c r="H157" s="67" t="s">
        <v>348</v>
      </c>
      <c r="I157" s="65" t="s">
        <v>349</v>
      </c>
      <c r="J157" s="65"/>
    </row>
    <row r="158" spans="1:10" ht="15" hidden="1" customHeight="1" x14ac:dyDescent="0.35">
      <c r="A158" s="65"/>
      <c r="B158" s="118">
        <v>31854</v>
      </c>
      <c r="C158" s="65" t="s">
        <v>346</v>
      </c>
      <c r="D158" s="65">
        <v>3</v>
      </c>
      <c r="E158" s="65">
        <v>4.5</v>
      </c>
      <c r="F158" s="66">
        <v>19.967222222222222</v>
      </c>
      <c r="G158" s="359">
        <v>698.85277777777776</v>
      </c>
      <c r="H158" s="67" t="s">
        <v>350</v>
      </c>
      <c r="I158" s="67" t="s">
        <v>351</v>
      </c>
      <c r="J158" s="65"/>
    </row>
    <row r="159" spans="1:10" s="88" customFormat="1" ht="93.75" hidden="1" customHeight="1" x14ac:dyDescent="0.35">
      <c r="A159" s="88">
        <v>311</v>
      </c>
      <c r="B159" s="297">
        <v>31859</v>
      </c>
      <c r="C159" s="76" t="s">
        <v>352</v>
      </c>
      <c r="D159" s="88">
        <v>1</v>
      </c>
      <c r="F159" s="231">
        <f>G159/35</f>
        <v>7.2285714285714286</v>
      </c>
      <c r="G159" s="383">
        <v>253</v>
      </c>
      <c r="H159" s="24" t="s">
        <v>353</v>
      </c>
      <c r="I159" s="24" t="s">
        <v>354</v>
      </c>
    </row>
    <row r="160" spans="1:10" s="88" customFormat="1" ht="93.75" hidden="1" customHeight="1" x14ac:dyDescent="0.35">
      <c r="A160" s="88">
        <v>311</v>
      </c>
      <c r="B160" s="297">
        <v>31859</v>
      </c>
      <c r="C160" s="76" t="s">
        <v>352</v>
      </c>
      <c r="D160" s="88">
        <v>2</v>
      </c>
      <c r="F160" s="231">
        <f>G160/35</f>
        <v>8.5714285714285712</v>
      </c>
      <c r="G160" s="383">
        <f>G159+47</f>
        <v>300</v>
      </c>
      <c r="H160" s="24" t="s">
        <v>355</v>
      </c>
      <c r="I160" s="24" t="s">
        <v>356</v>
      </c>
    </row>
    <row r="161" spans="1:10" s="88" customFormat="1" ht="93.75" hidden="1" customHeight="1" x14ac:dyDescent="0.35">
      <c r="A161" s="88">
        <v>311</v>
      </c>
      <c r="B161" s="297">
        <v>31859</v>
      </c>
      <c r="C161" s="76" t="s">
        <v>352</v>
      </c>
      <c r="D161">
        <v>3</v>
      </c>
      <c r="E161"/>
      <c r="F161"/>
      <c r="G161" s="383">
        <v>463.6</v>
      </c>
      <c r="H161" s="24"/>
      <c r="I161" s="24"/>
    </row>
    <row r="162" spans="1:10" s="88" customFormat="1" ht="141.75" hidden="1" customHeight="1" x14ac:dyDescent="0.35">
      <c r="A162" s="88">
        <v>311</v>
      </c>
      <c r="B162" s="297">
        <v>31862</v>
      </c>
      <c r="C162" s="76" t="s">
        <v>357</v>
      </c>
      <c r="D162" s="88" t="s">
        <v>358</v>
      </c>
      <c r="F162" s="231">
        <f>G162/35</f>
        <v>5.4</v>
      </c>
      <c r="G162" s="383">
        <v>189</v>
      </c>
      <c r="H162" s="24" t="s">
        <v>359</v>
      </c>
      <c r="I162" s="24"/>
    </row>
    <row r="163" spans="1:10" s="88" customFormat="1" ht="141.75" hidden="1" customHeight="1" x14ac:dyDescent="0.35">
      <c r="A163" s="88">
        <v>311</v>
      </c>
      <c r="B163" s="297">
        <v>31866</v>
      </c>
      <c r="C163" s="76" t="s">
        <v>360</v>
      </c>
      <c r="D163" s="88">
        <v>1</v>
      </c>
      <c r="F163" s="231">
        <f>G163/35</f>
        <v>1.8</v>
      </c>
      <c r="G163" s="383">
        <v>63</v>
      </c>
      <c r="H163" s="24" t="s">
        <v>361</v>
      </c>
      <c r="I163" s="24" t="s">
        <v>362</v>
      </c>
    </row>
    <row r="164" spans="1:10" s="88" customFormat="1" ht="141.75" hidden="1" customHeight="1" x14ac:dyDescent="0.35">
      <c r="A164" s="88">
        <v>311</v>
      </c>
      <c r="B164" s="297">
        <v>31876</v>
      </c>
      <c r="C164" s="76" t="s">
        <v>363</v>
      </c>
      <c r="D164" s="88">
        <v>1</v>
      </c>
      <c r="F164" s="231">
        <f>G164/35</f>
        <v>5.2</v>
      </c>
      <c r="G164" s="383">
        <v>182</v>
      </c>
      <c r="H164" s="24" t="s">
        <v>364</v>
      </c>
      <c r="I164" s="24" t="s">
        <v>365</v>
      </c>
    </row>
    <row r="165" spans="1:10" s="296" customFormat="1" ht="78.75" hidden="1" customHeight="1" x14ac:dyDescent="0.35">
      <c r="A165" s="65">
        <v>311</v>
      </c>
      <c r="B165" s="64">
        <v>31879</v>
      </c>
      <c r="C165" s="65" t="s">
        <v>366</v>
      </c>
      <c r="D165" s="65">
        <v>3</v>
      </c>
      <c r="E165" s="65"/>
      <c r="F165" s="65">
        <v>4</v>
      </c>
      <c r="G165" s="111">
        <v>140</v>
      </c>
      <c r="H165" s="24" t="s">
        <v>367</v>
      </c>
      <c r="I165" s="88" t="s">
        <v>368</v>
      </c>
    </row>
    <row r="166" spans="1:10" s="296" customFormat="1" ht="118.5" hidden="1" customHeight="1" x14ac:dyDescent="0.35">
      <c r="A166" s="88">
        <v>253</v>
      </c>
      <c r="B166" s="83">
        <v>31886</v>
      </c>
      <c r="C166" s="65" t="s">
        <v>369</v>
      </c>
      <c r="D166" s="3">
        <v>1</v>
      </c>
      <c r="E166" s="65"/>
      <c r="F166" s="66">
        <f>G166/35</f>
        <v>8.5714285714285712</v>
      </c>
      <c r="G166" s="111">
        <v>300</v>
      </c>
      <c r="H166" s="24" t="s">
        <v>370</v>
      </c>
      <c r="I166" s="88" t="s">
        <v>143</v>
      </c>
    </row>
    <row r="167" spans="1:10" s="296" customFormat="1" ht="133.5" hidden="1" customHeight="1" x14ac:dyDescent="0.35">
      <c r="A167" s="88">
        <v>253</v>
      </c>
      <c r="B167" s="83">
        <v>31886</v>
      </c>
      <c r="C167" s="65" t="s">
        <v>369</v>
      </c>
      <c r="D167" s="3">
        <v>2</v>
      </c>
      <c r="E167" s="65"/>
      <c r="F167" s="66">
        <f>G167/35</f>
        <v>13.285714285714286</v>
      </c>
      <c r="G167" s="111">
        <v>465</v>
      </c>
      <c r="H167" s="24" t="s">
        <v>371</v>
      </c>
      <c r="I167" s="88" t="s">
        <v>145</v>
      </c>
    </row>
    <row r="168" spans="1:10" s="296" customFormat="1" ht="133.5" hidden="1" customHeight="1" x14ac:dyDescent="0.35">
      <c r="A168" s="88">
        <v>253</v>
      </c>
      <c r="B168" s="83">
        <v>31886</v>
      </c>
      <c r="C168" s="65" t="s">
        <v>369</v>
      </c>
      <c r="D168" s="3">
        <v>3</v>
      </c>
      <c r="E168" s="65"/>
      <c r="F168" s="66">
        <v>28.9</v>
      </c>
      <c r="G168" s="111">
        <v>1012</v>
      </c>
      <c r="H168" s="24" t="s">
        <v>372</v>
      </c>
      <c r="I168" s="88" t="s">
        <v>150</v>
      </c>
    </row>
    <row r="169" spans="1:10" s="296" customFormat="1" ht="133.5" hidden="1" customHeight="1" x14ac:dyDescent="0.35">
      <c r="A169" s="88">
        <v>311</v>
      </c>
      <c r="B169" s="83">
        <v>31887</v>
      </c>
      <c r="C169" s="65" t="s">
        <v>373</v>
      </c>
      <c r="D169" s="3" t="s">
        <v>374</v>
      </c>
      <c r="E169" s="66">
        <f>F169/52</f>
        <v>2.6252747252747253</v>
      </c>
      <c r="F169" s="66">
        <f>G169/35</f>
        <v>136.51428571428571</v>
      </c>
      <c r="G169" s="111">
        <v>4778</v>
      </c>
      <c r="H169" s="24" t="s">
        <v>375</v>
      </c>
      <c r="I169" s="88" t="s">
        <v>376</v>
      </c>
    </row>
    <row r="170" spans="1:10" ht="86.25" hidden="1" customHeight="1" x14ac:dyDescent="0.35">
      <c r="A170" s="65">
        <v>311</v>
      </c>
      <c r="B170" s="118">
        <v>31889</v>
      </c>
      <c r="C170" s="65" t="s">
        <v>377</v>
      </c>
      <c r="D170" s="3" t="s">
        <v>374</v>
      </c>
      <c r="E170" s="65"/>
      <c r="F170" s="66">
        <v>104</v>
      </c>
      <c r="G170" s="359">
        <v>3640</v>
      </c>
      <c r="H170" s="24" t="s">
        <v>378</v>
      </c>
      <c r="I170" s="24" t="s">
        <v>379</v>
      </c>
      <c r="J170" s="65"/>
    </row>
    <row r="171" spans="1:10" s="88" customFormat="1" ht="206.25" hidden="1" customHeight="1" x14ac:dyDescent="0.35">
      <c r="A171" s="88">
        <v>310</v>
      </c>
      <c r="B171" s="113">
        <v>32008</v>
      </c>
      <c r="C171" s="67" t="s">
        <v>380</v>
      </c>
      <c r="D171" s="65">
        <v>1</v>
      </c>
      <c r="E171" s="65"/>
      <c r="F171" s="66"/>
      <c r="G171" s="360"/>
      <c r="H171" s="198" t="s">
        <v>381</v>
      </c>
      <c r="I171" s="24"/>
      <c r="J171" s="283" t="s">
        <v>382</v>
      </c>
    </row>
    <row r="172" spans="1:10" ht="85.5" hidden="1" customHeight="1" x14ac:dyDescent="0.35">
      <c r="A172" s="88">
        <v>310</v>
      </c>
      <c r="B172" s="113">
        <v>32008</v>
      </c>
      <c r="C172" s="67" t="s">
        <v>380</v>
      </c>
      <c r="D172" s="65">
        <v>2</v>
      </c>
      <c r="E172" s="65"/>
      <c r="F172" s="66"/>
      <c r="G172" s="359"/>
      <c r="H172" s="198" t="s">
        <v>383</v>
      </c>
      <c r="I172" s="67"/>
      <c r="J172" s="65"/>
    </row>
    <row r="173" spans="1:10" ht="88.5" hidden="1" customHeight="1" x14ac:dyDescent="0.35">
      <c r="A173" s="88">
        <v>310</v>
      </c>
      <c r="B173" s="113">
        <v>32008</v>
      </c>
      <c r="C173" s="67" t="s">
        <v>380</v>
      </c>
      <c r="D173" s="65">
        <v>3</v>
      </c>
      <c r="E173" s="65"/>
      <c r="F173" s="66">
        <f>G173/35</f>
        <v>22.8</v>
      </c>
      <c r="G173" s="359">
        <v>798</v>
      </c>
      <c r="H173" s="67" t="s">
        <v>384</v>
      </c>
      <c r="I173" s="67" t="s">
        <v>385</v>
      </c>
      <c r="J173" s="65"/>
    </row>
    <row r="174" spans="1:10" s="65" customFormat="1" ht="46.5" hidden="1" customHeight="1" x14ac:dyDescent="0.35">
      <c r="A174">
        <v>310</v>
      </c>
      <c r="B174" s="5">
        <v>32062</v>
      </c>
      <c r="C174" s="318" t="s">
        <v>386</v>
      </c>
      <c r="D174" s="6">
        <v>1</v>
      </c>
      <c r="F174">
        <v>8</v>
      </c>
      <c r="G174" s="367">
        <v>302</v>
      </c>
      <c r="H174" t="s">
        <v>387</v>
      </c>
      <c r="I174" t="s">
        <v>388</v>
      </c>
      <c r="J174" s="42" t="s">
        <v>389</v>
      </c>
    </row>
    <row r="175" spans="1:10" s="65" customFormat="1" ht="46.5" hidden="1" customHeight="1" x14ac:dyDescent="0.35">
      <c r="A175">
        <v>310</v>
      </c>
      <c r="B175" s="5">
        <v>32062</v>
      </c>
      <c r="C175" s="325" t="s">
        <v>386</v>
      </c>
      <c r="D175">
        <v>2</v>
      </c>
      <c r="E175"/>
      <c r="F175">
        <v>17</v>
      </c>
      <c r="G175" s="367">
        <v>607</v>
      </c>
      <c r="H175" s="6" t="s">
        <v>390</v>
      </c>
      <c r="I175" s="6" t="s">
        <v>391</v>
      </c>
      <c r="J175" s="3"/>
    </row>
    <row r="176" spans="1:10" s="65" customFormat="1" ht="46.5" hidden="1" customHeight="1" x14ac:dyDescent="0.35">
      <c r="A176">
        <v>310</v>
      </c>
      <c r="B176" s="5">
        <v>32062</v>
      </c>
      <c r="C176" s="318" t="s">
        <v>386</v>
      </c>
      <c r="D176">
        <v>3</v>
      </c>
      <c r="E176"/>
      <c r="F176">
        <v>45</v>
      </c>
      <c r="G176" s="367">
        <v>854</v>
      </c>
      <c r="H176" s="6" t="s">
        <v>392</v>
      </c>
      <c r="I176" s="6" t="s">
        <v>393</v>
      </c>
      <c r="J176" s="20"/>
    </row>
    <row r="177" spans="1:56" s="26" customFormat="1" ht="57.75" hidden="1" customHeight="1" x14ac:dyDescent="0.35">
      <c r="A177">
        <v>310</v>
      </c>
      <c r="B177" s="5">
        <v>32062</v>
      </c>
      <c r="C177" s="318" t="s">
        <v>386</v>
      </c>
      <c r="D177">
        <v>4</v>
      </c>
      <c r="E177"/>
      <c r="F177" s="25">
        <f>G177/35</f>
        <v>52.685714285714283</v>
      </c>
      <c r="G177" s="367">
        <v>1844</v>
      </c>
      <c r="H177" s="6" t="s">
        <v>394</v>
      </c>
      <c r="I177" t="s">
        <v>395</v>
      </c>
      <c r="J177" s="3"/>
    </row>
    <row r="178" spans="1:56" s="26" customFormat="1" ht="35.25" hidden="1" customHeight="1" x14ac:dyDescent="0.35">
      <c r="A178">
        <v>310</v>
      </c>
      <c r="B178" s="15">
        <v>32079</v>
      </c>
      <c r="C178" s="65" t="s">
        <v>396</v>
      </c>
      <c r="D178" s="65">
        <v>1</v>
      </c>
      <c r="E178" s="65">
        <v>0.5</v>
      </c>
      <c r="F178" s="65">
        <v>3.8</v>
      </c>
      <c r="G178" s="111">
        <v>132</v>
      </c>
      <c r="H178" s="6" t="s">
        <v>397</v>
      </c>
      <c r="I178" s="6" t="s">
        <v>398</v>
      </c>
      <c r="J178" s="42"/>
    </row>
    <row r="179" spans="1:56" ht="84.75" hidden="1" customHeight="1" x14ac:dyDescent="0.35">
      <c r="A179">
        <v>310</v>
      </c>
      <c r="B179" s="15">
        <v>32079</v>
      </c>
      <c r="C179" s="65" t="s">
        <v>396</v>
      </c>
      <c r="D179" s="65">
        <v>2</v>
      </c>
      <c r="E179" s="65">
        <v>2</v>
      </c>
      <c r="F179" s="65">
        <v>7.5</v>
      </c>
      <c r="G179" s="111">
        <v>263</v>
      </c>
      <c r="H179" s="6" t="s">
        <v>399</v>
      </c>
      <c r="I179" s="10" t="s">
        <v>400</v>
      </c>
    </row>
    <row r="180" spans="1:56" s="43" customFormat="1" ht="99" hidden="1" customHeight="1" x14ac:dyDescent="0.35">
      <c r="A180">
        <v>310</v>
      </c>
      <c r="B180" s="15">
        <v>32079</v>
      </c>
      <c r="C180" s="65" t="s">
        <v>396</v>
      </c>
      <c r="D180" s="65">
        <v>3</v>
      </c>
      <c r="E180" s="65">
        <v>4.5</v>
      </c>
      <c r="F180" s="65">
        <v>15.6</v>
      </c>
      <c r="G180" s="111">
        <v>548</v>
      </c>
      <c r="H180" s="10" t="s">
        <v>401</v>
      </c>
      <c r="I180" s="6" t="s">
        <v>402</v>
      </c>
      <c r="J180" s="3"/>
    </row>
    <row r="181" spans="1:56" ht="138" hidden="1" customHeight="1" x14ac:dyDescent="0.35">
      <c r="A181">
        <v>310</v>
      </c>
      <c r="B181" s="15">
        <v>32110</v>
      </c>
      <c r="C181" s="326" t="s">
        <v>403</v>
      </c>
      <c r="D181">
        <v>1</v>
      </c>
      <c r="E181" s="88">
        <v>0.5</v>
      </c>
      <c r="F181" s="88">
        <v>3</v>
      </c>
      <c r="G181" s="355">
        <v>106</v>
      </c>
      <c r="H181" s="10" t="s">
        <v>404</v>
      </c>
      <c r="I181" s="6" t="s">
        <v>405</v>
      </c>
      <c r="J181" s="9"/>
    </row>
    <row r="182" spans="1:56" s="4" customFormat="1" ht="73.5" hidden="1" customHeight="1" x14ac:dyDescent="0.35">
      <c r="A182" s="65">
        <v>310</v>
      </c>
      <c r="B182" s="64">
        <v>32110</v>
      </c>
      <c r="C182" s="67" t="s">
        <v>406</v>
      </c>
      <c r="D182" s="65">
        <v>2</v>
      </c>
      <c r="E182" s="65">
        <v>2</v>
      </c>
      <c r="F182" s="65">
        <v>11.1</v>
      </c>
      <c r="G182" s="111">
        <v>390</v>
      </c>
      <c r="H182" s="67" t="s">
        <v>407</v>
      </c>
      <c r="I182" s="67" t="s">
        <v>408</v>
      </c>
      <c r="J182" s="9"/>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row>
    <row r="183" spans="1:56" s="62" customFormat="1" ht="155.25" hidden="1" customHeight="1" x14ac:dyDescent="0.35">
      <c r="A183" s="65">
        <v>310</v>
      </c>
      <c r="B183" s="139">
        <v>32110</v>
      </c>
      <c r="C183" s="160" t="s">
        <v>409</v>
      </c>
      <c r="D183" s="65">
        <v>3</v>
      </c>
      <c r="E183" s="65">
        <v>9</v>
      </c>
      <c r="F183" s="65">
        <f>G183/35</f>
        <v>30</v>
      </c>
      <c r="G183" s="111">
        <f>660+G182</f>
        <v>1050</v>
      </c>
      <c r="H183" s="115" t="s">
        <v>410</v>
      </c>
      <c r="I183" s="116" t="s">
        <v>411</v>
      </c>
      <c r="J183" s="9"/>
      <c r="K183" s="61"/>
      <c r="L183" s="61"/>
      <c r="M183" s="61"/>
      <c r="N183" s="61"/>
      <c r="O183" s="61"/>
      <c r="P183" s="61"/>
      <c r="Q183" s="61"/>
      <c r="R183" s="61"/>
      <c r="S183" s="61"/>
      <c r="T183" s="61"/>
      <c r="U183" s="61"/>
      <c r="V183" s="61"/>
      <c r="W183" s="61"/>
      <c r="X183" s="61"/>
      <c r="Y183" s="61"/>
      <c r="Z183" s="61"/>
      <c r="AA183" s="61"/>
      <c r="AB183" s="61"/>
      <c r="AC183" s="61"/>
      <c r="AD183" s="61"/>
      <c r="AE183" s="61"/>
      <c r="AF183" s="61"/>
      <c r="AG183" s="61"/>
      <c r="AH183" s="61"/>
      <c r="AI183" s="61"/>
      <c r="AJ183" s="61"/>
      <c r="AK183" s="61"/>
      <c r="AL183" s="61"/>
      <c r="AM183" s="61"/>
      <c r="AN183" s="61"/>
      <c r="AO183" s="61"/>
      <c r="AP183" s="61"/>
      <c r="AQ183" s="61"/>
      <c r="AR183" s="61"/>
      <c r="AS183" s="61"/>
      <c r="AT183" s="61"/>
      <c r="AU183" s="61"/>
      <c r="AV183" s="61"/>
      <c r="AW183" s="61"/>
      <c r="AX183" s="61"/>
      <c r="AY183" s="61"/>
      <c r="AZ183" s="61"/>
      <c r="BA183" s="61"/>
      <c r="BB183" s="61"/>
      <c r="BC183" s="61"/>
      <c r="BD183" s="61"/>
    </row>
    <row r="184" spans="1:56" s="62" customFormat="1" ht="155.25" hidden="1" customHeight="1" x14ac:dyDescent="0.35">
      <c r="A184" s="65">
        <v>310</v>
      </c>
      <c r="B184" s="152">
        <v>32110</v>
      </c>
      <c r="C184" s="160" t="s">
        <v>412</v>
      </c>
      <c r="D184" s="65">
        <v>4</v>
      </c>
      <c r="E184" s="65">
        <v>18</v>
      </c>
      <c r="F184" s="65">
        <v>75.5</v>
      </c>
      <c r="G184" s="111">
        <f>1050+1430</f>
        <v>2480</v>
      </c>
      <c r="H184" s="117" t="s">
        <v>413</v>
      </c>
      <c r="I184" s="116" t="s">
        <v>414</v>
      </c>
      <c r="J184" s="3"/>
      <c r="K184" s="61"/>
      <c r="L184" s="61"/>
      <c r="M184" s="61"/>
      <c r="N184" s="61"/>
      <c r="O184" s="61"/>
      <c r="P184" s="61"/>
      <c r="Q184" s="61"/>
      <c r="R184" s="61"/>
      <c r="S184" s="61"/>
      <c r="T184" s="61"/>
      <c r="U184" s="61"/>
      <c r="V184" s="61"/>
      <c r="W184" s="61"/>
      <c r="X184" s="61"/>
      <c r="Y184" s="61"/>
      <c r="Z184" s="61"/>
      <c r="AA184" s="61"/>
      <c r="AB184" s="61"/>
      <c r="AC184" s="61"/>
      <c r="AD184" s="61"/>
      <c r="AE184" s="61"/>
      <c r="AF184" s="61"/>
      <c r="AG184" s="61"/>
      <c r="AH184" s="61"/>
      <c r="AI184" s="61"/>
      <c r="AJ184" s="61"/>
      <c r="AK184" s="61"/>
      <c r="AL184" s="61"/>
      <c r="AM184" s="61"/>
      <c r="AN184" s="61"/>
      <c r="AO184" s="61"/>
      <c r="AP184" s="61"/>
      <c r="AQ184" s="61"/>
      <c r="AR184" s="61"/>
      <c r="AS184" s="61"/>
      <c r="AT184" s="61"/>
      <c r="AU184" s="61"/>
      <c r="AV184" s="61"/>
      <c r="AW184" s="61"/>
      <c r="AX184" s="61"/>
      <c r="AY184" s="61"/>
      <c r="AZ184" s="61"/>
      <c r="BA184" s="61"/>
      <c r="BB184" s="61"/>
      <c r="BC184" s="61"/>
      <c r="BD184" s="61"/>
    </row>
    <row r="185" spans="1:56" s="60" customFormat="1" ht="61.5" hidden="1" customHeight="1" x14ac:dyDescent="0.35">
      <c r="A185" s="65">
        <v>413</v>
      </c>
      <c r="B185" s="148">
        <v>32130</v>
      </c>
      <c r="C185" s="163" t="s">
        <v>415</v>
      </c>
      <c r="D185" s="176">
        <v>1</v>
      </c>
      <c r="E185" s="183"/>
      <c r="F185" s="193">
        <f>G185/35</f>
        <v>1.4542857142857142</v>
      </c>
      <c r="G185" s="361">
        <v>50.9</v>
      </c>
      <c r="H185" s="50" t="s">
        <v>416</v>
      </c>
      <c r="I185" s="48" t="s">
        <v>417</v>
      </c>
      <c r="J185" s="3"/>
    </row>
    <row r="186" spans="1:56" s="60" customFormat="1" ht="100.5" hidden="1" customHeight="1" x14ac:dyDescent="0.35">
      <c r="A186" s="46">
        <v>413</v>
      </c>
      <c r="B186" s="143">
        <v>32130</v>
      </c>
      <c r="C186" s="163" t="s">
        <v>415</v>
      </c>
      <c r="D186" s="174">
        <v>2</v>
      </c>
      <c r="E186" s="181"/>
      <c r="F186" s="190">
        <f>G186/35</f>
        <v>5.128571428571429</v>
      </c>
      <c r="G186" s="362">
        <f>G185+128.6</f>
        <v>179.5</v>
      </c>
      <c r="H186" s="48" t="s">
        <v>418</v>
      </c>
      <c r="I186" s="48" t="s">
        <v>419</v>
      </c>
      <c r="J186" s="46"/>
    </row>
    <row r="187" spans="1:56" s="60" customFormat="1" ht="162.75" hidden="1" customHeight="1" x14ac:dyDescent="0.35">
      <c r="A187" s="44">
        <v>413</v>
      </c>
      <c r="B187" s="155">
        <v>32130</v>
      </c>
      <c r="C187" s="169" t="s">
        <v>420</v>
      </c>
      <c r="D187" s="44">
        <v>3</v>
      </c>
      <c r="E187" s="44"/>
      <c r="F187" s="45">
        <f>G187/35</f>
        <v>11.814285714285715</v>
      </c>
      <c r="G187" s="49">
        <f>G186+234</f>
        <v>413.5</v>
      </c>
      <c r="H187" s="210" t="s">
        <v>421</v>
      </c>
      <c r="I187" s="220" t="s">
        <v>422</v>
      </c>
      <c r="J187" s="3"/>
    </row>
    <row r="188" spans="1:56" s="60" customFormat="1" ht="73.5" hidden="1" customHeight="1" x14ac:dyDescent="0.35">
      <c r="A188" s="18"/>
      <c r="B188" s="142">
        <v>32130</v>
      </c>
      <c r="C188" s="327" t="s">
        <v>420</v>
      </c>
      <c r="D188" s="161"/>
      <c r="E188" s="180"/>
      <c r="F188" s="180"/>
      <c r="G188" s="384"/>
      <c r="H188" s="34" t="s">
        <v>423</v>
      </c>
      <c r="I188" s="34" t="s">
        <v>424</v>
      </c>
      <c r="J188" s="3"/>
    </row>
    <row r="189" spans="1:56" s="60" customFormat="1" ht="73.5" hidden="1" customHeight="1" x14ac:dyDescent="0.35">
      <c r="A189"/>
      <c r="B189" s="135">
        <v>32135</v>
      </c>
      <c r="C189" s="292" t="s">
        <v>425</v>
      </c>
      <c r="D189" s="293">
        <v>1</v>
      </c>
      <c r="E189" s="294"/>
      <c r="F189" s="295">
        <f>G189/35</f>
        <v>1.6857142857142857</v>
      </c>
      <c r="G189" s="363">
        <v>59</v>
      </c>
      <c r="H189" s="10" t="s">
        <v>426</v>
      </c>
      <c r="I189" s="6" t="s">
        <v>427</v>
      </c>
      <c r="J189" s="98" t="s">
        <v>428</v>
      </c>
    </row>
    <row r="190" spans="1:56" s="60" customFormat="1" ht="73.5" hidden="1" customHeight="1" x14ac:dyDescent="0.35">
      <c r="A190"/>
      <c r="B190" s="135">
        <v>32135</v>
      </c>
      <c r="C190" s="292" t="s">
        <v>425</v>
      </c>
      <c r="D190" s="293">
        <v>2</v>
      </c>
      <c r="E190" s="294"/>
      <c r="F190" s="295">
        <f>G190/35</f>
        <v>8.5428571428571427</v>
      </c>
      <c r="G190" s="363">
        <v>299</v>
      </c>
      <c r="H190" s="10" t="s">
        <v>429</v>
      </c>
      <c r="I190" s="6" t="s">
        <v>430</v>
      </c>
      <c r="J190" s="98" t="s">
        <v>431</v>
      </c>
    </row>
    <row r="191" spans="1:56" s="111" customFormat="1" ht="54" hidden="1" customHeight="1" x14ac:dyDescent="0.35">
      <c r="A191" s="65">
        <v>314</v>
      </c>
      <c r="B191" s="64">
        <v>32650</v>
      </c>
      <c r="C191" s="65" t="s">
        <v>432</v>
      </c>
      <c r="D191" s="65">
        <v>1</v>
      </c>
      <c r="E191" s="65"/>
      <c r="F191" s="66">
        <f>G191/35</f>
        <v>4.4857142857142858</v>
      </c>
      <c r="G191" s="111">
        <v>157</v>
      </c>
      <c r="H191" s="67" t="s">
        <v>433</v>
      </c>
      <c r="I191" s="67" t="s">
        <v>225</v>
      </c>
      <c r="J191" s="65" t="s">
        <v>434</v>
      </c>
    </row>
    <row r="192" spans="1:56" s="111" customFormat="1" ht="92.25" hidden="1" customHeight="1" x14ac:dyDescent="0.35">
      <c r="A192" s="65">
        <v>314</v>
      </c>
      <c r="B192" s="64">
        <v>32650</v>
      </c>
      <c r="C192" s="65" t="s">
        <v>432</v>
      </c>
      <c r="D192" s="65">
        <v>2</v>
      </c>
      <c r="E192" s="65">
        <v>2</v>
      </c>
      <c r="F192" s="281">
        <f>G192/35</f>
        <v>6.9428571428571431</v>
      </c>
      <c r="G192" s="364">
        <f>G191+86</f>
        <v>243</v>
      </c>
      <c r="H192" s="282" t="s">
        <v>435</v>
      </c>
      <c r="I192" s="65" t="s">
        <v>436</v>
      </c>
      <c r="J192" s="67" t="s">
        <v>437</v>
      </c>
    </row>
    <row r="193" spans="1:56" s="111" customFormat="1" ht="98.25" hidden="1" customHeight="1" x14ac:dyDescent="0.35">
      <c r="A193" s="65">
        <v>314</v>
      </c>
      <c r="B193" s="64">
        <v>32650</v>
      </c>
      <c r="C193" s="65" t="s">
        <v>432</v>
      </c>
      <c r="D193" s="65">
        <v>3</v>
      </c>
      <c r="E193" s="65">
        <v>4.5</v>
      </c>
      <c r="F193" s="281">
        <f>G193/35</f>
        <v>17.228571428571428</v>
      </c>
      <c r="G193" s="364">
        <f>G192+360</f>
        <v>603</v>
      </c>
      <c r="H193" s="282" t="s">
        <v>438</v>
      </c>
      <c r="I193" s="67" t="s">
        <v>439</v>
      </c>
      <c r="J193" s="67" t="s">
        <v>440</v>
      </c>
    </row>
    <row r="194" spans="1:56" s="111" customFormat="1" ht="107.25" hidden="1" customHeight="1" x14ac:dyDescent="0.35">
      <c r="A194" s="65">
        <v>315</v>
      </c>
      <c r="B194" s="64">
        <v>33054</v>
      </c>
      <c r="C194" s="65" t="s">
        <v>441</v>
      </c>
      <c r="D194" s="65">
        <v>1</v>
      </c>
      <c r="E194" s="65"/>
      <c r="F194" s="65">
        <v>6.2</v>
      </c>
      <c r="G194" s="111">
        <v>218</v>
      </c>
      <c r="H194" s="67" t="s">
        <v>442</v>
      </c>
      <c r="I194" s="67" t="s">
        <v>443</v>
      </c>
      <c r="J194" s="65"/>
    </row>
    <row r="195" spans="1:56" s="111" customFormat="1" ht="107.25" hidden="1" customHeight="1" x14ac:dyDescent="0.35">
      <c r="A195" s="65">
        <v>315</v>
      </c>
      <c r="B195" s="64">
        <v>33054</v>
      </c>
      <c r="C195" s="65" t="s">
        <v>441</v>
      </c>
      <c r="D195" s="65">
        <v>2</v>
      </c>
      <c r="E195" s="65"/>
      <c r="F195" s="66">
        <f>G195/35</f>
        <v>7.9428571428571431</v>
      </c>
      <c r="G195" s="111">
        <v>278</v>
      </c>
      <c r="H195" s="67" t="s">
        <v>444</v>
      </c>
      <c r="I195" s="67" t="s">
        <v>445</v>
      </c>
      <c r="J195" s="65"/>
    </row>
    <row r="196" spans="1:56" s="111" customFormat="1" ht="107.25" hidden="1" customHeight="1" x14ac:dyDescent="0.35">
      <c r="A196" s="65">
        <v>315</v>
      </c>
      <c r="B196" s="64">
        <v>33054</v>
      </c>
      <c r="C196" s="65" t="s">
        <v>441</v>
      </c>
      <c r="D196" s="65">
        <v>3</v>
      </c>
      <c r="E196" s="65"/>
      <c r="F196" s="66">
        <f>G196/35</f>
        <v>20.514285714285716</v>
      </c>
      <c r="G196" s="111">
        <f>G195+440</f>
        <v>718</v>
      </c>
      <c r="H196" s="67" t="s">
        <v>446</v>
      </c>
      <c r="I196" s="67" t="s">
        <v>447</v>
      </c>
      <c r="J196" s="65"/>
    </row>
    <row r="197" spans="1:56" s="60" customFormat="1" ht="88.5" hidden="1" customHeight="1" x14ac:dyDescent="0.35">
      <c r="A197" s="65">
        <v>312</v>
      </c>
      <c r="B197" s="64">
        <v>34002</v>
      </c>
      <c r="C197" s="67" t="s">
        <v>448</v>
      </c>
      <c r="D197" s="65">
        <v>1</v>
      </c>
      <c r="E197" s="65"/>
      <c r="F197" s="66">
        <f t="shared" ref="F197:F202" si="4">G197/35</f>
        <v>0.7857142857142857</v>
      </c>
      <c r="G197" s="111">
        <v>27.5</v>
      </c>
      <c r="H197" s="67" t="s">
        <v>449</v>
      </c>
      <c r="I197" s="67" t="s">
        <v>450</v>
      </c>
      <c r="J197" s="65"/>
    </row>
    <row r="198" spans="1:56" s="60" customFormat="1" ht="88.5" hidden="1" customHeight="1" x14ac:dyDescent="0.35">
      <c r="A198" s="65"/>
      <c r="B198" s="64">
        <v>34002</v>
      </c>
      <c r="C198" s="67" t="s">
        <v>448</v>
      </c>
      <c r="D198" s="65">
        <v>2</v>
      </c>
      <c r="E198" s="65">
        <v>2</v>
      </c>
      <c r="F198" s="66">
        <f t="shared" si="4"/>
        <v>8.8714285714285719</v>
      </c>
      <c r="G198" s="111">
        <f>G197+283</f>
        <v>310.5</v>
      </c>
      <c r="H198" s="67" t="s">
        <v>451</v>
      </c>
      <c r="I198" s="67" t="s">
        <v>452</v>
      </c>
      <c r="J198" s="65"/>
    </row>
    <row r="199" spans="1:56" s="60" customFormat="1" ht="88.5" hidden="1" customHeight="1" x14ac:dyDescent="0.35">
      <c r="A199" s="65"/>
      <c r="B199" s="64">
        <v>34002</v>
      </c>
      <c r="C199" s="67" t="s">
        <v>448</v>
      </c>
      <c r="D199" s="65">
        <v>3</v>
      </c>
      <c r="E199" s="65">
        <v>4.5</v>
      </c>
      <c r="F199" s="66">
        <f t="shared" si="4"/>
        <v>14.985714285714286</v>
      </c>
      <c r="G199" s="111">
        <f>G198+214</f>
        <v>524.5</v>
      </c>
      <c r="H199" s="67" t="s">
        <v>453</v>
      </c>
      <c r="I199" s="67" t="s">
        <v>454</v>
      </c>
      <c r="J199" s="65"/>
    </row>
    <row r="200" spans="1:56" s="129" customFormat="1" ht="126" hidden="1" customHeight="1" x14ac:dyDescent="0.35">
      <c r="A200"/>
      <c r="B200" s="15">
        <v>34005</v>
      </c>
      <c r="C200" s="326" t="s">
        <v>455</v>
      </c>
      <c r="D200">
        <v>1</v>
      </c>
      <c r="E200" s="9">
        <v>0.5</v>
      </c>
      <c r="F200" s="25">
        <f t="shared" si="4"/>
        <v>0.42857142857142855</v>
      </c>
      <c r="G200" s="369">
        <v>15</v>
      </c>
      <c r="H200" s="6" t="s">
        <v>456</v>
      </c>
      <c r="I200" s="6" t="s">
        <v>457</v>
      </c>
      <c r="J200" s="3"/>
      <c r="K200" s="65"/>
      <c r="L200" s="65"/>
      <c r="M200" s="65"/>
      <c r="N200" s="65"/>
      <c r="O200" s="65"/>
      <c r="P200" s="65"/>
      <c r="Q200" s="65"/>
      <c r="R200" s="65"/>
      <c r="S200" s="65"/>
      <c r="T200" s="65"/>
      <c r="U200" s="65"/>
      <c r="V200" s="65"/>
      <c r="W200" s="65"/>
      <c r="X200" s="65"/>
      <c r="Y200" s="65"/>
      <c r="Z200" s="65"/>
      <c r="AA200" s="65"/>
      <c r="AB200" s="65"/>
      <c r="AC200" s="65"/>
      <c r="AD200" s="65"/>
      <c r="AE200" s="65"/>
      <c r="AF200" s="65"/>
      <c r="AG200" s="65"/>
      <c r="AH200" s="65"/>
      <c r="AI200" s="65"/>
      <c r="AJ200" s="65"/>
      <c r="AK200" s="65"/>
      <c r="AL200" s="65"/>
      <c r="AM200" s="65"/>
      <c r="AN200" s="65"/>
      <c r="AO200" s="65"/>
      <c r="AP200" s="65"/>
      <c r="AQ200" s="65"/>
      <c r="AR200" s="65"/>
      <c r="AS200" s="65"/>
      <c r="AT200" s="65"/>
      <c r="AU200" s="65"/>
      <c r="AV200" s="65"/>
      <c r="AW200" s="65"/>
      <c r="AX200" s="65"/>
      <c r="AY200" s="65"/>
      <c r="AZ200" s="65"/>
      <c r="BA200" s="65"/>
      <c r="BB200" s="65"/>
      <c r="BC200" s="65"/>
      <c r="BD200" s="65"/>
    </row>
    <row r="201" spans="1:56" s="128" customFormat="1" ht="82.5" hidden="1" customHeight="1" x14ac:dyDescent="0.35">
      <c r="A201"/>
      <c r="B201" s="15">
        <v>34005</v>
      </c>
      <c r="C201" s="310" t="s">
        <v>458</v>
      </c>
      <c r="D201">
        <v>2</v>
      </c>
      <c r="E201" s="9">
        <v>2</v>
      </c>
      <c r="F201" s="25">
        <f t="shared" si="4"/>
        <v>4.2857142857142856</v>
      </c>
      <c r="G201" s="369">
        <f>G200+135</f>
        <v>150</v>
      </c>
      <c r="H201" s="6" t="s">
        <v>459</v>
      </c>
      <c r="I201" s="6" t="s">
        <v>460</v>
      </c>
      <c r="J201" s="26"/>
    </row>
    <row r="202" spans="1:56" s="120" customFormat="1" ht="94.5" hidden="1" customHeight="1" x14ac:dyDescent="0.35">
      <c r="A202"/>
      <c r="B202" s="15">
        <v>34005</v>
      </c>
      <c r="C202" s="310" t="s">
        <v>458</v>
      </c>
      <c r="D202">
        <v>3</v>
      </c>
      <c r="E202" s="9">
        <v>4.5</v>
      </c>
      <c r="F202" s="25">
        <f t="shared" si="4"/>
        <v>8.6857142857142851</v>
      </c>
      <c r="G202" s="369">
        <f>G201+154</f>
        <v>304</v>
      </c>
      <c r="H202" s="6" t="s">
        <v>461</v>
      </c>
      <c r="I202" s="6" t="s">
        <v>454</v>
      </c>
      <c r="J202" s="26"/>
      <c r="K202" s="65"/>
      <c r="L202" s="65"/>
      <c r="M202" s="65"/>
      <c r="N202" s="65"/>
      <c r="O202" s="65"/>
      <c r="P202" s="65"/>
      <c r="Q202" s="65"/>
      <c r="R202" s="65"/>
      <c r="S202" s="65"/>
      <c r="T202" s="65"/>
      <c r="U202" s="65"/>
      <c r="V202" s="65"/>
      <c r="W202" s="65"/>
      <c r="X202" s="65"/>
      <c r="Y202" s="65"/>
      <c r="Z202" s="65"/>
      <c r="AA202" s="65"/>
      <c r="AB202" s="65"/>
      <c r="AC202" s="65"/>
      <c r="AD202" s="65"/>
      <c r="AE202" s="65"/>
      <c r="AF202" s="65"/>
      <c r="AG202" s="65"/>
      <c r="AH202" s="65"/>
      <c r="AI202" s="65"/>
      <c r="AJ202" s="65"/>
      <c r="AK202" s="65"/>
      <c r="AL202" s="65"/>
      <c r="AM202" s="65"/>
      <c r="AN202" s="65"/>
      <c r="AO202" s="65"/>
      <c r="AP202" s="65"/>
      <c r="AQ202" s="65"/>
      <c r="AR202" s="65"/>
      <c r="AS202" s="65"/>
      <c r="AT202" s="65"/>
      <c r="AU202" s="65"/>
      <c r="AV202" s="65"/>
      <c r="AW202" s="65"/>
      <c r="AX202" s="65"/>
      <c r="AY202" s="65"/>
      <c r="AZ202" s="65"/>
      <c r="BA202" s="65"/>
      <c r="BB202" s="65"/>
      <c r="BC202" s="65"/>
      <c r="BD202" s="129"/>
    </row>
    <row r="203" spans="1:56" s="65" customFormat="1" ht="98.25" hidden="1" customHeight="1" x14ac:dyDescent="0.35">
      <c r="A203">
        <v>312</v>
      </c>
      <c r="B203" s="15">
        <v>34022</v>
      </c>
      <c r="C203" s="326" t="s">
        <v>462</v>
      </c>
      <c r="D203" s="65">
        <v>1</v>
      </c>
      <c r="E203" s="65">
        <v>0.5</v>
      </c>
      <c r="F203" s="65">
        <v>3.3</v>
      </c>
      <c r="G203" s="111">
        <v>90</v>
      </c>
      <c r="H203" s="10" t="s">
        <v>463</v>
      </c>
      <c r="I203" s="6" t="s">
        <v>398</v>
      </c>
      <c r="J203" s="26"/>
    </row>
    <row r="204" spans="1:56" s="59" customFormat="1" ht="117" hidden="1" customHeight="1" x14ac:dyDescent="0.35">
      <c r="A204">
        <v>312</v>
      </c>
      <c r="B204" s="146">
        <v>34022</v>
      </c>
      <c r="C204" s="328" t="s">
        <v>464</v>
      </c>
      <c r="D204" s="298">
        <v>2</v>
      </c>
      <c r="E204" s="298">
        <v>2</v>
      </c>
      <c r="F204" s="66">
        <f>G204/35</f>
        <v>11.228571428571428</v>
      </c>
      <c r="G204" s="111">
        <f>90+303</f>
        <v>393</v>
      </c>
      <c r="H204" s="204" t="s">
        <v>465</v>
      </c>
      <c r="I204" s="216" t="s">
        <v>452</v>
      </c>
      <c r="J204" s="26"/>
    </row>
    <row r="205" spans="1:56" s="59" customFormat="1" ht="82.5" hidden="1" customHeight="1" x14ac:dyDescent="0.35">
      <c r="A205">
        <v>312</v>
      </c>
      <c r="B205" s="146">
        <v>34022</v>
      </c>
      <c r="C205" s="328" t="s">
        <v>464</v>
      </c>
      <c r="D205" s="298">
        <v>3</v>
      </c>
      <c r="E205" s="298">
        <v>4.5</v>
      </c>
      <c r="F205" s="299">
        <f>G205/35</f>
        <v>15.628571428571428</v>
      </c>
      <c r="G205" s="365">
        <f>G204+154</f>
        <v>547</v>
      </c>
      <c r="H205" s="209" t="s">
        <v>466</v>
      </c>
      <c r="I205" s="6" t="s">
        <v>454</v>
      </c>
      <c r="J205" s="3"/>
    </row>
    <row r="206" spans="1:56" s="59" customFormat="1" ht="157.5" hidden="1" customHeight="1" x14ac:dyDescent="0.35">
      <c r="A206" s="61">
        <v>312</v>
      </c>
      <c r="B206" s="138">
        <v>34052</v>
      </c>
      <c r="C206" s="159" t="s">
        <v>467</v>
      </c>
      <c r="D206" s="172">
        <v>1</v>
      </c>
      <c r="E206" s="172"/>
      <c r="F206" s="187">
        <v>4.0999999999999996</v>
      </c>
      <c r="G206" s="365">
        <v>144</v>
      </c>
      <c r="H206" s="198" t="s">
        <v>468</v>
      </c>
      <c r="I206" s="102" t="s">
        <v>469</v>
      </c>
      <c r="J206" s="92"/>
    </row>
    <row r="207" spans="1:56" s="59" customFormat="1" ht="70.5" hidden="1" customHeight="1" x14ac:dyDescent="0.35">
      <c r="A207" s="61">
        <v>312</v>
      </c>
      <c r="B207" s="138">
        <v>34052</v>
      </c>
      <c r="C207" s="159" t="s">
        <v>467</v>
      </c>
      <c r="D207" s="172">
        <v>2</v>
      </c>
      <c r="E207" s="172"/>
      <c r="F207" s="187">
        <v>6</v>
      </c>
      <c r="G207" s="365">
        <v>210</v>
      </c>
      <c r="H207" s="198" t="s">
        <v>470</v>
      </c>
      <c r="I207" s="102" t="s">
        <v>471</v>
      </c>
      <c r="J207" s="92"/>
    </row>
    <row r="208" spans="1:56" s="46" customFormat="1" ht="59.25" hidden="1" customHeight="1" x14ac:dyDescent="0.35">
      <c r="A208" s="60">
        <v>312</v>
      </c>
      <c r="B208" s="100">
        <v>34052</v>
      </c>
      <c r="C208" s="162" t="s">
        <v>467</v>
      </c>
      <c r="D208" s="101">
        <v>3</v>
      </c>
      <c r="E208" s="111"/>
      <c r="F208" s="106">
        <f>G208/35</f>
        <v>9.6571428571428566</v>
      </c>
      <c r="G208" s="111">
        <v>338</v>
      </c>
      <c r="H208" s="108" t="s">
        <v>472</v>
      </c>
      <c r="I208" s="102" t="s">
        <v>473</v>
      </c>
      <c r="J208" s="60"/>
    </row>
    <row r="209" spans="1:10" ht="100.5" hidden="1" customHeight="1" x14ac:dyDescent="0.35">
      <c r="A209" s="130">
        <v>312</v>
      </c>
      <c r="B209" s="100">
        <v>34052</v>
      </c>
      <c r="C209" s="162" t="s">
        <v>467</v>
      </c>
      <c r="D209" s="101">
        <v>4</v>
      </c>
      <c r="E209" s="111"/>
      <c r="F209" s="189">
        <v>19</v>
      </c>
      <c r="G209" s="111">
        <v>668</v>
      </c>
      <c r="H209" s="108">
        <v>32110</v>
      </c>
      <c r="I209" s="102" t="s">
        <v>474</v>
      </c>
      <c r="J209" s="63"/>
    </row>
    <row r="210" spans="1:10" ht="165.75" hidden="1" customHeight="1" x14ac:dyDescent="0.35">
      <c r="A210" s="130">
        <v>312</v>
      </c>
      <c r="B210" s="100">
        <v>34053</v>
      </c>
      <c r="C210" s="157" t="s">
        <v>475</v>
      </c>
      <c r="D210" s="101">
        <v>1</v>
      </c>
      <c r="E210" s="111"/>
      <c r="F210" s="101">
        <v>2.2999999999999998</v>
      </c>
      <c r="G210" s="111">
        <v>80</v>
      </c>
      <c r="H210" s="108" t="s">
        <v>476</v>
      </c>
      <c r="I210" s="102" t="s">
        <v>477</v>
      </c>
      <c r="J210" s="63"/>
    </row>
    <row r="211" spans="1:10" s="46" customFormat="1" ht="33.75" hidden="1" customHeight="1" x14ac:dyDescent="0.35">
      <c r="A211" s="130">
        <v>312</v>
      </c>
      <c r="B211" s="100">
        <v>34053</v>
      </c>
      <c r="C211" s="157" t="s">
        <v>475</v>
      </c>
      <c r="D211" s="101">
        <v>2</v>
      </c>
      <c r="E211" s="111"/>
      <c r="F211" s="101">
        <v>4.8</v>
      </c>
      <c r="G211" s="111">
        <v>170</v>
      </c>
      <c r="H211" s="109" t="s">
        <v>478</v>
      </c>
      <c r="I211" s="110" t="s">
        <v>479</v>
      </c>
      <c r="J211" s="60"/>
    </row>
    <row r="212" spans="1:10" s="65" customFormat="1" ht="65.25" hidden="1" customHeight="1" x14ac:dyDescent="0.35">
      <c r="A212" s="130">
        <v>312</v>
      </c>
      <c r="B212" s="100">
        <v>34053</v>
      </c>
      <c r="C212" s="157" t="s">
        <v>475</v>
      </c>
      <c r="D212" s="101">
        <v>3</v>
      </c>
      <c r="E212" s="111"/>
      <c r="F212" s="106">
        <f>G212/35</f>
        <v>8.742857142857142</v>
      </c>
      <c r="G212" s="111">
        <f>G211+136</f>
        <v>306</v>
      </c>
      <c r="H212" s="109" t="s">
        <v>480</v>
      </c>
      <c r="I212" s="102" t="s">
        <v>481</v>
      </c>
      <c r="J212" s="60"/>
    </row>
    <row r="213" spans="1:10" s="65" customFormat="1" ht="47.25" hidden="1" customHeight="1" x14ac:dyDescent="0.35">
      <c r="A213" s="130">
        <v>312</v>
      </c>
      <c r="B213" s="100">
        <v>34053</v>
      </c>
      <c r="C213" s="329" t="s">
        <v>475</v>
      </c>
      <c r="D213" s="130">
        <v>4</v>
      </c>
      <c r="E213" s="60"/>
      <c r="F213" s="60"/>
      <c r="G213" s="60"/>
      <c r="H213" s="60" t="s">
        <v>482</v>
      </c>
      <c r="I213" s="102"/>
      <c r="J213" s="63" t="s">
        <v>483</v>
      </c>
    </row>
    <row r="214" spans="1:10" s="65" customFormat="1" ht="47.25" hidden="1" customHeight="1" x14ac:dyDescent="0.35">
      <c r="A214" s="65">
        <v>312</v>
      </c>
      <c r="B214" s="64">
        <v>34056</v>
      </c>
      <c r="C214" s="65" t="s">
        <v>484</v>
      </c>
      <c r="D214" s="65">
        <v>1</v>
      </c>
      <c r="F214" s="66">
        <f>G214/35</f>
        <v>5.0914285714285707</v>
      </c>
      <c r="G214" s="111">
        <v>178.2</v>
      </c>
      <c r="H214" s="67" t="s">
        <v>485</v>
      </c>
      <c r="I214" s="65" t="s">
        <v>486</v>
      </c>
      <c r="J214" s="3"/>
    </row>
    <row r="215" spans="1:10" s="65" customFormat="1" ht="48.75" hidden="1" customHeight="1" x14ac:dyDescent="0.35">
      <c r="A215" s="65">
        <v>312</v>
      </c>
      <c r="B215" s="64">
        <v>34056</v>
      </c>
      <c r="C215" s="65" t="s">
        <v>484</v>
      </c>
      <c r="D215" s="65">
        <v>2</v>
      </c>
      <c r="F215" s="66">
        <f>G215/35</f>
        <v>12.268571428571429</v>
      </c>
      <c r="G215" s="111">
        <f>G214+251.2</f>
        <v>429.4</v>
      </c>
      <c r="H215" s="67" t="s">
        <v>487</v>
      </c>
      <c r="I215" s="65" t="s">
        <v>419</v>
      </c>
      <c r="J215" s="3"/>
    </row>
    <row r="216" spans="1:10" s="65" customFormat="1" ht="48.75" hidden="1" customHeight="1" x14ac:dyDescent="0.35">
      <c r="A216" s="60"/>
      <c r="B216" s="100">
        <v>34060</v>
      </c>
      <c r="C216" s="329" t="s">
        <v>488</v>
      </c>
      <c r="D216" s="101">
        <v>1</v>
      </c>
      <c r="E216" s="101"/>
      <c r="F216" s="106">
        <f>G216/35</f>
        <v>1.8742857142857141</v>
      </c>
      <c r="G216" s="111">
        <v>65.599999999999994</v>
      </c>
      <c r="H216" s="107" t="s">
        <v>489</v>
      </c>
      <c r="I216" s="102" t="s">
        <v>490</v>
      </c>
      <c r="J216" s="60"/>
    </row>
    <row r="217" spans="1:10" s="65" customFormat="1" ht="48.75" hidden="1" customHeight="1" x14ac:dyDescent="0.35">
      <c r="A217" s="60"/>
      <c r="B217" s="100">
        <v>34060</v>
      </c>
      <c r="C217" s="329" t="s">
        <v>488</v>
      </c>
      <c r="D217" s="101">
        <v>2</v>
      </c>
      <c r="E217" s="101"/>
      <c r="F217" s="106">
        <v>4.2</v>
      </c>
      <c r="G217" s="111">
        <v>148</v>
      </c>
      <c r="H217" s="107" t="s">
        <v>491</v>
      </c>
      <c r="I217" s="102" t="s">
        <v>492</v>
      </c>
      <c r="J217" s="60"/>
    </row>
    <row r="218" spans="1:10" s="65" customFormat="1" ht="48.75" hidden="1" customHeight="1" x14ac:dyDescent="0.35">
      <c r="A218" s="60"/>
      <c r="B218" s="100">
        <v>34060</v>
      </c>
      <c r="C218" s="329" t="s">
        <v>488</v>
      </c>
      <c r="D218" s="101">
        <v>3</v>
      </c>
      <c r="E218" s="101"/>
      <c r="F218" s="106">
        <v>6.6</v>
      </c>
      <c r="G218" s="111">
        <v>230</v>
      </c>
      <c r="H218" s="107" t="s">
        <v>493</v>
      </c>
      <c r="I218" s="102" t="s">
        <v>494</v>
      </c>
      <c r="J218" s="60"/>
    </row>
    <row r="219" spans="1:10" s="125" customFormat="1" ht="99.75" hidden="1" customHeight="1" x14ac:dyDescent="0.35">
      <c r="A219" s="65">
        <v>312</v>
      </c>
      <c r="B219" s="64">
        <v>34085</v>
      </c>
      <c r="C219" s="65" t="s">
        <v>495</v>
      </c>
      <c r="D219" s="65">
        <v>1</v>
      </c>
      <c r="E219" s="65">
        <v>0.7</v>
      </c>
      <c r="F219" s="66">
        <v>2.8</v>
      </c>
      <c r="G219" s="359">
        <v>98</v>
      </c>
      <c r="H219" s="67" t="s">
        <v>496</v>
      </c>
      <c r="I219" s="65" t="s">
        <v>477</v>
      </c>
      <c r="J219" s="65" t="s">
        <v>497</v>
      </c>
    </row>
    <row r="220" spans="1:10" s="65" customFormat="1" ht="91.5" hidden="1" customHeight="1" x14ac:dyDescent="0.35">
      <c r="A220" s="65">
        <v>312</v>
      </c>
      <c r="B220" s="64">
        <v>34085</v>
      </c>
      <c r="C220" s="65" t="s">
        <v>495</v>
      </c>
      <c r="D220" s="65">
        <v>2</v>
      </c>
      <c r="E220" s="65">
        <v>2</v>
      </c>
      <c r="F220" s="66">
        <f>G220/35</f>
        <v>7.5142857142857142</v>
      </c>
      <c r="G220" s="359">
        <f>G219+165</f>
        <v>263</v>
      </c>
      <c r="H220" s="67" t="s">
        <v>498</v>
      </c>
      <c r="I220" s="67" t="s">
        <v>499</v>
      </c>
    </row>
    <row r="221" spans="1:10" s="65" customFormat="1" ht="102.75" hidden="1" customHeight="1" x14ac:dyDescent="0.35">
      <c r="A221" s="65">
        <v>312</v>
      </c>
      <c r="B221" s="64">
        <v>34085</v>
      </c>
      <c r="C221" s="65" t="s">
        <v>495</v>
      </c>
      <c r="D221" s="65">
        <v>3</v>
      </c>
      <c r="E221" s="65">
        <v>4.5</v>
      </c>
      <c r="F221" s="66">
        <f>G221/35</f>
        <v>12.703571428571429</v>
      </c>
      <c r="G221" s="360">
        <f>G220+181.625</f>
        <v>444.625</v>
      </c>
      <c r="H221" s="67" t="s">
        <v>500</v>
      </c>
      <c r="I221" s="67" t="s">
        <v>501</v>
      </c>
    </row>
    <row r="222" spans="1:10" s="65" customFormat="1" ht="15" hidden="1" customHeight="1" x14ac:dyDescent="0.35">
      <c r="A222" s="65">
        <v>312</v>
      </c>
      <c r="B222" s="64">
        <v>34085</v>
      </c>
      <c r="C222" s="65" t="s">
        <v>495</v>
      </c>
      <c r="D222" s="65">
        <v>4</v>
      </c>
      <c r="F222" s="66">
        <f>G222/35</f>
        <v>19.703571428571429</v>
      </c>
      <c r="G222" s="359">
        <f>G221+245</f>
        <v>689.625</v>
      </c>
      <c r="H222" s="67" t="s">
        <v>502</v>
      </c>
      <c r="I222" s="67" t="s">
        <v>503</v>
      </c>
    </row>
    <row r="223" spans="1:10" s="65" customFormat="1" ht="35.25" hidden="1" customHeight="1" x14ac:dyDescent="0.35">
      <c r="A223" s="65">
        <v>312</v>
      </c>
      <c r="B223" s="64">
        <v>34088</v>
      </c>
      <c r="C223" s="65" t="s">
        <v>504</v>
      </c>
      <c r="D223" s="65">
        <v>1</v>
      </c>
      <c r="F223" s="66">
        <v>1.7</v>
      </c>
      <c r="G223" s="359">
        <v>59.8</v>
      </c>
      <c r="H223" s="67" t="s">
        <v>505</v>
      </c>
      <c r="I223" s="67" t="s">
        <v>506</v>
      </c>
    </row>
    <row r="224" spans="1:10" s="65" customFormat="1" ht="46.5" hidden="1" customHeight="1" x14ac:dyDescent="0.35">
      <c r="A224" s="65">
        <v>312</v>
      </c>
      <c r="B224" s="64">
        <v>34088</v>
      </c>
      <c r="C224" s="65" t="s">
        <v>504</v>
      </c>
      <c r="D224" s="65">
        <v>2</v>
      </c>
      <c r="F224" s="64">
        <f>G224/35</f>
        <v>6.6973913057142864</v>
      </c>
      <c r="G224" s="359">
        <f>G223+174.6086957</f>
        <v>234.40869570000001</v>
      </c>
      <c r="H224" s="67" t="s">
        <v>507</v>
      </c>
      <c r="I224" s="67" t="s">
        <v>508</v>
      </c>
    </row>
    <row r="225" spans="1:10" s="65" customFormat="1" ht="42" hidden="1" customHeight="1" x14ac:dyDescent="0.35">
      <c r="A225" s="65">
        <v>312</v>
      </c>
      <c r="B225" s="64">
        <v>34088</v>
      </c>
      <c r="C225" s="65" t="s">
        <v>504</v>
      </c>
      <c r="D225" s="65">
        <v>3</v>
      </c>
      <c r="F225" s="66">
        <f>G225/35</f>
        <v>14.062470671428573</v>
      </c>
      <c r="G225" s="359">
        <f>G224+257.7777778</f>
        <v>492.18647350000003</v>
      </c>
      <c r="H225" s="67" t="s">
        <v>509</v>
      </c>
      <c r="I225" s="67" t="s">
        <v>510</v>
      </c>
    </row>
    <row r="226" spans="1:10" ht="15" hidden="1" customHeight="1" x14ac:dyDescent="0.35">
      <c r="A226" s="58"/>
      <c r="B226" s="137">
        <v>34093</v>
      </c>
      <c r="C226" s="157" t="s">
        <v>511</v>
      </c>
      <c r="D226" s="171">
        <v>1</v>
      </c>
      <c r="E226" s="179"/>
      <c r="F226" s="101" t="s">
        <v>512</v>
      </c>
      <c r="G226" s="111">
        <v>65</v>
      </c>
      <c r="H226" s="108" t="s">
        <v>513</v>
      </c>
      <c r="I226" s="102" t="s">
        <v>477</v>
      </c>
      <c r="J226" s="93"/>
    </row>
    <row r="227" spans="1:10" s="65" customFormat="1" ht="60.75" hidden="1" customHeight="1" x14ac:dyDescent="0.35">
      <c r="A227" s="58"/>
      <c r="B227" s="137">
        <v>34093</v>
      </c>
      <c r="C227" s="157" t="s">
        <v>511</v>
      </c>
      <c r="D227" s="171">
        <v>2</v>
      </c>
      <c r="E227" s="179"/>
      <c r="F227" s="113">
        <v>4.5</v>
      </c>
      <c r="G227" s="179">
        <v>156</v>
      </c>
      <c r="H227" s="107" t="s">
        <v>514</v>
      </c>
      <c r="I227" s="102" t="s">
        <v>515</v>
      </c>
      <c r="J227" s="59"/>
    </row>
    <row r="228" spans="1:10" s="43" customFormat="1" ht="15" hidden="1" customHeight="1" x14ac:dyDescent="0.35">
      <c r="A228" s="58"/>
      <c r="B228" s="137">
        <v>34093</v>
      </c>
      <c r="C228" s="157" t="s">
        <v>511</v>
      </c>
      <c r="D228" s="171">
        <v>3</v>
      </c>
      <c r="E228" s="179"/>
      <c r="F228" s="113">
        <v>14.7</v>
      </c>
      <c r="G228" s="179">
        <v>513</v>
      </c>
      <c r="H228" s="107" t="s">
        <v>516</v>
      </c>
      <c r="I228" s="102" t="s">
        <v>517</v>
      </c>
      <c r="J228" s="59"/>
    </row>
    <row r="229" spans="1:10" ht="15" hidden="1" customHeight="1" x14ac:dyDescent="0.35">
      <c r="A229" s="58"/>
      <c r="B229" s="151">
        <v>34093</v>
      </c>
      <c r="C229" s="168" t="s">
        <v>518</v>
      </c>
      <c r="D229" s="178">
        <v>4</v>
      </c>
      <c r="E229" s="184"/>
      <c r="F229" s="184"/>
      <c r="G229" s="184"/>
      <c r="H229" s="206" t="s">
        <v>519</v>
      </c>
      <c r="I229" s="94" t="s">
        <v>520</v>
      </c>
      <c r="J229" s="59"/>
    </row>
    <row r="230" spans="1:10" s="259" customFormat="1" ht="35.25" hidden="1" customHeight="1" x14ac:dyDescent="0.35">
      <c r="A230" s="253">
        <v>312</v>
      </c>
      <c r="B230" s="254">
        <v>34505</v>
      </c>
      <c r="C230" s="278" t="s">
        <v>521</v>
      </c>
      <c r="D230" s="255">
        <v>1</v>
      </c>
      <c r="E230" s="256"/>
      <c r="F230" s="260">
        <f>G230/35</f>
        <v>5.7142857142857144</v>
      </c>
      <c r="G230" s="256">
        <v>200</v>
      </c>
      <c r="H230" s="257" t="s">
        <v>522</v>
      </c>
      <c r="I230" s="258" t="s">
        <v>95</v>
      </c>
      <c r="J230" s="245"/>
    </row>
    <row r="231" spans="1:10" s="3" customFormat="1" ht="65.25" hidden="1" customHeight="1" x14ac:dyDescent="0.35">
      <c r="A231" s="261">
        <v>312</v>
      </c>
      <c r="B231" s="262">
        <v>34505</v>
      </c>
      <c r="C231" s="157" t="s">
        <v>521</v>
      </c>
      <c r="D231" s="171">
        <v>2</v>
      </c>
      <c r="E231" s="179"/>
      <c r="F231" s="263">
        <f>G231/43</f>
        <v>6.2790697674418601</v>
      </c>
      <c r="G231" s="179">
        <v>270</v>
      </c>
      <c r="H231" s="264" t="s">
        <v>523</v>
      </c>
      <c r="I231" s="265" t="s">
        <v>111</v>
      </c>
      <c r="J231" s="113"/>
    </row>
    <row r="232" spans="1:10" s="3" customFormat="1" ht="65.25" hidden="1" customHeight="1" x14ac:dyDescent="0.35">
      <c r="A232" s="261">
        <v>312</v>
      </c>
      <c r="B232" s="262">
        <v>34506</v>
      </c>
      <c r="C232" s="157" t="s">
        <v>524</v>
      </c>
      <c r="D232" s="171">
        <v>1</v>
      </c>
      <c r="E232" s="179"/>
      <c r="F232" s="263">
        <f>G232/35</f>
        <v>5.9142857142857146</v>
      </c>
      <c r="G232" s="179">
        <v>207</v>
      </c>
      <c r="H232" s="264" t="s">
        <v>525</v>
      </c>
      <c r="I232" s="265" t="s">
        <v>82</v>
      </c>
      <c r="J232" s="113"/>
    </row>
    <row r="233" spans="1:10" s="3" customFormat="1" ht="65.25" hidden="1" customHeight="1" x14ac:dyDescent="0.35">
      <c r="A233" s="261">
        <v>312</v>
      </c>
      <c r="B233" s="262">
        <v>34506</v>
      </c>
      <c r="C233" s="157" t="s">
        <v>524</v>
      </c>
      <c r="D233" s="171">
        <v>2</v>
      </c>
      <c r="E233" s="179"/>
      <c r="F233" s="263">
        <f>G233/35</f>
        <v>7.9142857142857146</v>
      </c>
      <c r="G233" s="179">
        <v>277</v>
      </c>
      <c r="H233" s="264" t="s">
        <v>526</v>
      </c>
      <c r="I233" s="265" t="s">
        <v>527</v>
      </c>
      <c r="J233" s="113"/>
    </row>
    <row r="234" spans="1:10" ht="15" hidden="1" customHeight="1" x14ac:dyDescent="0.35">
      <c r="A234" s="49">
        <v>312</v>
      </c>
      <c r="B234" s="280">
        <v>34507</v>
      </c>
      <c r="C234" s="44" t="s">
        <v>528</v>
      </c>
      <c r="D234" s="46">
        <v>1</v>
      </c>
      <c r="E234" s="46"/>
      <c r="F234" s="47">
        <f t="shared" ref="F234:F250" si="5">G234/35</f>
        <v>3.8685714285714288</v>
      </c>
      <c r="G234" s="49">
        <v>135.4</v>
      </c>
      <c r="H234" s="50" t="s">
        <v>529</v>
      </c>
      <c r="I234" s="48" t="s">
        <v>530</v>
      </c>
      <c r="J234" s="46"/>
    </row>
    <row r="235" spans="1:10" ht="106.5" hidden="1" customHeight="1" x14ac:dyDescent="0.35">
      <c r="A235" s="1">
        <v>312</v>
      </c>
      <c r="B235" s="279">
        <v>34507</v>
      </c>
      <c r="C235" s="310" t="s">
        <v>528</v>
      </c>
      <c r="D235">
        <v>2</v>
      </c>
      <c r="E235">
        <v>2</v>
      </c>
      <c r="F235" s="47">
        <f t="shared" si="5"/>
        <v>8</v>
      </c>
      <c r="G235" s="49">
        <f>280</f>
        <v>280</v>
      </c>
      <c r="H235" s="7" t="s">
        <v>531</v>
      </c>
      <c r="I235" s="8" t="s">
        <v>532</v>
      </c>
      <c r="J235" s="131"/>
    </row>
    <row r="236" spans="1:10" ht="15" hidden="1" customHeight="1" x14ac:dyDescent="0.35">
      <c r="A236" s="1">
        <v>312</v>
      </c>
      <c r="B236" s="279">
        <v>34507</v>
      </c>
      <c r="C236" s="310" t="s">
        <v>528</v>
      </c>
      <c r="D236">
        <v>3</v>
      </c>
      <c r="E236" s="5">
        <f>F236/4</f>
        <v>2.9214285714285713</v>
      </c>
      <c r="F236" s="47">
        <f t="shared" si="5"/>
        <v>11.685714285714285</v>
      </c>
      <c r="G236" s="49">
        <f>G235+129</f>
        <v>409</v>
      </c>
      <c r="H236" s="7" t="s">
        <v>533</v>
      </c>
      <c r="I236" s="8" t="s">
        <v>534</v>
      </c>
    </row>
    <row r="237" spans="1:10" s="65" customFormat="1" ht="40.5" hidden="1" customHeight="1" x14ac:dyDescent="0.35">
      <c r="A237" s="124">
        <v>312</v>
      </c>
      <c r="B237" s="101">
        <v>34525</v>
      </c>
      <c r="C237" s="65" t="s">
        <v>535</v>
      </c>
      <c r="D237" s="65">
        <v>1</v>
      </c>
      <c r="E237" s="64"/>
      <c r="F237" s="127">
        <f>G237/35</f>
        <v>4.2857142857142856</v>
      </c>
      <c r="G237" s="111">
        <v>150</v>
      </c>
      <c r="H237" s="117" t="s">
        <v>536</v>
      </c>
      <c r="I237" s="116" t="s">
        <v>537</v>
      </c>
    </row>
    <row r="238" spans="1:10" s="65" customFormat="1" ht="67.5" hidden="1" customHeight="1" x14ac:dyDescent="0.35">
      <c r="A238" s="124">
        <v>312</v>
      </c>
      <c r="B238" s="101">
        <v>34525</v>
      </c>
      <c r="C238" s="65" t="s">
        <v>535</v>
      </c>
      <c r="D238" s="65">
        <v>2</v>
      </c>
      <c r="E238" s="64"/>
      <c r="F238" s="106">
        <f>G238/35</f>
        <v>8.1999999999999993</v>
      </c>
      <c r="G238" s="111">
        <v>287</v>
      </c>
      <c r="H238" s="117" t="s">
        <v>538</v>
      </c>
      <c r="I238" s="116" t="s">
        <v>539</v>
      </c>
    </row>
    <row r="239" spans="1:10" ht="48.75" hidden="1" customHeight="1" x14ac:dyDescent="0.35">
      <c r="A239" s="49">
        <v>312</v>
      </c>
      <c r="B239" s="280">
        <v>34582</v>
      </c>
      <c r="C239" s="46" t="s">
        <v>540</v>
      </c>
      <c r="D239" s="46">
        <v>1</v>
      </c>
      <c r="E239" s="46"/>
      <c r="F239" s="47">
        <f t="shared" si="5"/>
        <v>3.2285714285714286</v>
      </c>
      <c r="G239" s="49">
        <v>113</v>
      </c>
      <c r="H239" s="50" t="s">
        <v>541</v>
      </c>
      <c r="I239" s="48" t="s">
        <v>542</v>
      </c>
      <c r="J239" s="46"/>
    </row>
    <row r="240" spans="1:10" ht="72.75" hidden="1" customHeight="1" x14ac:dyDescent="0.35">
      <c r="A240" s="124">
        <v>312</v>
      </c>
      <c r="B240" s="65">
        <v>34582</v>
      </c>
      <c r="C240" s="65" t="s">
        <v>540</v>
      </c>
      <c r="D240" s="65">
        <v>2</v>
      </c>
      <c r="E240" s="65">
        <v>2</v>
      </c>
      <c r="F240" s="66">
        <f t="shared" si="5"/>
        <v>8.56</v>
      </c>
      <c r="G240" s="111">
        <f>G239+186.6</f>
        <v>299.60000000000002</v>
      </c>
      <c r="H240" s="117" t="s">
        <v>543</v>
      </c>
      <c r="I240" s="116" t="s">
        <v>544</v>
      </c>
      <c r="J240" s="65"/>
    </row>
    <row r="241" spans="1:10" ht="67.5" hidden="1" customHeight="1" x14ac:dyDescent="0.35">
      <c r="A241" s="124">
        <v>312</v>
      </c>
      <c r="B241" s="65">
        <v>34582</v>
      </c>
      <c r="C241" s="65" t="s">
        <v>540</v>
      </c>
      <c r="D241" s="65">
        <v>3</v>
      </c>
      <c r="E241" s="65">
        <v>2</v>
      </c>
      <c r="F241" s="66">
        <f t="shared" si="5"/>
        <v>12.202857142857143</v>
      </c>
      <c r="G241" s="111">
        <f>G240+127.5</f>
        <v>427.1</v>
      </c>
      <c r="H241" s="117" t="s">
        <v>545</v>
      </c>
      <c r="I241" s="116" t="s">
        <v>546</v>
      </c>
      <c r="J241" s="65"/>
    </row>
    <row r="242" spans="1:10" ht="111.75" hidden="1" customHeight="1" x14ac:dyDescent="0.35">
      <c r="A242" s="124">
        <v>312</v>
      </c>
      <c r="B242" s="65">
        <v>34582</v>
      </c>
      <c r="C242" s="65" t="s">
        <v>540</v>
      </c>
      <c r="D242" s="65">
        <v>4</v>
      </c>
      <c r="E242" s="65" t="s">
        <v>547</v>
      </c>
      <c r="F242" s="66">
        <f t="shared" si="5"/>
        <v>16.917142857142856</v>
      </c>
      <c r="G242" s="111">
        <f>G241+165</f>
        <v>592.1</v>
      </c>
      <c r="H242" s="117" t="s">
        <v>548</v>
      </c>
      <c r="I242" s="116" t="s">
        <v>549</v>
      </c>
      <c r="J242" s="65"/>
    </row>
    <row r="243" spans="1:10" s="42" customFormat="1" ht="202.5" hidden="1" customHeight="1" x14ac:dyDescent="0.35">
      <c r="A243" s="124">
        <v>312</v>
      </c>
      <c r="B243" s="65">
        <v>34592</v>
      </c>
      <c r="C243" s="65" t="s">
        <v>550</v>
      </c>
      <c r="D243" s="65">
        <v>1</v>
      </c>
      <c r="E243" s="65" t="s">
        <v>551</v>
      </c>
      <c r="F243" s="66">
        <f t="shared" si="5"/>
        <v>3.0571428571428569</v>
      </c>
      <c r="G243" s="111">
        <v>107</v>
      </c>
      <c r="H243" s="117" t="s">
        <v>552</v>
      </c>
      <c r="I243" s="116" t="s">
        <v>553</v>
      </c>
      <c r="J243" s="65"/>
    </row>
    <row r="244" spans="1:10" s="42" customFormat="1" ht="57.75" hidden="1" customHeight="1" x14ac:dyDescent="0.35">
      <c r="A244" s="124">
        <v>312</v>
      </c>
      <c r="B244" s="65">
        <v>34592</v>
      </c>
      <c r="C244" s="65" t="s">
        <v>550</v>
      </c>
      <c r="D244" s="65">
        <v>2</v>
      </c>
      <c r="E244" s="65">
        <v>2</v>
      </c>
      <c r="F244" s="66">
        <f t="shared" si="5"/>
        <v>6.3142857142857141</v>
      </c>
      <c r="G244" s="111">
        <v>221</v>
      </c>
      <c r="H244" s="117" t="s">
        <v>554</v>
      </c>
      <c r="I244" s="116" t="s">
        <v>555</v>
      </c>
      <c r="J244" s="65"/>
    </row>
    <row r="245" spans="1:10" ht="69" hidden="1" customHeight="1" x14ac:dyDescent="0.35">
      <c r="A245" s="124">
        <v>312</v>
      </c>
      <c r="B245" s="65">
        <v>34592</v>
      </c>
      <c r="C245" s="65" t="s">
        <v>550</v>
      </c>
      <c r="D245" s="65">
        <v>3</v>
      </c>
      <c r="E245" s="65"/>
      <c r="F245" s="66">
        <f t="shared" si="5"/>
        <v>11.645714285714286</v>
      </c>
      <c r="G245" s="111">
        <f>G244+186.6</f>
        <v>407.6</v>
      </c>
      <c r="H245" s="117" t="s">
        <v>556</v>
      </c>
      <c r="I245" s="116" t="s">
        <v>557</v>
      </c>
      <c r="J245" s="65"/>
    </row>
    <row r="246" spans="1:10" ht="69" hidden="1" customHeight="1" x14ac:dyDescent="0.35">
      <c r="A246" s="124">
        <v>312</v>
      </c>
      <c r="B246" s="65">
        <v>34592</v>
      </c>
      <c r="C246" s="65" t="s">
        <v>550</v>
      </c>
      <c r="D246" s="65">
        <v>4</v>
      </c>
      <c r="E246" s="65"/>
      <c r="F246" s="66">
        <f t="shared" si="5"/>
        <v>15.78857142857143</v>
      </c>
      <c r="G246" s="111">
        <f>G245+145</f>
        <v>552.6</v>
      </c>
      <c r="H246" s="117" t="s">
        <v>558</v>
      </c>
      <c r="I246" s="116" t="s">
        <v>546</v>
      </c>
      <c r="J246" s="65"/>
    </row>
    <row r="247" spans="1:10" ht="69" hidden="1" customHeight="1" x14ac:dyDescent="0.35">
      <c r="A247" s="125">
        <v>312</v>
      </c>
      <c r="B247" s="126">
        <v>34593</v>
      </c>
      <c r="C247" s="125" t="s">
        <v>559</v>
      </c>
      <c r="D247" s="125">
        <v>1</v>
      </c>
      <c r="E247" s="125"/>
      <c r="F247" s="127">
        <f t="shared" si="5"/>
        <v>4.8571428571428568</v>
      </c>
      <c r="G247" s="111">
        <v>170</v>
      </c>
      <c r="H247" s="121" t="s">
        <v>560</v>
      </c>
      <c r="I247" s="121" t="s">
        <v>542</v>
      </c>
      <c r="J247" s="121"/>
    </row>
    <row r="248" spans="1:10" ht="69" hidden="1" customHeight="1" x14ac:dyDescent="0.35">
      <c r="A248" s="124">
        <v>312</v>
      </c>
      <c r="B248" s="65">
        <v>34593</v>
      </c>
      <c r="C248" s="65" t="s">
        <v>561</v>
      </c>
      <c r="D248" s="65">
        <v>2</v>
      </c>
      <c r="E248" s="65"/>
      <c r="F248" s="66">
        <f t="shared" si="5"/>
        <v>13.69142857142857</v>
      </c>
      <c r="G248" s="111">
        <f>309.2+G247</f>
        <v>479.2</v>
      </c>
      <c r="H248" s="117" t="s">
        <v>562</v>
      </c>
      <c r="I248" s="67" t="s">
        <v>563</v>
      </c>
      <c r="J248" s="65"/>
    </row>
    <row r="249" spans="1:10" ht="69" hidden="1" customHeight="1" x14ac:dyDescent="0.35">
      <c r="A249" s="124">
        <v>312</v>
      </c>
      <c r="B249" s="65">
        <v>34593</v>
      </c>
      <c r="C249" s="65" t="s">
        <v>561</v>
      </c>
      <c r="D249" s="65">
        <v>3</v>
      </c>
      <c r="E249" s="65"/>
      <c r="F249" s="66">
        <f t="shared" si="5"/>
        <v>24.32</v>
      </c>
      <c r="G249" s="111">
        <f>G248+372</f>
        <v>851.2</v>
      </c>
      <c r="H249" s="117" t="s">
        <v>564</v>
      </c>
      <c r="I249" s="117" t="s">
        <v>565</v>
      </c>
      <c r="J249" s="65"/>
    </row>
    <row r="250" spans="1:10" ht="71.25" hidden="1" customHeight="1" x14ac:dyDescent="0.35">
      <c r="A250" s="124">
        <v>312</v>
      </c>
      <c r="B250" s="125">
        <v>34593</v>
      </c>
      <c r="C250" s="125" t="s">
        <v>561</v>
      </c>
      <c r="D250" s="125">
        <v>4</v>
      </c>
      <c r="E250" s="125">
        <v>7.5</v>
      </c>
      <c r="F250" s="127">
        <f t="shared" si="5"/>
        <v>36.105714285714285</v>
      </c>
      <c r="G250" s="111">
        <f>G249+412.5</f>
        <v>1263.7</v>
      </c>
      <c r="H250" s="117" t="s">
        <v>566</v>
      </c>
      <c r="I250" s="117" t="s">
        <v>567</v>
      </c>
      <c r="J250" s="65"/>
    </row>
    <row r="251" spans="1:10" ht="70.5" hidden="1" customHeight="1" x14ac:dyDescent="0.35">
      <c r="A251" s="101">
        <v>312</v>
      </c>
      <c r="B251" s="101">
        <v>34597</v>
      </c>
      <c r="C251" s="162" t="s">
        <v>568</v>
      </c>
      <c r="D251" s="65">
        <v>1</v>
      </c>
      <c r="E251" s="65">
        <v>2</v>
      </c>
      <c r="F251" s="65">
        <v>9</v>
      </c>
      <c r="G251" s="111">
        <f>9*35</f>
        <v>315</v>
      </c>
      <c r="H251" s="117" t="s">
        <v>569</v>
      </c>
      <c r="I251" s="116" t="s">
        <v>570</v>
      </c>
    </row>
    <row r="252" spans="1:10" ht="93" hidden="1" customHeight="1" x14ac:dyDescent="0.35">
      <c r="A252" s="239">
        <v>312</v>
      </c>
      <c r="B252" s="101">
        <v>34597</v>
      </c>
      <c r="C252" s="162" t="s">
        <v>568</v>
      </c>
      <c r="D252" s="101">
        <v>2</v>
      </c>
      <c r="E252" s="101"/>
      <c r="F252" s="106">
        <f>G252/35</f>
        <v>12.588571428571429</v>
      </c>
      <c r="G252" s="111">
        <f>G251+125.6</f>
        <v>440.6</v>
      </c>
      <c r="H252" s="117" t="s">
        <v>571</v>
      </c>
      <c r="I252" s="116" t="s">
        <v>419</v>
      </c>
      <c r="J252" s="65"/>
    </row>
    <row r="253" spans="1:10" s="65" customFormat="1" ht="72" hidden="1" customHeight="1" x14ac:dyDescent="0.35">
      <c r="A253" s="239">
        <v>334</v>
      </c>
      <c r="B253" s="101">
        <v>35052</v>
      </c>
      <c r="C253" s="162" t="s">
        <v>572</v>
      </c>
      <c r="D253" s="65">
        <v>1</v>
      </c>
      <c r="F253" s="66">
        <f>G253/35</f>
        <v>2.4428571428571431</v>
      </c>
      <c r="G253" s="111">
        <v>85.5</v>
      </c>
      <c r="H253" s="242" t="s">
        <v>573</v>
      </c>
      <c r="I253" s="67" t="s">
        <v>574</v>
      </c>
      <c r="J253" s="65" t="s">
        <v>575</v>
      </c>
    </row>
    <row r="254" spans="1:10" s="65" customFormat="1" ht="93" hidden="1" customHeight="1" x14ac:dyDescent="0.35">
      <c r="A254" s="239">
        <v>334</v>
      </c>
      <c r="B254" s="101">
        <v>35052</v>
      </c>
      <c r="C254" s="162" t="s">
        <v>572</v>
      </c>
      <c r="D254" s="65">
        <v>2</v>
      </c>
      <c r="F254" s="66">
        <f>G254/35</f>
        <v>3.9857142857142858</v>
      </c>
      <c r="G254" s="360">
        <f>G253+54</f>
        <v>139.5</v>
      </c>
      <c r="H254" s="117" t="s">
        <v>576</v>
      </c>
      <c r="I254" s="116" t="s">
        <v>577</v>
      </c>
      <c r="J254" s="67" t="s">
        <v>578</v>
      </c>
    </row>
    <row r="255" spans="1:10" ht="76.5" hidden="1" customHeight="1" x14ac:dyDescent="0.35">
      <c r="A255" s="132">
        <v>212</v>
      </c>
      <c r="B255" s="132">
        <v>42022</v>
      </c>
      <c r="C255" s="319" t="s">
        <v>579</v>
      </c>
      <c r="D255" s="132">
        <v>1</v>
      </c>
      <c r="E255" s="132"/>
      <c r="F255" s="132">
        <v>12.4</v>
      </c>
      <c r="G255" s="377">
        <v>434.79719999999998</v>
      </c>
      <c r="H255" s="132" t="s">
        <v>580</v>
      </c>
      <c r="I255" s="132" t="s">
        <v>581</v>
      </c>
    </row>
    <row r="256" spans="1:10" ht="91.5" hidden="1" customHeight="1" x14ac:dyDescent="0.35">
      <c r="A256" s="132">
        <v>212</v>
      </c>
      <c r="B256" s="132">
        <v>42022</v>
      </c>
      <c r="C256" s="319" t="s">
        <v>579</v>
      </c>
      <c r="D256" s="132">
        <v>2</v>
      </c>
      <c r="E256" s="132"/>
      <c r="F256" s="132">
        <v>6.5</v>
      </c>
      <c r="G256" s="377">
        <f>(1/3*1430)+G255</f>
        <v>911.4638666666666</v>
      </c>
      <c r="H256" s="132" t="s">
        <v>582</v>
      </c>
      <c r="I256" s="132" t="s">
        <v>583</v>
      </c>
    </row>
    <row r="257" spans="1:10" ht="91.5" hidden="1" customHeight="1" x14ac:dyDescent="0.35">
      <c r="A257" s="132">
        <v>212</v>
      </c>
      <c r="B257" s="132">
        <v>42022</v>
      </c>
      <c r="C257" s="319" t="s">
        <v>579</v>
      </c>
      <c r="D257" s="132">
        <v>3</v>
      </c>
      <c r="E257" s="132"/>
      <c r="F257" s="132">
        <v>108.8</v>
      </c>
      <c r="G257" s="377">
        <f>2897.709924+G256</f>
        <v>3809.1737906666663</v>
      </c>
      <c r="H257" s="132" t="s">
        <v>584</v>
      </c>
      <c r="I257" s="132" t="s">
        <v>585</v>
      </c>
    </row>
    <row r="258" spans="1:10" ht="18.75" hidden="1" customHeight="1" x14ac:dyDescent="0.35">
      <c r="A258" s="132">
        <v>212</v>
      </c>
      <c r="B258" s="132">
        <v>42022</v>
      </c>
      <c r="C258" s="319" t="s">
        <v>579</v>
      </c>
      <c r="D258" s="132">
        <v>4</v>
      </c>
      <c r="E258" s="132"/>
      <c r="F258" s="132">
        <v>127.7</v>
      </c>
      <c r="G258" s="377">
        <f>661.0687023+G257</f>
        <v>4470.2424929666668</v>
      </c>
      <c r="H258" s="132" t="s">
        <v>586</v>
      </c>
      <c r="I258" s="132" t="s">
        <v>587</v>
      </c>
    </row>
    <row r="259" spans="1:10" ht="15" hidden="1" customHeight="1" x14ac:dyDescent="0.35">
      <c r="A259" s="132">
        <v>343</v>
      </c>
      <c r="B259" s="5">
        <v>42093</v>
      </c>
      <c r="C259" s="325" t="s">
        <v>588</v>
      </c>
      <c r="D259">
        <v>1</v>
      </c>
      <c r="E259">
        <v>0.5</v>
      </c>
      <c r="F259" s="25">
        <v>4.1558441558441563</v>
      </c>
      <c r="G259" s="385">
        <v>145.45454545454547</v>
      </c>
      <c r="H259" s="6" t="s">
        <v>589</v>
      </c>
      <c r="I259" t="s">
        <v>590</v>
      </c>
    </row>
    <row r="260" spans="1:10" ht="37.5" hidden="1" customHeight="1" x14ac:dyDescent="0.35">
      <c r="A260" s="132">
        <v>343</v>
      </c>
      <c r="B260" s="5">
        <v>42093</v>
      </c>
      <c r="C260" s="325" t="s">
        <v>588</v>
      </c>
      <c r="D260">
        <v>2</v>
      </c>
      <c r="E260">
        <v>2</v>
      </c>
      <c r="F260" s="25">
        <v>12.100288600288602</v>
      </c>
      <c r="G260" s="385">
        <v>423.51010101010104</v>
      </c>
      <c r="H260" s="6" t="s">
        <v>591</v>
      </c>
      <c r="I260" t="s">
        <v>592</v>
      </c>
    </row>
    <row r="261" spans="1:10" ht="167.25" hidden="1" customHeight="1" x14ac:dyDescent="0.35">
      <c r="A261" s="132">
        <v>334</v>
      </c>
      <c r="B261" s="15">
        <v>42661</v>
      </c>
      <c r="C261" s="65" t="s">
        <v>593</v>
      </c>
      <c r="D261" s="67">
        <v>1</v>
      </c>
      <c r="E261" s="65"/>
      <c r="F261" s="66"/>
      <c r="G261" s="359"/>
      <c r="H261" s="67" t="s">
        <v>594</v>
      </c>
      <c r="I261" s="24"/>
      <c r="J261" s="283" t="s">
        <v>595</v>
      </c>
    </row>
    <row r="262" spans="1:10" ht="111.75" hidden="1" customHeight="1" x14ac:dyDescent="0.35">
      <c r="A262" s="132">
        <v>334</v>
      </c>
      <c r="B262" s="15">
        <v>42661</v>
      </c>
      <c r="C262" s="65" t="s">
        <v>593</v>
      </c>
      <c r="D262" s="67">
        <v>2</v>
      </c>
      <c r="E262" s="65"/>
      <c r="F262" s="66"/>
      <c r="G262" s="359"/>
      <c r="H262" s="67" t="s">
        <v>596</v>
      </c>
      <c r="J262" s="283" t="s">
        <v>597</v>
      </c>
    </row>
    <row r="263" spans="1:10" ht="97.5" hidden="1" customHeight="1" x14ac:dyDescent="0.35">
      <c r="A263" s="132">
        <v>334</v>
      </c>
      <c r="B263" s="15">
        <v>42661</v>
      </c>
      <c r="C263" s="65" t="s">
        <v>593</v>
      </c>
      <c r="D263" s="67">
        <v>3</v>
      </c>
      <c r="E263" s="65"/>
      <c r="F263" s="66">
        <f t="shared" ref="F263:F269" si="6">G263/35</f>
        <v>33</v>
      </c>
      <c r="G263" s="359">
        <v>1155</v>
      </c>
      <c r="H263" s="6" t="s">
        <v>598</v>
      </c>
      <c r="I263" s="6" t="s">
        <v>599</v>
      </c>
      <c r="J263" s="283" t="s">
        <v>600</v>
      </c>
    </row>
    <row r="264" spans="1:10" s="65" customFormat="1" ht="59.25" hidden="1" customHeight="1" x14ac:dyDescent="0.35">
      <c r="A264" s="65">
        <v>221</v>
      </c>
      <c r="B264" s="64">
        <v>42752</v>
      </c>
      <c r="C264" s="65" t="s">
        <v>601</v>
      </c>
      <c r="D264" s="65">
        <v>1</v>
      </c>
      <c r="F264" s="66">
        <f t="shared" si="6"/>
        <v>3.5714285714285716</v>
      </c>
      <c r="G264" s="111">
        <v>125</v>
      </c>
      <c r="H264" s="67" t="s">
        <v>602</v>
      </c>
      <c r="I264" s="67" t="s">
        <v>603</v>
      </c>
    </row>
    <row r="265" spans="1:10" s="65" customFormat="1" ht="59.25" hidden="1" customHeight="1" x14ac:dyDescent="0.35">
      <c r="A265" s="65">
        <v>221</v>
      </c>
      <c r="B265" s="64">
        <v>42752</v>
      </c>
      <c r="C265" s="65" t="s">
        <v>601</v>
      </c>
      <c r="D265" s="65">
        <v>2</v>
      </c>
      <c r="F265" s="66">
        <f t="shared" si="6"/>
        <v>5.4285714285714288</v>
      </c>
      <c r="G265" s="111">
        <v>190</v>
      </c>
      <c r="H265" s="67" t="s">
        <v>604</v>
      </c>
      <c r="I265" s="67" t="s">
        <v>605</v>
      </c>
    </row>
    <row r="266" spans="1:10" s="65" customFormat="1" ht="59.25" hidden="1" customHeight="1" x14ac:dyDescent="0.35">
      <c r="A266" s="65">
        <v>334</v>
      </c>
      <c r="B266" s="64">
        <v>42757</v>
      </c>
      <c r="C266" s="65" t="s">
        <v>606</v>
      </c>
      <c r="D266" s="65">
        <v>1</v>
      </c>
      <c r="F266" s="66">
        <f>G266/35</f>
        <v>4.2857142857142856</v>
      </c>
      <c r="G266" s="111">
        <v>150</v>
      </c>
      <c r="H266" s="67" t="s">
        <v>607</v>
      </c>
      <c r="I266" s="67" t="s">
        <v>608</v>
      </c>
    </row>
    <row r="267" spans="1:10" s="65" customFormat="1" ht="59.25" hidden="1" customHeight="1" x14ac:dyDescent="0.35">
      <c r="A267" s="65">
        <v>221</v>
      </c>
      <c r="B267" s="64">
        <v>42780</v>
      </c>
      <c r="C267" s="65" t="s">
        <v>609</v>
      </c>
      <c r="D267" s="65">
        <v>1</v>
      </c>
      <c r="F267" s="66">
        <f t="shared" si="6"/>
        <v>2.1428571428571428</v>
      </c>
      <c r="G267" s="111">
        <v>75</v>
      </c>
      <c r="H267" s="67" t="s">
        <v>610</v>
      </c>
      <c r="I267" s="67" t="s">
        <v>608</v>
      </c>
    </row>
    <row r="268" spans="1:10" ht="47.25" hidden="1" customHeight="1" x14ac:dyDescent="0.35">
      <c r="A268" s="244">
        <v>333</v>
      </c>
      <c r="B268" s="245">
        <v>44517</v>
      </c>
      <c r="C268" s="246" t="s">
        <v>611</v>
      </c>
      <c r="D268" s="244">
        <v>1</v>
      </c>
      <c r="E268" s="244">
        <v>1</v>
      </c>
      <c r="F268" s="247">
        <f t="shared" si="6"/>
        <v>3.1142857142857143</v>
      </c>
      <c r="G268" s="366">
        <v>109</v>
      </c>
      <c r="H268" s="248" t="s">
        <v>612</v>
      </c>
      <c r="I268" s="248" t="s">
        <v>613</v>
      </c>
    </row>
    <row r="269" spans="1:10" ht="162" hidden="1" customHeight="1" x14ac:dyDescent="0.35">
      <c r="A269" s="243">
        <v>333</v>
      </c>
      <c r="B269" s="249">
        <v>44517</v>
      </c>
      <c r="C269" s="250" t="s">
        <v>611</v>
      </c>
      <c r="D269" s="244">
        <v>2</v>
      </c>
      <c r="E269" s="247">
        <f>F269/4</f>
        <v>2.2642857142857142</v>
      </c>
      <c r="F269" s="247">
        <f t="shared" si="6"/>
        <v>9.0571428571428569</v>
      </c>
      <c r="G269" s="366">
        <f>G268+208</f>
        <v>317</v>
      </c>
      <c r="H269" s="251" t="s">
        <v>614</v>
      </c>
      <c r="I269" s="252" t="s">
        <v>615</v>
      </c>
      <c r="J269" s="240" t="s">
        <v>616</v>
      </c>
    </row>
    <row r="270" spans="1:10" ht="70.5" hidden="1" customHeight="1" x14ac:dyDescent="0.35">
      <c r="A270" s="1">
        <v>323</v>
      </c>
      <c r="B270" s="16">
        <v>46003</v>
      </c>
      <c r="C270" s="99" t="s">
        <v>617</v>
      </c>
      <c r="D270" s="65">
        <v>1</v>
      </c>
      <c r="E270" s="65"/>
      <c r="F270" s="65">
        <v>4</v>
      </c>
      <c r="G270" s="111">
        <v>140</v>
      </c>
      <c r="H270" s="7" t="s">
        <v>618</v>
      </c>
      <c r="I270" s="8" t="s">
        <v>619</v>
      </c>
    </row>
    <row r="271" spans="1:10" ht="81" hidden="1" customHeight="1" x14ac:dyDescent="0.35">
      <c r="A271" s="1">
        <v>323</v>
      </c>
      <c r="B271" s="16">
        <v>46003</v>
      </c>
      <c r="C271" s="99" t="s">
        <v>617</v>
      </c>
      <c r="D271" s="65">
        <v>2</v>
      </c>
      <c r="E271" s="65"/>
      <c r="F271" s="65">
        <f>G271/35</f>
        <v>8.6</v>
      </c>
      <c r="G271" s="111">
        <f>G270+161</f>
        <v>301</v>
      </c>
      <c r="H271" s="7" t="s">
        <v>620</v>
      </c>
      <c r="I271" s="8" t="s">
        <v>621</v>
      </c>
    </row>
    <row r="272" spans="1:10" ht="29.15" hidden="1" x14ac:dyDescent="0.35">
      <c r="A272" s="1">
        <v>323</v>
      </c>
      <c r="B272" s="16">
        <v>46003</v>
      </c>
      <c r="C272" s="99" t="s">
        <v>617</v>
      </c>
      <c r="D272" s="65">
        <v>3</v>
      </c>
      <c r="E272" s="65"/>
      <c r="F272" s="66">
        <f>G272/35</f>
        <v>11.742857142857142</v>
      </c>
      <c r="G272" s="111">
        <v>411</v>
      </c>
      <c r="H272" s="7" t="s">
        <v>622</v>
      </c>
      <c r="I272" s="8" t="s">
        <v>623</v>
      </c>
    </row>
    <row r="273" spans="1:10" ht="58" hidden="1" x14ac:dyDescent="0.35">
      <c r="A273" s="1">
        <v>321</v>
      </c>
      <c r="B273" s="52">
        <v>46252</v>
      </c>
      <c r="C273" s="330" t="s">
        <v>624</v>
      </c>
      <c r="D273" s="53">
        <v>2</v>
      </c>
      <c r="E273" s="53"/>
      <c r="F273" s="53"/>
      <c r="G273" s="386"/>
      <c r="H273" s="54" t="s">
        <v>625</v>
      </c>
      <c r="I273" s="55" t="s">
        <v>534</v>
      </c>
    </row>
    <row r="274" spans="1:10" ht="72.650000000000006" hidden="1" x14ac:dyDescent="0.35">
      <c r="A274" s="236">
        <v>320</v>
      </c>
      <c r="B274" s="96">
        <v>46301</v>
      </c>
      <c r="C274" s="331" t="s">
        <v>626</v>
      </c>
      <c r="D274" s="65">
        <v>1</v>
      </c>
      <c r="E274" s="65"/>
      <c r="F274" s="65">
        <v>4.5</v>
      </c>
      <c r="G274" s="111">
        <v>159</v>
      </c>
      <c r="H274" s="57" t="s">
        <v>627</v>
      </c>
      <c r="I274" s="104" t="s">
        <v>628</v>
      </c>
      <c r="J274" s="42"/>
    </row>
    <row r="275" spans="1:10" ht="56.25" hidden="1" customHeight="1" x14ac:dyDescent="0.35">
      <c r="A275" s="236">
        <v>320</v>
      </c>
      <c r="B275" s="96">
        <v>46301</v>
      </c>
      <c r="C275" s="331" t="s">
        <v>626</v>
      </c>
      <c r="D275" s="65">
        <v>2</v>
      </c>
      <c r="E275" s="65"/>
      <c r="F275" s="65">
        <v>9.1999999999999993</v>
      </c>
      <c r="G275" s="111">
        <v>324</v>
      </c>
      <c r="H275" s="95" t="s">
        <v>629</v>
      </c>
      <c r="I275" s="90" t="s">
        <v>630</v>
      </c>
      <c r="J275" s="42"/>
    </row>
    <row r="276" spans="1:10" ht="75.75" hidden="1" customHeight="1" x14ac:dyDescent="0.35">
      <c r="A276" s="236">
        <v>320</v>
      </c>
      <c r="B276" s="16">
        <v>46301</v>
      </c>
      <c r="C276" s="325" t="s">
        <v>626</v>
      </c>
      <c r="D276" s="65">
        <v>3</v>
      </c>
      <c r="E276" s="65"/>
      <c r="F276" s="66">
        <f>G276/35</f>
        <v>11.971428571428572</v>
      </c>
      <c r="G276" s="111">
        <f>G275+95</f>
        <v>419</v>
      </c>
      <c r="H276" s="7" t="s">
        <v>631</v>
      </c>
      <c r="I276" s="8" t="s">
        <v>632</v>
      </c>
    </row>
    <row r="277" spans="1:10" ht="43.5" hidden="1" x14ac:dyDescent="0.35">
      <c r="A277" s="236">
        <v>320</v>
      </c>
      <c r="B277" s="16">
        <v>46301</v>
      </c>
      <c r="C277" s="325" t="s">
        <v>626</v>
      </c>
      <c r="D277" s="65">
        <v>4</v>
      </c>
      <c r="E277" s="65"/>
      <c r="F277" s="66">
        <f>G277/35</f>
        <v>17.157142857142858</v>
      </c>
      <c r="G277" s="360">
        <f>G276+181.5</f>
        <v>600.5</v>
      </c>
      <c r="H277" s="7" t="s">
        <v>633</v>
      </c>
      <c r="I277" s="8" t="s">
        <v>634</v>
      </c>
    </row>
    <row r="278" spans="1:10" ht="29.15" hidden="1" x14ac:dyDescent="0.35">
      <c r="A278" s="105">
        <v>320</v>
      </c>
      <c r="B278" s="16">
        <v>46310</v>
      </c>
      <c r="C278" s="325" t="s">
        <v>635</v>
      </c>
      <c r="D278" s="65">
        <v>1</v>
      </c>
      <c r="E278" s="65"/>
      <c r="F278" s="65">
        <v>1.9</v>
      </c>
      <c r="G278" s="111">
        <v>67</v>
      </c>
      <c r="H278" s="7" t="s">
        <v>636</v>
      </c>
      <c r="I278" s="8" t="s">
        <v>637</v>
      </c>
    </row>
    <row r="279" spans="1:10" ht="43.5" hidden="1" x14ac:dyDescent="0.35">
      <c r="A279" s="105">
        <v>320</v>
      </c>
      <c r="B279" s="16">
        <v>46310</v>
      </c>
      <c r="C279" s="325" t="s">
        <v>635</v>
      </c>
      <c r="D279" s="65">
        <v>2</v>
      </c>
      <c r="E279" s="65"/>
      <c r="F279" s="65">
        <v>9.5</v>
      </c>
      <c r="G279" s="111">
        <v>334</v>
      </c>
      <c r="H279" s="7" t="s">
        <v>638</v>
      </c>
      <c r="I279" s="8" t="s">
        <v>639</v>
      </c>
    </row>
    <row r="280" spans="1:10" ht="29.15" hidden="1" x14ac:dyDescent="0.35">
      <c r="A280" s="105">
        <v>320</v>
      </c>
      <c r="B280" s="16">
        <v>46310</v>
      </c>
      <c r="C280" s="325" t="s">
        <v>635</v>
      </c>
      <c r="D280" s="65">
        <v>3</v>
      </c>
      <c r="E280" s="65"/>
      <c r="F280" s="65">
        <f>G280/35</f>
        <v>11.9</v>
      </c>
      <c r="G280" s="360">
        <f>G279+82.5</f>
        <v>416.5</v>
      </c>
      <c r="H280" s="7" t="s">
        <v>640</v>
      </c>
      <c r="I280" s="8" t="s">
        <v>641</v>
      </c>
    </row>
    <row r="281" spans="1:10" ht="43.5" hidden="1" x14ac:dyDescent="0.35">
      <c r="A281" s="100">
        <v>320</v>
      </c>
      <c r="B281" s="96">
        <v>46319</v>
      </c>
      <c r="C281" s="97" t="s">
        <v>642</v>
      </c>
      <c r="D281" s="65">
        <v>1</v>
      </c>
      <c r="E281" s="65"/>
      <c r="F281" s="65">
        <v>2.2999999999999998</v>
      </c>
      <c r="G281" s="111">
        <v>83</v>
      </c>
      <c r="H281" s="95" t="s">
        <v>643</v>
      </c>
      <c r="I281" s="90" t="s">
        <v>644</v>
      </c>
      <c r="J281" s="51"/>
    </row>
    <row r="282" spans="1:10" ht="58" hidden="1" x14ac:dyDescent="0.35">
      <c r="A282" s="100">
        <v>320</v>
      </c>
      <c r="B282" s="96">
        <v>46319</v>
      </c>
      <c r="C282" s="99" t="s">
        <v>642</v>
      </c>
      <c r="D282" s="65">
        <v>2</v>
      </c>
      <c r="E282" s="65"/>
      <c r="F282" s="65">
        <v>4</v>
      </c>
      <c r="G282" s="111">
        <v>142</v>
      </c>
      <c r="H282" s="95" t="s">
        <v>645</v>
      </c>
      <c r="I282" s="90" t="s">
        <v>443</v>
      </c>
      <c r="J282" s="98"/>
    </row>
    <row r="283" spans="1:10" ht="29.15" hidden="1" x14ac:dyDescent="0.35">
      <c r="A283" s="100">
        <v>320</v>
      </c>
      <c r="B283" s="96">
        <v>46319</v>
      </c>
      <c r="C283" s="99" t="s">
        <v>642</v>
      </c>
      <c r="D283" s="65">
        <v>3</v>
      </c>
      <c r="E283" s="65"/>
      <c r="F283" s="65">
        <v>8.6999999999999993</v>
      </c>
      <c r="G283" s="111">
        <v>307</v>
      </c>
      <c r="H283" s="6" t="s">
        <v>646</v>
      </c>
      <c r="I283" s="69" t="s">
        <v>647</v>
      </c>
    </row>
    <row r="284" spans="1:10" ht="43.5" hidden="1" x14ac:dyDescent="0.35">
      <c r="A284">
        <v>325</v>
      </c>
      <c r="B284" s="5">
        <v>46346</v>
      </c>
      <c r="C284" s="332" t="s">
        <v>648</v>
      </c>
      <c r="D284">
        <v>1</v>
      </c>
      <c r="F284">
        <v>1.5</v>
      </c>
      <c r="G284" s="367">
        <v>55</v>
      </c>
      <c r="H284" s="6" t="s">
        <v>649</v>
      </c>
      <c r="I284" s="20" t="s">
        <v>389</v>
      </c>
    </row>
    <row r="285" spans="1:10" ht="43.5" hidden="1" x14ac:dyDescent="0.35">
      <c r="A285">
        <v>325</v>
      </c>
      <c r="B285" s="5">
        <v>46346</v>
      </c>
      <c r="C285" s="332" t="s">
        <v>648</v>
      </c>
      <c r="D285">
        <v>2</v>
      </c>
      <c r="F285">
        <v>9.5</v>
      </c>
      <c r="G285" s="367">
        <v>330</v>
      </c>
      <c r="H285" s="6" t="s">
        <v>650</v>
      </c>
      <c r="I285" s="6" t="s">
        <v>391</v>
      </c>
    </row>
    <row r="286" spans="1:10" ht="43.5" hidden="1" x14ac:dyDescent="0.35">
      <c r="A286">
        <v>325</v>
      </c>
      <c r="B286" s="5">
        <v>46346</v>
      </c>
      <c r="C286" s="332" t="s">
        <v>648</v>
      </c>
      <c r="D286">
        <v>3</v>
      </c>
      <c r="F286">
        <v>11.8</v>
      </c>
      <c r="G286" s="367">
        <v>412</v>
      </c>
      <c r="H286" s="6" t="s">
        <v>651</v>
      </c>
      <c r="I286" t="s">
        <v>652</v>
      </c>
    </row>
    <row r="287" spans="1:10" ht="58" hidden="1" x14ac:dyDescent="0.35">
      <c r="A287" s="100">
        <v>321</v>
      </c>
      <c r="B287" s="83">
        <v>46347</v>
      </c>
      <c r="C287" s="103" t="s">
        <v>653</v>
      </c>
      <c r="D287" s="65">
        <v>1</v>
      </c>
      <c r="E287" s="65"/>
      <c r="F287" s="66">
        <f>G287/35</f>
        <v>3.0714285714285716</v>
      </c>
      <c r="G287" s="111">
        <v>107.5</v>
      </c>
      <c r="H287" s="24" t="s">
        <v>654</v>
      </c>
      <c r="I287" s="24" t="s">
        <v>655</v>
      </c>
    </row>
    <row r="288" spans="1:10" ht="58" hidden="1" x14ac:dyDescent="0.35">
      <c r="A288" s="100">
        <v>321</v>
      </c>
      <c r="B288" s="83">
        <v>46347</v>
      </c>
      <c r="C288" s="103" t="s">
        <v>653</v>
      </c>
      <c r="D288" s="65">
        <v>2</v>
      </c>
      <c r="E288" s="65"/>
      <c r="F288" s="66">
        <v>9.1999999999999993</v>
      </c>
      <c r="G288" s="111">
        <v>322</v>
      </c>
      <c r="H288" s="24" t="s">
        <v>656</v>
      </c>
      <c r="I288" s="24" t="s">
        <v>517</v>
      </c>
    </row>
    <row r="289" spans="1:10" ht="29.15" hidden="1" x14ac:dyDescent="0.35">
      <c r="A289" s="100"/>
      <c r="B289" s="83">
        <v>46347</v>
      </c>
      <c r="C289" s="103" t="s">
        <v>653</v>
      </c>
      <c r="D289" s="65">
        <v>3</v>
      </c>
      <c r="E289" s="65"/>
      <c r="F289" s="66">
        <v>11.5</v>
      </c>
      <c r="G289" s="111">
        <v>404</v>
      </c>
      <c r="H289" s="24" t="s">
        <v>657</v>
      </c>
      <c r="I289" s="24" t="s">
        <v>658</v>
      </c>
    </row>
    <row r="290" spans="1:10" s="224" customFormat="1" ht="62.25" hidden="1" customHeight="1" x14ac:dyDescent="0.35">
      <c r="A290" s="224">
        <v>200</v>
      </c>
      <c r="B290" s="225">
        <v>31486</v>
      </c>
      <c r="C290" s="333" t="s">
        <v>659</v>
      </c>
      <c r="D290" s="224">
        <v>1</v>
      </c>
      <c r="F290" s="227">
        <f>G290/35</f>
        <v>3.6457142857142855</v>
      </c>
      <c r="G290" s="367">
        <v>127.6</v>
      </c>
      <c r="H290" s="8" t="s">
        <v>660</v>
      </c>
      <c r="I290" s="69" t="s">
        <v>661</v>
      </c>
      <c r="J290" s="226"/>
    </row>
    <row r="291" spans="1:10" s="224" customFormat="1" ht="61.5" hidden="1" customHeight="1" x14ac:dyDescent="0.35">
      <c r="A291" s="224">
        <v>200</v>
      </c>
      <c r="B291" s="225">
        <v>31486</v>
      </c>
      <c r="C291" s="333" t="s">
        <v>659</v>
      </c>
      <c r="D291" s="224">
        <v>2</v>
      </c>
      <c r="F291" s="227">
        <f t="shared" ref="F291:F292" si="7">G291/35</f>
        <v>14.645714285714286</v>
      </c>
      <c r="G291" s="367">
        <f>G290+385</f>
        <v>512.6</v>
      </c>
      <c r="H291" s="69" t="s">
        <v>662</v>
      </c>
      <c r="I291" s="69" t="s">
        <v>663</v>
      </c>
      <c r="J291" s="226"/>
    </row>
    <row r="292" spans="1:10" s="224" customFormat="1" ht="129.75" hidden="1" customHeight="1" x14ac:dyDescent="0.35">
      <c r="A292" s="224">
        <v>200</v>
      </c>
      <c r="B292" s="225">
        <v>31486</v>
      </c>
      <c r="C292" s="333" t="s">
        <v>659</v>
      </c>
      <c r="D292" s="224">
        <v>3</v>
      </c>
      <c r="F292" s="227">
        <f t="shared" si="7"/>
        <v>32.128571428571426</v>
      </c>
      <c r="G292" s="367">
        <f>G291+611.9</f>
        <v>1124.5</v>
      </c>
      <c r="H292" s="69" t="s">
        <v>664</v>
      </c>
      <c r="I292" s="69" t="s">
        <v>665</v>
      </c>
      <c r="J292" s="226"/>
    </row>
    <row r="293" spans="1:10" s="224" customFormat="1" hidden="1" x14ac:dyDescent="0.35">
      <c r="A293" s="224">
        <v>200</v>
      </c>
      <c r="B293" s="225">
        <v>31486</v>
      </c>
      <c r="C293" s="333" t="s">
        <v>659</v>
      </c>
      <c r="D293" s="224">
        <v>4</v>
      </c>
      <c r="G293" s="367"/>
      <c r="I293" s="224" t="s">
        <v>666</v>
      </c>
      <c r="J293" s="226"/>
    </row>
    <row r="294" spans="1:10" s="224" customFormat="1" ht="72.650000000000006" hidden="1" x14ac:dyDescent="0.35">
      <c r="A294">
        <v>344</v>
      </c>
      <c r="B294" s="27">
        <v>42866</v>
      </c>
      <c r="C294" s="314" t="s">
        <v>667</v>
      </c>
      <c r="D294" s="88">
        <v>1</v>
      </c>
      <c r="E294" s="88"/>
      <c r="F294" s="231">
        <f t="shared" ref="F294:F308" si="8">G294/35</f>
        <v>0.5714285714285714</v>
      </c>
      <c r="G294" s="355">
        <v>20</v>
      </c>
      <c r="H294" s="24" t="s">
        <v>668</v>
      </c>
      <c r="I294" s="88" t="s">
        <v>669</v>
      </c>
      <c r="J294" s="226"/>
    </row>
    <row r="295" spans="1:10" s="224" customFormat="1" ht="68.150000000000006" hidden="1" x14ac:dyDescent="0.5">
      <c r="A295">
        <v>344</v>
      </c>
      <c r="B295" s="27">
        <v>42866</v>
      </c>
      <c r="C295" s="314" t="s">
        <v>667</v>
      </c>
      <c r="D295" s="88">
        <v>2</v>
      </c>
      <c r="E295" s="88"/>
      <c r="F295" s="89">
        <f t="shared" si="8"/>
        <v>8.4657142857142862</v>
      </c>
      <c r="G295" s="355">
        <f>G294+276.3</f>
        <v>296.3</v>
      </c>
      <c r="H295" s="232" t="s">
        <v>670</v>
      </c>
      <c r="I295" s="88" t="s">
        <v>671</v>
      </c>
      <c r="J295" s="226"/>
    </row>
    <row r="296" spans="1:10" ht="72.650000000000006" hidden="1" x14ac:dyDescent="0.35">
      <c r="A296">
        <v>344</v>
      </c>
      <c r="B296" s="27">
        <v>42866</v>
      </c>
      <c r="C296" s="314" t="s">
        <v>667</v>
      </c>
      <c r="D296" s="88">
        <v>3</v>
      </c>
      <c r="E296" s="88"/>
      <c r="F296" s="89">
        <f t="shared" si="8"/>
        <v>15.537142857142856</v>
      </c>
      <c r="G296" s="355">
        <f>G295+247.5</f>
        <v>543.79999999999995</v>
      </c>
      <c r="H296" s="24" t="s">
        <v>672</v>
      </c>
      <c r="I296" s="88" t="s">
        <v>673</v>
      </c>
    </row>
    <row r="297" spans="1:10" ht="43.5" hidden="1" x14ac:dyDescent="0.35">
      <c r="A297">
        <v>341</v>
      </c>
      <c r="B297" s="27">
        <v>12587</v>
      </c>
      <c r="C297" s="314" t="s">
        <v>674</v>
      </c>
      <c r="D297" s="88">
        <v>1</v>
      </c>
      <c r="E297" s="88"/>
      <c r="F297" s="89">
        <f t="shared" si="8"/>
        <v>0.42857142857142855</v>
      </c>
      <c r="G297" s="355">
        <v>15</v>
      </c>
      <c r="H297" s="24" t="s">
        <v>675</v>
      </c>
      <c r="I297" s="88" t="s">
        <v>669</v>
      </c>
    </row>
    <row r="298" spans="1:10" ht="58" hidden="1" x14ac:dyDescent="0.35">
      <c r="A298">
        <v>341</v>
      </c>
      <c r="B298" s="27">
        <v>12587</v>
      </c>
      <c r="C298" s="314" t="s">
        <v>674</v>
      </c>
      <c r="D298" s="88">
        <v>2</v>
      </c>
      <c r="E298" s="88"/>
      <c r="F298" s="89">
        <f t="shared" si="8"/>
        <v>4.394285714285715</v>
      </c>
      <c r="G298" s="355">
        <f>G297+138.8</f>
        <v>153.80000000000001</v>
      </c>
      <c r="H298" s="24" t="s">
        <v>676</v>
      </c>
      <c r="I298" s="88" t="s">
        <v>671</v>
      </c>
    </row>
    <row r="299" spans="1:10" ht="43.5" hidden="1" x14ac:dyDescent="0.35">
      <c r="A299">
        <v>341</v>
      </c>
      <c r="B299" s="27">
        <v>12587</v>
      </c>
      <c r="C299" s="314" t="s">
        <v>674</v>
      </c>
      <c r="D299" s="88">
        <v>3</v>
      </c>
      <c r="E299" s="88"/>
      <c r="F299" s="89">
        <f t="shared" si="8"/>
        <v>10.768571428571429</v>
      </c>
      <c r="G299" s="355">
        <f>G298+223.1</f>
        <v>376.9</v>
      </c>
      <c r="H299" s="24" t="s">
        <v>677</v>
      </c>
      <c r="I299" s="88" t="s">
        <v>678</v>
      </c>
    </row>
    <row r="300" spans="1:10" ht="43.5" hidden="1" x14ac:dyDescent="0.35">
      <c r="A300" t="s">
        <v>679</v>
      </c>
      <c r="B300" s="27" t="s">
        <v>680</v>
      </c>
      <c r="C300" s="314" t="s">
        <v>681</v>
      </c>
      <c r="D300" s="88">
        <v>1</v>
      </c>
      <c r="E300" s="88"/>
      <c r="F300" s="89">
        <f t="shared" si="8"/>
        <v>0.25714285714285712</v>
      </c>
      <c r="G300" s="355">
        <v>9</v>
      </c>
      <c r="H300" s="24" t="s">
        <v>682</v>
      </c>
      <c r="I300" s="88" t="s">
        <v>669</v>
      </c>
    </row>
    <row r="301" spans="1:10" ht="72.650000000000006" hidden="1" x14ac:dyDescent="0.35">
      <c r="A301" t="s">
        <v>679</v>
      </c>
      <c r="B301" s="27" t="s">
        <v>680</v>
      </c>
      <c r="C301" s="314" t="s">
        <v>681</v>
      </c>
      <c r="D301" s="88">
        <v>2</v>
      </c>
      <c r="E301" s="88"/>
      <c r="F301" s="89">
        <f t="shared" si="8"/>
        <v>4.5342857142857138</v>
      </c>
      <c r="G301" s="355">
        <f>G300+149.7</f>
        <v>158.69999999999999</v>
      </c>
      <c r="H301" s="24" t="s">
        <v>683</v>
      </c>
      <c r="I301" s="88" t="s">
        <v>671</v>
      </c>
    </row>
    <row r="302" spans="1:10" ht="58" hidden="1" x14ac:dyDescent="0.35">
      <c r="A302" t="s">
        <v>679</v>
      </c>
      <c r="B302" s="27" t="s">
        <v>680</v>
      </c>
      <c r="C302" s="314" t="s">
        <v>681</v>
      </c>
      <c r="D302" s="88">
        <v>3</v>
      </c>
      <c r="E302" s="88"/>
      <c r="F302" s="89">
        <f t="shared" si="8"/>
        <v>6.128571428571429</v>
      </c>
      <c r="G302" s="355">
        <f>G301+55.8</f>
        <v>214.5</v>
      </c>
      <c r="H302" s="24" t="s">
        <v>684</v>
      </c>
      <c r="I302" s="88" t="s">
        <v>678</v>
      </c>
    </row>
    <row r="303" spans="1:10" ht="58" hidden="1" x14ac:dyDescent="0.35">
      <c r="A303" s="65">
        <v>200</v>
      </c>
      <c r="B303" s="233">
        <v>31454</v>
      </c>
      <c r="C303" s="234" t="s">
        <v>685</v>
      </c>
      <c r="D303" s="76">
        <v>1</v>
      </c>
      <c r="E303" s="76"/>
      <c r="F303" s="89">
        <f t="shared" si="8"/>
        <v>4.66</v>
      </c>
      <c r="G303" s="355">
        <v>163.1</v>
      </c>
      <c r="H303" s="235" t="s">
        <v>686</v>
      </c>
      <c r="I303" s="76" t="s">
        <v>687</v>
      </c>
    </row>
    <row r="304" spans="1:10" ht="72.650000000000006" hidden="1" x14ac:dyDescent="0.35">
      <c r="A304" s="65">
        <v>200</v>
      </c>
      <c r="B304" s="233">
        <v>31454</v>
      </c>
      <c r="C304" s="234" t="s">
        <v>685</v>
      </c>
      <c r="D304" s="76">
        <v>2</v>
      </c>
      <c r="E304" s="76"/>
      <c r="F304" s="89">
        <f t="shared" si="8"/>
        <v>8.911428571428571</v>
      </c>
      <c r="G304" s="355">
        <f>G303+148.8</f>
        <v>311.89999999999998</v>
      </c>
      <c r="H304" s="235" t="s">
        <v>688</v>
      </c>
      <c r="I304" s="76" t="s">
        <v>678</v>
      </c>
    </row>
    <row r="305" spans="1:9" ht="58" hidden="1" x14ac:dyDescent="0.35">
      <c r="A305" s="65">
        <v>200</v>
      </c>
      <c r="B305" s="233">
        <v>31454</v>
      </c>
      <c r="C305" s="234" t="s">
        <v>685</v>
      </c>
      <c r="D305" s="76">
        <v>3</v>
      </c>
      <c r="E305" s="76"/>
      <c r="F305" s="89">
        <f t="shared" si="8"/>
        <v>14.74</v>
      </c>
      <c r="G305" s="355">
        <f>204+G304</f>
        <v>515.9</v>
      </c>
      <c r="H305" s="235" t="s">
        <v>689</v>
      </c>
      <c r="I305" s="76" t="s">
        <v>690</v>
      </c>
    </row>
    <row r="306" spans="1:9" ht="72.650000000000006" hidden="1" x14ac:dyDescent="0.35">
      <c r="A306" s="65">
        <v>200</v>
      </c>
      <c r="B306" s="233">
        <v>31459</v>
      </c>
      <c r="C306" s="234" t="s">
        <v>691</v>
      </c>
      <c r="D306" s="76">
        <v>1</v>
      </c>
      <c r="E306" s="76"/>
      <c r="F306" s="89">
        <f t="shared" si="8"/>
        <v>1.5285714285714285</v>
      </c>
      <c r="G306" s="355">
        <v>53.5</v>
      </c>
      <c r="H306" s="235" t="s">
        <v>692</v>
      </c>
      <c r="I306" s="76" t="s">
        <v>693</v>
      </c>
    </row>
    <row r="307" spans="1:9" ht="58" hidden="1" x14ac:dyDescent="0.35">
      <c r="A307" s="65">
        <v>200</v>
      </c>
      <c r="B307" s="233">
        <v>31459</v>
      </c>
      <c r="C307" s="234" t="s">
        <v>691</v>
      </c>
      <c r="D307" s="76">
        <v>2</v>
      </c>
      <c r="E307" s="76"/>
      <c r="F307" s="89">
        <f t="shared" si="8"/>
        <v>6.1885714285714286</v>
      </c>
      <c r="G307" s="355">
        <f>163.1+G306</f>
        <v>216.6</v>
      </c>
      <c r="H307" s="235" t="s">
        <v>694</v>
      </c>
      <c r="I307" s="76" t="s">
        <v>687</v>
      </c>
    </row>
    <row r="308" spans="1:9" ht="43.5" hidden="1" x14ac:dyDescent="0.35">
      <c r="A308">
        <v>200</v>
      </c>
      <c r="B308" s="28">
        <v>31459</v>
      </c>
      <c r="C308" s="314" t="s">
        <v>691</v>
      </c>
      <c r="D308" s="88">
        <v>3</v>
      </c>
      <c r="E308" s="88"/>
      <c r="F308" s="89">
        <f t="shared" si="8"/>
        <v>16.665714285714284</v>
      </c>
      <c r="G308" s="355">
        <f>G307+366.7</f>
        <v>583.29999999999995</v>
      </c>
      <c r="H308" s="24" t="s">
        <v>695</v>
      </c>
      <c r="I308" s="88" t="s">
        <v>696</v>
      </c>
    </row>
    <row r="309" spans="1:9" hidden="1" x14ac:dyDescent="0.35">
      <c r="A309">
        <v>314</v>
      </c>
      <c r="B309">
        <v>32663</v>
      </c>
      <c r="C309" s="310" t="s">
        <v>697</v>
      </c>
      <c r="D309">
        <v>1</v>
      </c>
      <c r="E309">
        <v>0.5</v>
      </c>
      <c r="F309" s="25">
        <f t="shared" ref="F309:F322" si="9">G309/35</f>
        <v>2.02</v>
      </c>
      <c r="G309" s="367">
        <v>70.7</v>
      </c>
      <c r="H309" s="241" t="s">
        <v>698</v>
      </c>
      <c r="I309" t="s">
        <v>699</v>
      </c>
    </row>
    <row r="310" spans="1:9" ht="39.65" hidden="1" x14ac:dyDescent="0.35">
      <c r="A310">
        <v>314</v>
      </c>
      <c r="B310">
        <v>32663</v>
      </c>
      <c r="C310" s="310" t="s">
        <v>697</v>
      </c>
      <c r="D310">
        <v>2</v>
      </c>
      <c r="E310">
        <v>2</v>
      </c>
      <c r="F310" s="25">
        <f t="shared" si="9"/>
        <v>11.82</v>
      </c>
      <c r="G310" s="367">
        <f>G309+343</f>
        <v>413.7</v>
      </c>
      <c r="H310" s="241" t="s">
        <v>700</v>
      </c>
      <c r="I310" t="s">
        <v>701</v>
      </c>
    </row>
    <row r="311" spans="1:9" ht="29.15" hidden="1" x14ac:dyDescent="0.35">
      <c r="A311">
        <v>314</v>
      </c>
      <c r="B311">
        <v>32663</v>
      </c>
      <c r="C311" s="310" t="s">
        <v>697</v>
      </c>
      <c r="D311">
        <v>3</v>
      </c>
      <c r="E311">
        <v>4.5</v>
      </c>
      <c r="F311" s="25">
        <f t="shared" si="9"/>
        <v>23.134285714285717</v>
      </c>
      <c r="G311" s="367">
        <f>G310+396</f>
        <v>809.7</v>
      </c>
      <c r="H311" s="241" t="s">
        <v>702</v>
      </c>
      <c r="I311" s="6" t="s">
        <v>703</v>
      </c>
    </row>
    <row r="312" spans="1:9" hidden="1" x14ac:dyDescent="0.35">
      <c r="A312">
        <v>128</v>
      </c>
      <c r="B312">
        <v>13366</v>
      </c>
      <c r="C312" s="332" t="s">
        <v>704</v>
      </c>
      <c r="D312">
        <v>1</v>
      </c>
      <c r="E312">
        <v>0.5</v>
      </c>
      <c r="F312" s="25">
        <f t="shared" si="9"/>
        <v>2.5971428571428574</v>
      </c>
      <c r="G312" s="367">
        <v>90.9</v>
      </c>
      <c r="H312" s="241" t="s">
        <v>705</v>
      </c>
      <c r="I312" t="s">
        <v>699</v>
      </c>
    </row>
    <row r="313" spans="1:9" ht="39.65" hidden="1" x14ac:dyDescent="0.35">
      <c r="A313">
        <v>128</v>
      </c>
      <c r="B313">
        <v>13366</v>
      </c>
      <c r="C313" s="332" t="s">
        <v>704</v>
      </c>
      <c r="D313">
        <v>2</v>
      </c>
      <c r="E313">
        <v>2</v>
      </c>
      <c r="F313" s="25">
        <f t="shared" si="9"/>
        <v>8.5971428571428561</v>
      </c>
      <c r="G313" s="367">
        <v>300.89999999999998</v>
      </c>
      <c r="H313" s="241" t="s">
        <v>706</v>
      </c>
      <c r="I313" t="s">
        <v>701</v>
      </c>
    </row>
    <row r="314" spans="1:9" ht="26.5" hidden="1" x14ac:dyDescent="0.35">
      <c r="A314">
        <v>128</v>
      </c>
      <c r="B314">
        <v>13366</v>
      </c>
      <c r="C314" s="332" t="s">
        <v>704</v>
      </c>
      <c r="D314">
        <v>3</v>
      </c>
      <c r="E314">
        <v>4.5</v>
      </c>
      <c r="F314" s="25">
        <f t="shared" si="9"/>
        <v>18.54</v>
      </c>
      <c r="G314" s="367">
        <f>G313+348</f>
        <v>648.9</v>
      </c>
      <c r="H314" s="241" t="s">
        <v>707</v>
      </c>
      <c r="I314" t="s">
        <v>708</v>
      </c>
    </row>
    <row r="315" spans="1:9" hidden="1" x14ac:dyDescent="0.35">
      <c r="A315">
        <v>314</v>
      </c>
      <c r="B315">
        <v>32652</v>
      </c>
      <c r="C315" s="332" t="s">
        <v>709</v>
      </c>
      <c r="D315">
        <v>1</v>
      </c>
      <c r="F315" s="25">
        <f t="shared" si="9"/>
        <v>1.4428571428571428</v>
      </c>
      <c r="G315" s="367">
        <v>50.5</v>
      </c>
      <c r="H315" s="241" t="s">
        <v>710</v>
      </c>
      <c r="I315" t="s">
        <v>699</v>
      </c>
    </row>
    <row r="316" spans="1:9" ht="26.5" hidden="1" x14ac:dyDescent="0.35">
      <c r="A316">
        <v>314</v>
      </c>
      <c r="B316">
        <v>32652</v>
      </c>
      <c r="C316" s="332" t="s">
        <v>709</v>
      </c>
      <c r="D316">
        <v>2</v>
      </c>
      <c r="E316">
        <v>2</v>
      </c>
      <c r="F316" s="25">
        <f t="shared" si="9"/>
        <v>6.3428571428571425</v>
      </c>
      <c r="G316" s="367">
        <f>G315+171.5</f>
        <v>222</v>
      </c>
      <c r="H316" s="241" t="s">
        <v>711</v>
      </c>
      <c r="I316" s="11" t="s">
        <v>436</v>
      </c>
    </row>
    <row r="317" spans="1:9" ht="39.65" hidden="1" x14ac:dyDescent="0.35">
      <c r="A317">
        <v>314</v>
      </c>
      <c r="B317">
        <v>32652</v>
      </c>
      <c r="C317" s="332" t="s">
        <v>709</v>
      </c>
      <c r="D317">
        <v>3</v>
      </c>
      <c r="E317">
        <v>4.5</v>
      </c>
      <c r="F317" s="25">
        <f t="shared" si="9"/>
        <v>17.657142857142858</v>
      </c>
      <c r="G317" s="367">
        <f>G316+396</f>
        <v>618</v>
      </c>
      <c r="H317" s="241" t="s">
        <v>712</v>
      </c>
      <c r="I317" s="6" t="s">
        <v>703</v>
      </c>
    </row>
    <row r="318" spans="1:9" ht="58" hidden="1" x14ac:dyDescent="0.35">
      <c r="A318" t="s">
        <v>713</v>
      </c>
      <c r="B318">
        <v>32688</v>
      </c>
      <c r="C318" s="332" t="s">
        <v>714</v>
      </c>
      <c r="D318">
        <v>1</v>
      </c>
      <c r="F318" s="25">
        <f t="shared" si="9"/>
        <v>2.5971428571428574</v>
      </c>
      <c r="G318" s="367">
        <v>90.9</v>
      </c>
      <c r="H318" s="6" t="s">
        <v>715</v>
      </c>
      <c r="I318" t="s">
        <v>699</v>
      </c>
    </row>
    <row r="319" spans="1:9" ht="39.65" hidden="1" x14ac:dyDescent="0.35">
      <c r="A319" t="s">
        <v>713</v>
      </c>
      <c r="B319">
        <v>32688</v>
      </c>
      <c r="C319" s="332" t="s">
        <v>714</v>
      </c>
      <c r="D319">
        <v>2</v>
      </c>
      <c r="F319" s="25">
        <f t="shared" si="9"/>
        <v>10.597142857142856</v>
      </c>
      <c r="G319" s="367">
        <f>G318+280</f>
        <v>370.9</v>
      </c>
      <c r="H319" s="241" t="s">
        <v>716</v>
      </c>
      <c r="I319" s="6" t="s">
        <v>717</v>
      </c>
    </row>
    <row r="320" spans="1:9" ht="52.5" hidden="1" x14ac:dyDescent="0.35">
      <c r="A320" t="s">
        <v>713</v>
      </c>
      <c r="B320">
        <v>32688</v>
      </c>
      <c r="C320" s="332" t="s">
        <v>714</v>
      </c>
      <c r="D320">
        <v>3</v>
      </c>
      <c r="F320" s="25">
        <f t="shared" si="9"/>
        <v>17.454285714285714</v>
      </c>
      <c r="G320" s="367">
        <f>G319+240</f>
        <v>610.9</v>
      </c>
      <c r="H320" s="241" t="s">
        <v>718</v>
      </c>
      <c r="I320" s="6" t="s">
        <v>719</v>
      </c>
    </row>
    <row r="321" spans="1:9" ht="52.5" hidden="1" x14ac:dyDescent="0.35">
      <c r="A321">
        <v>324</v>
      </c>
      <c r="B321" s="5">
        <v>35071</v>
      </c>
      <c r="C321" s="332" t="s">
        <v>720</v>
      </c>
      <c r="D321">
        <v>1</v>
      </c>
      <c r="F321" s="25">
        <f t="shared" si="9"/>
        <v>2.4428571428571431</v>
      </c>
      <c r="G321" s="367">
        <v>85.5</v>
      </c>
      <c r="H321" s="241" t="s">
        <v>721</v>
      </c>
      <c r="I321" t="s">
        <v>574</v>
      </c>
    </row>
    <row r="322" spans="1:9" ht="65.5" hidden="1" x14ac:dyDescent="0.35">
      <c r="A322">
        <v>324</v>
      </c>
      <c r="B322" s="5">
        <v>35071</v>
      </c>
      <c r="C322" s="332" t="s">
        <v>720</v>
      </c>
      <c r="D322">
        <v>2</v>
      </c>
      <c r="F322" s="25">
        <f t="shared" si="9"/>
        <v>6.5914285714285707</v>
      </c>
      <c r="G322" s="387">
        <v>230.7</v>
      </c>
      <c r="H322" s="241" t="s">
        <v>722</v>
      </c>
      <c r="I322" t="s">
        <v>723</v>
      </c>
    </row>
    <row r="323" spans="1:9" ht="52.5" hidden="1" x14ac:dyDescent="0.35">
      <c r="A323">
        <v>313</v>
      </c>
      <c r="B323" s="5">
        <v>32611</v>
      </c>
      <c r="C323" s="332" t="s">
        <v>724</v>
      </c>
      <c r="D323">
        <v>1</v>
      </c>
      <c r="F323">
        <v>1.7</v>
      </c>
      <c r="G323" s="367">
        <v>59.8</v>
      </c>
      <c r="H323" s="241" t="s">
        <v>725</v>
      </c>
      <c r="I323" t="s">
        <v>506</v>
      </c>
    </row>
    <row r="324" spans="1:9" ht="52.5" hidden="1" x14ac:dyDescent="0.35">
      <c r="A324">
        <v>313</v>
      </c>
      <c r="B324" s="5">
        <v>32611</v>
      </c>
      <c r="C324" s="332" t="s">
        <v>724</v>
      </c>
      <c r="D324">
        <v>2</v>
      </c>
      <c r="F324" s="25">
        <f>G324/35</f>
        <v>5.4971428571428564</v>
      </c>
      <c r="G324" s="367">
        <f>G323+132.6</f>
        <v>192.39999999999998</v>
      </c>
      <c r="H324" s="241" t="s">
        <v>726</v>
      </c>
      <c r="I324" t="s">
        <v>508</v>
      </c>
    </row>
    <row r="325" spans="1:9" ht="57" hidden="1" customHeight="1" x14ac:dyDescent="0.35">
      <c r="A325">
        <v>313</v>
      </c>
      <c r="B325" s="5">
        <v>32611</v>
      </c>
      <c r="C325" s="332" t="s">
        <v>724</v>
      </c>
      <c r="D325">
        <v>3</v>
      </c>
      <c r="F325" s="25">
        <f>G325/35</f>
        <v>12.788571428571428</v>
      </c>
      <c r="G325" s="367">
        <f>G324+255.2</f>
        <v>447.59999999999997</v>
      </c>
      <c r="H325" s="241" t="s">
        <v>727</v>
      </c>
      <c r="I325" s="6" t="s">
        <v>728</v>
      </c>
    </row>
    <row r="326" spans="1:9" ht="42" hidden="1" customHeight="1" x14ac:dyDescent="0.35">
      <c r="A326">
        <v>223</v>
      </c>
      <c r="B326" s="5">
        <v>22812</v>
      </c>
      <c r="C326" s="332" t="s">
        <v>729</v>
      </c>
      <c r="D326">
        <v>1</v>
      </c>
      <c r="F326">
        <f>G326/35</f>
        <v>2.04</v>
      </c>
      <c r="G326" s="367">
        <v>71.400000000000006</v>
      </c>
      <c r="H326" s="241" t="s">
        <v>730</v>
      </c>
      <c r="I326" t="s">
        <v>731</v>
      </c>
    </row>
    <row r="327" spans="1:9" ht="43.5" hidden="1" x14ac:dyDescent="0.35">
      <c r="A327">
        <v>223</v>
      </c>
      <c r="B327" s="5">
        <v>22812</v>
      </c>
      <c r="C327" s="332" t="s">
        <v>729</v>
      </c>
      <c r="D327">
        <v>2</v>
      </c>
      <c r="F327" s="25">
        <f>G327/35</f>
        <v>8.6971428571428557</v>
      </c>
      <c r="G327" s="367">
        <f>G326+233</f>
        <v>304.39999999999998</v>
      </c>
      <c r="H327" s="6" t="s">
        <v>732</v>
      </c>
      <c r="I327" t="s">
        <v>733</v>
      </c>
    </row>
    <row r="328" spans="1:9" ht="43.5" hidden="1" x14ac:dyDescent="0.35">
      <c r="A328">
        <v>223</v>
      </c>
      <c r="B328" s="5">
        <v>22812</v>
      </c>
      <c r="C328" s="332" t="s">
        <v>729</v>
      </c>
      <c r="D328">
        <v>3</v>
      </c>
      <c r="E328" s="247">
        <f>F328/4</f>
        <v>2.6957142857142857</v>
      </c>
      <c r="F328" s="25">
        <f>G328/35</f>
        <v>10.782857142857143</v>
      </c>
      <c r="G328" s="367">
        <f>G327+73</f>
        <v>377.4</v>
      </c>
      <c r="H328" s="6" t="s">
        <v>734</v>
      </c>
      <c r="I328" t="s">
        <v>735</v>
      </c>
    </row>
    <row r="329" spans="1:9" hidden="1" x14ac:dyDescent="0.35">
      <c r="A329">
        <v>334</v>
      </c>
      <c r="B329" s="88">
        <v>42686</v>
      </c>
      <c r="C329" s="76" t="s">
        <v>736</v>
      </c>
      <c r="D329">
        <v>1</v>
      </c>
      <c r="E329" s="247">
        <f t="shared" ref="E329:E336" si="10">F329/4</f>
        <v>0.46642857142857141</v>
      </c>
      <c r="F329" s="25">
        <f t="shared" ref="F329:F337" si="11">G329/35</f>
        <v>1.8657142857142857</v>
      </c>
      <c r="G329" s="355">
        <v>65.3</v>
      </c>
    </row>
    <row r="330" spans="1:9" hidden="1" x14ac:dyDescent="0.35">
      <c r="A330">
        <v>334</v>
      </c>
      <c r="B330" s="88">
        <v>42686</v>
      </c>
      <c r="C330" s="76" t="s">
        <v>736</v>
      </c>
      <c r="D330">
        <v>2</v>
      </c>
      <c r="E330" s="247">
        <f t="shared" si="10"/>
        <v>1.5071428571428571</v>
      </c>
      <c r="F330" s="25">
        <f t="shared" si="11"/>
        <v>6.0285714285714285</v>
      </c>
      <c r="G330" s="355">
        <v>211</v>
      </c>
    </row>
    <row r="331" spans="1:9" hidden="1" x14ac:dyDescent="0.35">
      <c r="A331">
        <v>210</v>
      </c>
      <c r="B331" s="83">
        <v>21054</v>
      </c>
      <c r="C331" s="76" t="s">
        <v>737</v>
      </c>
      <c r="D331">
        <v>1</v>
      </c>
      <c r="E331" s="247">
        <f t="shared" si="10"/>
        <v>0.47357142857142853</v>
      </c>
      <c r="F331" s="25">
        <f t="shared" si="11"/>
        <v>1.8942857142857141</v>
      </c>
      <c r="G331" s="355">
        <v>66.3</v>
      </c>
    </row>
    <row r="332" spans="1:9" hidden="1" x14ac:dyDescent="0.35">
      <c r="A332">
        <v>210</v>
      </c>
      <c r="B332" s="83">
        <v>21054</v>
      </c>
      <c r="C332" s="76" t="s">
        <v>737</v>
      </c>
      <c r="D332">
        <v>2</v>
      </c>
      <c r="E332" s="247">
        <f t="shared" si="10"/>
        <v>1.5414285714285716</v>
      </c>
      <c r="F332" s="25">
        <f t="shared" si="11"/>
        <v>6.1657142857142864</v>
      </c>
      <c r="G332" s="355">
        <v>215.8</v>
      </c>
    </row>
    <row r="333" spans="1:9" hidden="1" x14ac:dyDescent="0.35">
      <c r="A333">
        <v>210</v>
      </c>
      <c r="B333" s="83">
        <v>21054</v>
      </c>
      <c r="C333" s="76" t="s">
        <v>737</v>
      </c>
      <c r="D333">
        <v>3</v>
      </c>
      <c r="E333" s="247">
        <f t="shared" si="10"/>
        <v>6.1964285714285712</v>
      </c>
      <c r="F333" s="25">
        <f t="shared" si="11"/>
        <v>24.785714285714285</v>
      </c>
      <c r="G333" s="355">
        <v>867.5</v>
      </c>
    </row>
    <row r="334" spans="1:9" hidden="1" x14ac:dyDescent="0.35">
      <c r="A334">
        <v>312</v>
      </c>
      <c r="B334" s="83">
        <v>34584</v>
      </c>
      <c r="C334" s="76" t="s">
        <v>738</v>
      </c>
      <c r="D334">
        <v>1</v>
      </c>
      <c r="E334" s="247">
        <f t="shared" si="10"/>
        <v>0.74214285714285722</v>
      </c>
      <c r="F334" s="25">
        <f t="shared" si="11"/>
        <v>2.9685714285714289</v>
      </c>
      <c r="G334" s="355">
        <v>103.9</v>
      </c>
    </row>
    <row r="335" spans="1:9" hidden="1" x14ac:dyDescent="0.35">
      <c r="A335">
        <v>312</v>
      </c>
      <c r="B335" s="83">
        <v>34584</v>
      </c>
      <c r="C335" s="76" t="s">
        <v>738</v>
      </c>
      <c r="D335">
        <v>2</v>
      </c>
      <c r="E335" s="247">
        <f t="shared" si="10"/>
        <v>1.5457142857142858</v>
      </c>
      <c r="F335" s="25">
        <f t="shared" si="11"/>
        <v>6.1828571428571433</v>
      </c>
      <c r="G335" s="355">
        <v>216.4</v>
      </c>
    </row>
    <row r="336" spans="1:9" hidden="1" x14ac:dyDescent="0.35">
      <c r="A336">
        <v>312</v>
      </c>
      <c r="B336" s="83">
        <v>34584</v>
      </c>
      <c r="C336" s="76" t="s">
        <v>738</v>
      </c>
      <c r="D336">
        <v>3</v>
      </c>
      <c r="E336" s="247">
        <f t="shared" si="10"/>
        <v>2.76</v>
      </c>
      <c r="F336" s="25">
        <f t="shared" si="11"/>
        <v>11.04</v>
      </c>
      <c r="G336" s="355">
        <v>386.4</v>
      </c>
    </row>
    <row r="337" spans="1:7" hidden="1" x14ac:dyDescent="0.35">
      <c r="A337">
        <v>212</v>
      </c>
      <c r="B337" s="83">
        <v>21347</v>
      </c>
      <c r="C337" s="76" t="s">
        <v>739</v>
      </c>
      <c r="D337">
        <v>1</v>
      </c>
      <c r="F337" s="25">
        <f t="shared" si="11"/>
        <v>4.9714285714285715</v>
      </c>
      <c r="G337" s="355">
        <v>174</v>
      </c>
    </row>
    <row r="338" spans="1:7" hidden="1" x14ac:dyDescent="0.35">
      <c r="A338">
        <v>212</v>
      </c>
      <c r="B338" s="83">
        <v>21347</v>
      </c>
      <c r="C338" s="76" t="s">
        <v>739</v>
      </c>
      <c r="D338">
        <v>2</v>
      </c>
      <c r="G338" s="355">
        <v>441</v>
      </c>
    </row>
    <row r="339" spans="1:7" hidden="1" x14ac:dyDescent="0.35">
      <c r="A339">
        <v>212</v>
      </c>
      <c r="B339" s="83">
        <v>21347</v>
      </c>
      <c r="C339" s="76" t="s">
        <v>739</v>
      </c>
      <c r="D339">
        <v>3</v>
      </c>
      <c r="G339" s="355">
        <v>945.3</v>
      </c>
    </row>
    <row r="340" spans="1:7" hidden="1" x14ac:dyDescent="0.35">
      <c r="A340">
        <v>221</v>
      </c>
      <c r="B340" s="83">
        <v>21532</v>
      </c>
      <c r="C340" s="76" t="s">
        <v>740</v>
      </c>
      <c r="D340">
        <v>1</v>
      </c>
      <c r="G340" s="355">
        <v>55</v>
      </c>
    </row>
    <row r="341" spans="1:7" hidden="1" x14ac:dyDescent="0.35">
      <c r="A341">
        <v>221</v>
      </c>
      <c r="B341" s="83">
        <v>21532</v>
      </c>
      <c r="C341" s="76" t="s">
        <v>740</v>
      </c>
      <c r="D341">
        <v>2</v>
      </c>
      <c r="G341" s="355">
        <v>233.5</v>
      </c>
    </row>
    <row r="342" spans="1:7" hidden="1" x14ac:dyDescent="0.35">
      <c r="A342">
        <v>221</v>
      </c>
      <c r="B342" s="83">
        <v>21532</v>
      </c>
      <c r="C342" s="76" t="s">
        <v>740</v>
      </c>
      <c r="D342">
        <v>3</v>
      </c>
      <c r="G342" s="355">
        <v>388.83000000000004</v>
      </c>
    </row>
    <row r="343" spans="1:7" hidden="1" x14ac:dyDescent="0.35">
      <c r="A343" t="s">
        <v>741</v>
      </c>
      <c r="B343" s="83">
        <v>34254</v>
      </c>
      <c r="C343" s="76" t="s">
        <v>742</v>
      </c>
      <c r="D343">
        <v>1</v>
      </c>
      <c r="G343" s="355">
        <v>120</v>
      </c>
    </row>
    <row r="344" spans="1:7" hidden="1" x14ac:dyDescent="0.35">
      <c r="A344" t="s">
        <v>741</v>
      </c>
      <c r="B344" s="83">
        <v>34254</v>
      </c>
      <c r="C344" s="76" t="s">
        <v>742</v>
      </c>
      <c r="D344">
        <v>2</v>
      </c>
      <c r="G344" s="355">
        <v>368.1</v>
      </c>
    </row>
    <row r="345" spans="1:7" hidden="1" x14ac:dyDescent="0.35">
      <c r="A345">
        <v>212</v>
      </c>
      <c r="B345" s="83">
        <v>21368</v>
      </c>
      <c r="C345" s="76" t="s">
        <v>743</v>
      </c>
      <c r="D345">
        <v>1</v>
      </c>
      <c r="G345" s="355">
        <v>375.8</v>
      </c>
    </row>
    <row r="346" spans="1:7" hidden="1" x14ac:dyDescent="0.35">
      <c r="A346">
        <v>212</v>
      </c>
      <c r="B346" s="83">
        <v>21368</v>
      </c>
      <c r="C346" s="76" t="s">
        <v>743</v>
      </c>
      <c r="D346">
        <v>2</v>
      </c>
      <c r="G346" s="355">
        <v>642.79999999999995</v>
      </c>
    </row>
    <row r="347" spans="1:7" hidden="1" x14ac:dyDescent="0.35">
      <c r="A347">
        <v>212</v>
      </c>
      <c r="B347" s="83">
        <v>21368</v>
      </c>
      <c r="C347" s="76" t="s">
        <v>743</v>
      </c>
      <c r="D347">
        <v>3</v>
      </c>
      <c r="G347" s="355">
        <v>1147.0999999999999</v>
      </c>
    </row>
    <row r="348" spans="1:7" hidden="1" x14ac:dyDescent="0.35">
      <c r="A348">
        <v>254</v>
      </c>
      <c r="B348" s="83">
        <v>23622</v>
      </c>
      <c r="C348" s="76" t="s">
        <v>744</v>
      </c>
      <c r="D348">
        <v>1</v>
      </c>
      <c r="G348" s="355">
        <v>232.3</v>
      </c>
    </row>
    <row r="349" spans="1:7" hidden="1" x14ac:dyDescent="0.35">
      <c r="A349">
        <v>254</v>
      </c>
      <c r="B349" s="83">
        <v>23622</v>
      </c>
      <c r="C349" s="76" t="s">
        <v>744</v>
      </c>
      <c r="D349">
        <v>2</v>
      </c>
      <c r="G349" s="355">
        <v>238.3</v>
      </c>
    </row>
    <row r="350" spans="1:7" hidden="1" x14ac:dyDescent="0.35">
      <c r="A350">
        <v>254</v>
      </c>
      <c r="B350" s="83">
        <v>23622</v>
      </c>
      <c r="C350" s="76" t="s">
        <v>744</v>
      </c>
      <c r="D350">
        <v>3</v>
      </c>
      <c r="G350" s="355">
        <v>1150.3</v>
      </c>
    </row>
    <row r="351" spans="1:7" hidden="1" x14ac:dyDescent="0.35">
      <c r="A351">
        <v>118</v>
      </c>
      <c r="B351" s="83">
        <v>12061</v>
      </c>
      <c r="C351" s="76" t="s">
        <v>745</v>
      </c>
      <c r="D351">
        <v>1</v>
      </c>
      <c r="G351" s="355">
        <v>107.2</v>
      </c>
    </row>
    <row r="352" spans="1:7" ht="16" hidden="1" x14ac:dyDescent="0.45">
      <c r="A352">
        <v>334</v>
      </c>
      <c r="B352" s="87">
        <v>42759</v>
      </c>
      <c r="C352" s="76" t="s">
        <v>746</v>
      </c>
      <c r="D352">
        <v>1</v>
      </c>
      <c r="G352" s="355">
        <v>138</v>
      </c>
    </row>
    <row r="353" spans="1:9" ht="16" hidden="1" x14ac:dyDescent="0.45">
      <c r="A353">
        <v>334</v>
      </c>
      <c r="B353" s="87">
        <v>42759</v>
      </c>
      <c r="C353" s="76" t="s">
        <v>746</v>
      </c>
      <c r="D353">
        <v>2</v>
      </c>
      <c r="G353" s="355">
        <v>455.9</v>
      </c>
    </row>
    <row r="354" spans="1:9" hidden="1" x14ac:dyDescent="0.35">
      <c r="A354">
        <v>311</v>
      </c>
      <c r="B354" s="88">
        <v>31742</v>
      </c>
      <c r="C354" s="76" t="s">
        <v>747</v>
      </c>
      <c r="D354">
        <v>2</v>
      </c>
      <c r="G354" s="355">
        <v>14</v>
      </c>
    </row>
    <row r="355" spans="1:9" ht="38.5" hidden="1" customHeight="1" x14ac:dyDescent="0.35">
      <c r="A355">
        <v>232</v>
      </c>
      <c r="B355" s="334">
        <v>22334</v>
      </c>
      <c r="C355" s="335" t="s">
        <v>748</v>
      </c>
      <c r="D355">
        <v>1</v>
      </c>
      <c r="G355" s="355">
        <v>96.9</v>
      </c>
      <c r="H355" s="6" t="s">
        <v>880</v>
      </c>
      <c r="I355" t="s">
        <v>877</v>
      </c>
    </row>
    <row r="356" spans="1:9" ht="43.5" hidden="1" x14ac:dyDescent="0.35">
      <c r="A356">
        <v>232</v>
      </c>
      <c r="B356" s="334">
        <v>22334</v>
      </c>
      <c r="C356" s="335" t="s">
        <v>748</v>
      </c>
      <c r="D356">
        <v>2</v>
      </c>
      <c r="G356" s="355">
        <f>G355+76</f>
        <v>172.9</v>
      </c>
      <c r="H356" s="6" t="s">
        <v>881</v>
      </c>
      <c r="I356" t="s">
        <v>874</v>
      </c>
    </row>
    <row r="357" spans="1:9" hidden="1" x14ac:dyDescent="0.35">
      <c r="A357">
        <v>213</v>
      </c>
      <c r="B357" s="83">
        <v>21352</v>
      </c>
      <c r="C357" s="76" t="s">
        <v>749</v>
      </c>
      <c r="D357">
        <v>1</v>
      </c>
      <c r="G357" s="355">
        <v>261.5</v>
      </c>
    </row>
    <row r="358" spans="1:9" hidden="1" x14ac:dyDescent="0.35">
      <c r="A358">
        <v>213</v>
      </c>
      <c r="B358" s="83">
        <v>21352</v>
      </c>
      <c r="C358" s="76" t="s">
        <v>749</v>
      </c>
      <c r="D358">
        <v>2</v>
      </c>
      <c r="G358" s="355">
        <v>265.7</v>
      </c>
    </row>
    <row r="359" spans="1:9" hidden="1" x14ac:dyDescent="0.35">
      <c r="A359">
        <v>213</v>
      </c>
      <c r="B359" s="83">
        <v>21352</v>
      </c>
      <c r="C359" s="76" t="s">
        <v>749</v>
      </c>
      <c r="D359">
        <v>3</v>
      </c>
      <c r="G359" s="355">
        <v>423.6</v>
      </c>
    </row>
    <row r="360" spans="1:9" hidden="1" x14ac:dyDescent="0.35">
      <c r="A360">
        <v>311</v>
      </c>
      <c r="B360" s="88">
        <v>31872</v>
      </c>
      <c r="C360" s="76" t="s">
        <v>750</v>
      </c>
      <c r="D360">
        <v>1</v>
      </c>
      <c r="G360" s="355">
        <v>170.6</v>
      </c>
    </row>
    <row r="361" spans="1:9" hidden="1" x14ac:dyDescent="0.35">
      <c r="A361">
        <v>311</v>
      </c>
      <c r="B361" s="88">
        <v>31872</v>
      </c>
      <c r="C361" s="76" t="s">
        <v>750</v>
      </c>
      <c r="D361">
        <v>2</v>
      </c>
      <c r="G361" s="355">
        <f>G360+10.9</f>
        <v>181.5</v>
      </c>
    </row>
    <row r="362" spans="1:9" hidden="1" x14ac:dyDescent="0.35">
      <c r="A362">
        <v>311</v>
      </c>
      <c r="B362" s="88">
        <v>31872</v>
      </c>
      <c r="C362" s="76" t="s">
        <v>750</v>
      </c>
      <c r="D362">
        <v>3</v>
      </c>
      <c r="G362" s="355">
        <f>G361+280.7</f>
        <v>462.2</v>
      </c>
    </row>
    <row r="363" spans="1:9" hidden="1" x14ac:dyDescent="0.35">
      <c r="A363">
        <v>214</v>
      </c>
      <c r="B363" s="83">
        <v>21046</v>
      </c>
      <c r="C363" s="76" t="s">
        <v>751</v>
      </c>
      <c r="D363">
        <v>1</v>
      </c>
      <c r="G363" s="355">
        <v>203</v>
      </c>
    </row>
    <row r="364" spans="1:9" hidden="1" x14ac:dyDescent="0.35">
      <c r="A364">
        <v>214</v>
      </c>
      <c r="B364" s="83">
        <v>21046</v>
      </c>
      <c r="C364" s="76" t="s">
        <v>751</v>
      </c>
      <c r="D364">
        <v>2</v>
      </c>
      <c r="G364" s="355">
        <v>389.4</v>
      </c>
    </row>
    <row r="365" spans="1:9" hidden="1" x14ac:dyDescent="0.35">
      <c r="A365">
        <v>214</v>
      </c>
      <c r="B365" s="83">
        <v>21046</v>
      </c>
      <c r="C365" s="76" t="s">
        <v>751</v>
      </c>
      <c r="D365">
        <v>3</v>
      </c>
      <c r="G365" s="355">
        <f>G364+538.8</f>
        <v>928.19999999999993</v>
      </c>
    </row>
    <row r="366" spans="1:9" hidden="1" x14ac:dyDescent="0.35">
      <c r="A366">
        <v>211</v>
      </c>
      <c r="B366" s="83">
        <v>21053</v>
      </c>
      <c r="C366" s="76" t="s">
        <v>752</v>
      </c>
      <c r="D366">
        <v>1</v>
      </c>
      <c r="G366" s="355">
        <v>167.6</v>
      </c>
    </row>
    <row r="367" spans="1:9" hidden="1" x14ac:dyDescent="0.35">
      <c r="A367">
        <v>211</v>
      </c>
      <c r="B367" s="83">
        <v>21053</v>
      </c>
      <c r="C367" s="76" t="s">
        <v>752</v>
      </c>
      <c r="D367">
        <v>2</v>
      </c>
      <c r="G367" s="355">
        <v>373</v>
      </c>
    </row>
    <row r="368" spans="1:9" hidden="1" x14ac:dyDescent="0.35">
      <c r="A368">
        <v>211</v>
      </c>
      <c r="B368" s="83">
        <v>21053</v>
      </c>
      <c r="C368" s="76" t="s">
        <v>752</v>
      </c>
      <c r="D368">
        <v>3</v>
      </c>
      <c r="G368" s="355">
        <v>611.45000000000005</v>
      </c>
    </row>
    <row r="369" spans="1:7" hidden="1" x14ac:dyDescent="0.35">
      <c r="A369">
        <v>332</v>
      </c>
      <c r="B369" s="83">
        <v>44072</v>
      </c>
      <c r="C369" s="76" t="s">
        <v>753</v>
      </c>
      <c r="D369">
        <v>1</v>
      </c>
      <c r="G369" s="355">
        <v>164</v>
      </c>
    </row>
    <row r="370" spans="1:7" hidden="1" x14ac:dyDescent="0.35">
      <c r="A370">
        <v>332</v>
      </c>
      <c r="B370" s="83">
        <v>44072</v>
      </c>
      <c r="C370" s="76" t="s">
        <v>753</v>
      </c>
      <c r="D370">
        <v>2</v>
      </c>
      <c r="G370" s="355">
        <v>463</v>
      </c>
    </row>
    <row r="371" spans="1:7" hidden="1" x14ac:dyDescent="0.35">
      <c r="A371">
        <v>332</v>
      </c>
      <c r="B371" s="83">
        <v>44008</v>
      </c>
      <c r="C371" s="76" t="s">
        <v>754</v>
      </c>
      <c r="D371">
        <v>1</v>
      </c>
      <c r="G371" s="355">
        <v>262</v>
      </c>
    </row>
    <row r="372" spans="1:7" hidden="1" x14ac:dyDescent="0.35">
      <c r="A372">
        <v>332</v>
      </c>
      <c r="B372" s="83">
        <v>44008</v>
      </c>
      <c r="C372" s="76" t="s">
        <v>754</v>
      </c>
      <c r="D372">
        <v>2</v>
      </c>
      <c r="G372" s="355">
        <v>472.5</v>
      </c>
    </row>
    <row r="373" spans="1:7" hidden="1" x14ac:dyDescent="0.35">
      <c r="A373">
        <v>315</v>
      </c>
      <c r="B373" s="83">
        <v>33052</v>
      </c>
      <c r="C373" s="76" t="s">
        <v>755</v>
      </c>
      <c r="D373">
        <v>1</v>
      </c>
      <c r="G373" s="355">
        <v>108.2</v>
      </c>
    </row>
    <row r="374" spans="1:7" hidden="1" x14ac:dyDescent="0.35">
      <c r="A374">
        <v>315</v>
      </c>
      <c r="B374" s="83">
        <v>33052</v>
      </c>
      <c r="C374" s="76" t="s">
        <v>755</v>
      </c>
      <c r="D374">
        <v>2</v>
      </c>
      <c r="G374" s="355">
        <v>120</v>
      </c>
    </row>
    <row r="375" spans="1:7" hidden="1" x14ac:dyDescent="0.35">
      <c r="A375">
        <v>315</v>
      </c>
      <c r="B375" s="83">
        <v>33052</v>
      </c>
      <c r="C375" s="76" t="s">
        <v>755</v>
      </c>
      <c r="D375">
        <v>3</v>
      </c>
      <c r="G375" s="355">
        <v>392</v>
      </c>
    </row>
    <row r="376" spans="1:7" hidden="1" x14ac:dyDescent="0.35">
      <c r="A376">
        <v>344</v>
      </c>
      <c r="B376" s="83">
        <v>42863</v>
      </c>
      <c r="C376" s="76" t="s">
        <v>756</v>
      </c>
      <c r="D376">
        <v>2</v>
      </c>
      <c r="G376" s="355">
        <v>84</v>
      </c>
    </row>
    <row r="377" spans="1:7" hidden="1" x14ac:dyDescent="0.35">
      <c r="A377">
        <v>314</v>
      </c>
      <c r="B377" s="83">
        <v>32098</v>
      </c>
      <c r="C377" s="76" t="s">
        <v>757</v>
      </c>
      <c r="D377">
        <v>1</v>
      </c>
      <c r="G377" s="355">
        <v>50</v>
      </c>
    </row>
    <row r="378" spans="1:7" hidden="1" x14ac:dyDescent="0.35">
      <c r="A378">
        <v>314</v>
      </c>
      <c r="B378" s="83">
        <v>32098</v>
      </c>
      <c r="C378" s="76" t="s">
        <v>757</v>
      </c>
      <c r="D378">
        <v>2</v>
      </c>
      <c r="G378" s="355">
        <v>90</v>
      </c>
    </row>
    <row r="379" spans="1:7" hidden="1" x14ac:dyDescent="0.35">
      <c r="A379">
        <v>344</v>
      </c>
      <c r="B379" s="83">
        <v>42815</v>
      </c>
      <c r="C379" s="76" t="s">
        <v>758</v>
      </c>
      <c r="D379">
        <v>1</v>
      </c>
      <c r="G379" s="355">
        <v>62.4</v>
      </c>
    </row>
    <row r="380" spans="1:7" hidden="1" x14ac:dyDescent="0.35">
      <c r="A380">
        <v>344</v>
      </c>
      <c r="B380" s="83">
        <v>42815</v>
      </c>
      <c r="C380" s="76" t="s">
        <v>758</v>
      </c>
      <c r="D380">
        <v>2</v>
      </c>
      <c r="G380" s="355">
        <v>152.4</v>
      </c>
    </row>
    <row r="381" spans="1:7" hidden="1" x14ac:dyDescent="0.35">
      <c r="A381">
        <v>344</v>
      </c>
      <c r="B381" s="83">
        <v>42815</v>
      </c>
      <c r="C381" s="76" t="s">
        <v>758</v>
      </c>
      <c r="D381">
        <v>3</v>
      </c>
      <c r="G381" s="355">
        <v>459.4</v>
      </c>
    </row>
    <row r="382" spans="1:7" hidden="1" x14ac:dyDescent="0.35">
      <c r="A382">
        <v>315</v>
      </c>
      <c r="B382" s="83">
        <v>33024</v>
      </c>
      <c r="C382" s="76" t="s">
        <v>759</v>
      </c>
      <c r="D382">
        <v>1</v>
      </c>
      <c r="G382" s="355">
        <v>16.75</v>
      </c>
    </row>
    <row r="383" spans="1:7" hidden="1" x14ac:dyDescent="0.35">
      <c r="A383">
        <v>315</v>
      </c>
      <c r="B383" s="83">
        <v>33024</v>
      </c>
      <c r="C383" s="76" t="s">
        <v>759</v>
      </c>
      <c r="D383">
        <v>2</v>
      </c>
      <c r="G383" s="355">
        <v>413.65</v>
      </c>
    </row>
    <row r="384" spans="1:7" hidden="1" x14ac:dyDescent="0.35">
      <c r="A384">
        <v>315</v>
      </c>
      <c r="B384" s="83">
        <v>33024</v>
      </c>
      <c r="C384" s="76" t="s">
        <v>759</v>
      </c>
      <c r="D384">
        <v>3</v>
      </c>
      <c r="G384" s="355">
        <v>1170.410191846523</v>
      </c>
    </row>
    <row r="385" spans="1:10" hidden="1" x14ac:dyDescent="0.35">
      <c r="A385">
        <v>124</v>
      </c>
      <c r="B385" s="83">
        <v>14454</v>
      </c>
      <c r="C385" s="88" t="s">
        <v>760</v>
      </c>
      <c r="D385">
        <v>1</v>
      </c>
      <c r="G385" s="355">
        <v>127.25</v>
      </c>
    </row>
    <row r="386" spans="1:10" hidden="1" x14ac:dyDescent="0.35">
      <c r="A386">
        <v>124</v>
      </c>
      <c r="B386" s="83">
        <v>14454</v>
      </c>
      <c r="C386" s="88" t="s">
        <v>760</v>
      </c>
      <c r="D386">
        <v>2</v>
      </c>
      <c r="G386" s="355">
        <f>306+G385</f>
        <v>433.25</v>
      </c>
    </row>
    <row r="387" spans="1:10" hidden="1" x14ac:dyDescent="0.35">
      <c r="A387">
        <v>128</v>
      </c>
      <c r="B387" s="83">
        <v>13236</v>
      </c>
      <c r="C387" s="88" t="s">
        <v>761</v>
      </c>
      <c r="D387">
        <v>1</v>
      </c>
      <c r="G387" s="355">
        <f>67/4</f>
        <v>16.75</v>
      </c>
    </row>
    <row r="388" spans="1:10" hidden="1" x14ac:dyDescent="0.35">
      <c r="A388" s="5">
        <v>128</v>
      </c>
      <c r="B388" s="5">
        <v>13236</v>
      </c>
      <c r="C388" s="5" t="s">
        <v>761</v>
      </c>
      <c r="D388" s="5">
        <v>2</v>
      </c>
      <c r="E388" s="5"/>
      <c r="F388" s="5"/>
      <c r="G388" s="387">
        <f>G387+163.7</f>
        <v>180.45</v>
      </c>
      <c r="H388" s="5"/>
      <c r="I388" s="5"/>
    </row>
    <row r="389" spans="1:10" hidden="1" x14ac:dyDescent="0.35">
      <c r="A389" s="5">
        <v>128</v>
      </c>
      <c r="B389" s="5">
        <v>13236</v>
      </c>
      <c r="C389" s="5" t="s">
        <v>761</v>
      </c>
      <c r="D389" s="5">
        <v>3</v>
      </c>
      <c r="E389" s="5"/>
      <c r="F389" s="5"/>
      <c r="G389" s="387">
        <f>255+G388</f>
        <v>435.45</v>
      </c>
      <c r="H389" s="5"/>
      <c r="I389" s="5"/>
    </row>
    <row r="390" spans="1:10" hidden="1" x14ac:dyDescent="0.35">
      <c r="A390" s="5">
        <v>128</v>
      </c>
      <c r="B390" s="5">
        <v>13236</v>
      </c>
      <c r="C390" s="5" t="s">
        <v>761</v>
      </c>
      <c r="D390" s="5">
        <v>4</v>
      </c>
      <c r="E390" s="5"/>
      <c r="F390" s="5"/>
      <c r="G390" s="387">
        <f>930+G389</f>
        <v>1365.45</v>
      </c>
      <c r="H390" s="5"/>
      <c r="I390" s="5"/>
    </row>
    <row r="391" spans="1:10" hidden="1" x14ac:dyDescent="0.35">
      <c r="A391" s="5">
        <v>243</v>
      </c>
      <c r="B391" s="5">
        <v>21854</v>
      </c>
      <c r="C391" s="5" t="s">
        <v>762</v>
      </c>
      <c r="D391" s="5">
        <v>2</v>
      </c>
      <c r="E391" s="5"/>
      <c r="F391" s="5">
        <f t="shared" ref="F391:F399" si="12">G391/35</f>
        <v>2.4</v>
      </c>
      <c r="G391" s="387">
        <v>84</v>
      </c>
      <c r="H391" s="5" t="s">
        <v>763</v>
      </c>
      <c r="I391" s="5" t="s">
        <v>764</v>
      </c>
    </row>
    <row r="392" spans="1:10" hidden="1" x14ac:dyDescent="0.35">
      <c r="A392" s="5"/>
      <c r="B392" s="5">
        <v>31818</v>
      </c>
      <c r="C392" s="5" t="s">
        <v>765</v>
      </c>
      <c r="D392" s="5">
        <v>1</v>
      </c>
      <c r="E392" s="5">
        <v>2</v>
      </c>
      <c r="F392" s="5">
        <f t="shared" si="12"/>
        <v>0.2</v>
      </c>
      <c r="G392" s="387">
        <v>7</v>
      </c>
      <c r="H392" s="5" t="s">
        <v>766</v>
      </c>
      <c r="I392" s="5" t="s">
        <v>767</v>
      </c>
    </row>
    <row r="393" spans="1:10" hidden="1" x14ac:dyDescent="0.35">
      <c r="A393" s="5"/>
      <c r="B393" s="5">
        <v>31818</v>
      </c>
      <c r="C393" s="5" t="s">
        <v>765</v>
      </c>
      <c r="D393" s="5">
        <v>2</v>
      </c>
      <c r="E393" s="5">
        <v>2</v>
      </c>
      <c r="F393" s="5">
        <f t="shared" si="12"/>
        <v>0.8571428571428571</v>
      </c>
      <c r="G393" s="387">
        <f>23+7</f>
        <v>30</v>
      </c>
      <c r="H393" s="5" t="s">
        <v>768</v>
      </c>
      <c r="I393" s="5" t="s">
        <v>769</v>
      </c>
    </row>
    <row r="394" spans="1:10" s="61" customFormat="1" ht="72.650000000000006" hidden="1" x14ac:dyDescent="0.35">
      <c r="A394" s="342">
        <v>215</v>
      </c>
      <c r="B394" s="342">
        <v>21558</v>
      </c>
      <c r="C394" s="341" t="s">
        <v>770</v>
      </c>
      <c r="D394" s="338">
        <v>1</v>
      </c>
      <c r="E394" s="343">
        <f>F394/4.3</f>
        <v>1.6013289036544851</v>
      </c>
      <c r="F394" s="343">
        <f t="shared" si="12"/>
        <v>6.8857142857142861</v>
      </c>
      <c r="G394" s="387">
        <v>241</v>
      </c>
      <c r="H394" s="339" t="s">
        <v>771</v>
      </c>
      <c r="I394" s="345" t="s">
        <v>772</v>
      </c>
      <c r="J394" s="340"/>
    </row>
    <row r="395" spans="1:10" s="61" customFormat="1" ht="87" hidden="1" x14ac:dyDescent="0.35">
      <c r="A395" s="342">
        <v>215</v>
      </c>
      <c r="B395" s="342">
        <v>21558</v>
      </c>
      <c r="C395" s="341" t="s">
        <v>770</v>
      </c>
      <c r="D395" s="61">
        <v>2</v>
      </c>
      <c r="E395" s="343">
        <f t="shared" ref="E395:E398" si="13">F395/4.3</f>
        <v>3.7475083056478407</v>
      </c>
      <c r="F395" s="343">
        <f t="shared" si="12"/>
        <v>16.114285714285714</v>
      </c>
      <c r="G395" s="387">
        <f>G394+323</f>
        <v>564</v>
      </c>
      <c r="H395" s="346" t="s">
        <v>776</v>
      </c>
      <c r="I395" s="224" t="s">
        <v>775</v>
      </c>
      <c r="J395" s="344">
        <v>323</v>
      </c>
    </row>
    <row r="396" spans="1:10" s="61" customFormat="1" ht="72.650000000000006" hidden="1" x14ac:dyDescent="0.35">
      <c r="A396" s="342">
        <v>215</v>
      </c>
      <c r="B396" s="342">
        <v>21558</v>
      </c>
      <c r="C396" s="341" t="s">
        <v>770</v>
      </c>
      <c r="D396" s="61">
        <v>3</v>
      </c>
      <c r="E396" s="343">
        <f t="shared" si="13"/>
        <v>4.7707641196013295</v>
      </c>
      <c r="F396" s="343">
        <f t="shared" si="12"/>
        <v>20.514285714285716</v>
      </c>
      <c r="G396" s="387">
        <f>G395+154</f>
        <v>718</v>
      </c>
      <c r="H396" s="346" t="s">
        <v>778</v>
      </c>
      <c r="I396" s="224" t="s">
        <v>774</v>
      </c>
      <c r="J396" s="344">
        <v>154</v>
      </c>
    </row>
    <row r="397" spans="1:10" s="61" customFormat="1" ht="72.650000000000006" hidden="1" x14ac:dyDescent="0.35">
      <c r="A397" s="342">
        <v>215</v>
      </c>
      <c r="B397" s="342">
        <v>21558</v>
      </c>
      <c r="C397" s="341" t="s">
        <v>770</v>
      </c>
      <c r="D397" s="61">
        <v>4</v>
      </c>
      <c r="E397" s="343">
        <f t="shared" si="13"/>
        <v>6.6046511627906979</v>
      </c>
      <c r="F397" s="343">
        <f t="shared" si="12"/>
        <v>28.4</v>
      </c>
      <c r="G397" s="387">
        <f>G396+276</f>
        <v>994</v>
      </c>
      <c r="H397" s="346" t="s">
        <v>777</v>
      </c>
      <c r="I397" s="224" t="s">
        <v>773</v>
      </c>
      <c r="J397" s="344">
        <v>276</v>
      </c>
    </row>
    <row r="398" spans="1:10" ht="72.650000000000006" hidden="1" x14ac:dyDescent="0.35">
      <c r="B398" s="347">
        <v>22472</v>
      </c>
      <c r="C398" t="s">
        <v>779</v>
      </c>
      <c r="D398" s="347">
        <v>1</v>
      </c>
      <c r="E398" s="343">
        <f t="shared" si="13"/>
        <v>0.40863787375415284</v>
      </c>
      <c r="F398" s="343">
        <f t="shared" si="12"/>
        <v>1.7571428571428571</v>
      </c>
      <c r="G398" s="367">
        <v>61.5</v>
      </c>
      <c r="H398" s="6" t="s">
        <v>783</v>
      </c>
      <c r="I398" s="224" t="s">
        <v>780</v>
      </c>
    </row>
    <row r="399" spans="1:10" ht="43.5" hidden="1" x14ac:dyDescent="0.35">
      <c r="C399" t="s">
        <v>779</v>
      </c>
      <c r="D399" s="61">
        <v>2</v>
      </c>
      <c r="F399" s="343">
        <f t="shared" si="12"/>
        <v>4.8857142857142861</v>
      </c>
      <c r="G399" s="367">
        <f>109.5+G398</f>
        <v>171</v>
      </c>
      <c r="H399" s="348" t="s">
        <v>864</v>
      </c>
      <c r="I399" s="224" t="s">
        <v>784</v>
      </c>
    </row>
    <row r="400" spans="1:10" ht="58" hidden="1" x14ac:dyDescent="0.35">
      <c r="B400" s="5">
        <v>22460</v>
      </c>
      <c r="C400" t="s">
        <v>782</v>
      </c>
      <c r="D400" s="61">
        <v>1</v>
      </c>
      <c r="F400" s="343">
        <f t="shared" ref="F400:F407" si="14">G400/35</f>
        <v>1.7571428571428571</v>
      </c>
      <c r="G400" s="367">
        <v>61.5</v>
      </c>
      <c r="H400" s="6" t="s">
        <v>781</v>
      </c>
      <c r="I400" s="224" t="s">
        <v>780</v>
      </c>
    </row>
    <row r="401" spans="2:9" ht="38.15" hidden="1" customHeight="1" x14ac:dyDescent="0.35">
      <c r="C401" t="s">
        <v>782</v>
      </c>
      <c r="D401" s="61">
        <v>2</v>
      </c>
      <c r="F401" s="343">
        <f t="shared" si="14"/>
        <v>0</v>
      </c>
    </row>
    <row r="402" spans="2:9" ht="43.5" hidden="1" x14ac:dyDescent="0.35">
      <c r="B402" s="5">
        <v>22312</v>
      </c>
      <c r="C402" s="332" t="s">
        <v>842</v>
      </c>
      <c r="D402" s="61">
        <v>1</v>
      </c>
      <c r="F402" s="343">
        <f t="shared" si="14"/>
        <v>5.8771428571428572</v>
      </c>
      <c r="G402" s="367">
        <v>205.7</v>
      </c>
      <c r="H402" s="6" t="s">
        <v>787</v>
      </c>
      <c r="I402" s="224" t="s">
        <v>790</v>
      </c>
    </row>
    <row r="403" spans="2:9" ht="43" hidden="1" customHeight="1" x14ac:dyDescent="0.35">
      <c r="B403" s="5">
        <v>22312</v>
      </c>
      <c r="C403" s="332" t="s">
        <v>843</v>
      </c>
      <c r="D403" s="61">
        <v>2</v>
      </c>
      <c r="F403" s="343">
        <f t="shared" si="14"/>
        <v>9.0057142857142853</v>
      </c>
      <c r="G403" s="367">
        <v>315.2</v>
      </c>
      <c r="H403" s="6" t="s">
        <v>789</v>
      </c>
      <c r="I403" s="224" t="s">
        <v>791</v>
      </c>
    </row>
    <row r="404" spans="2:9" ht="43" hidden="1" customHeight="1" x14ac:dyDescent="0.35">
      <c r="B404" s="5">
        <v>22890</v>
      </c>
      <c r="C404" s="332" t="s">
        <v>844</v>
      </c>
      <c r="D404" s="61">
        <v>1</v>
      </c>
      <c r="F404" s="343">
        <f>G404/35</f>
        <v>1.4685714285714286</v>
      </c>
      <c r="G404" s="367">
        <v>51.4</v>
      </c>
      <c r="H404" s="6" t="s">
        <v>845</v>
      </c>
      <c r="I404" s="224"/>
    </row>
    <row r="405" spans="2:9" ht="43" hidden="1" customHeight="1" x14ac:dyDescent="0.35">
      <c r="B405" s="5">
        <v>22890</v>
      </c>
      <c r="C405" s="332" t="s">
        <v>844</v>
      </c>
      <c r="D405" s="61">
        <v>2</v>
      </c>
      <c r="F405" s="343">
        <f>G405/35</f>
        <v>3.0342857142857143</v>
      </c>
      <c r="G405" s="367">
        <v>106.2</v>
      </c>
      <c r="H405" s="6" t="s">
        <v>846</v>
      </c>
      <c r="I405" s="224"/>
    </row>
    <row r="406" spans="2:9" ht="43" hidden="1" customHeight="1" x14ac:dyDescent="0.35">
      <c r="B406" s="5">
        <v>22437</v>
      </c>
      <c r="C406" t="s">
        <v>785</v>
      </c>
      <c r="D406" s="61">
        <v>1</v>
      </c>
      <c r="F406" s="343">
        <f t="shared" si="14"/>
        <v>5.8771428571428572</v>
      </c>
      <c r="G406" s="367">
        <v>205.7</v>
      </c>
      <c r="H406" s="348" t="s">
        <v>792</v>
      </c>
      <c r="I406" s="224"/>
    </row>
    <row r="407" spans="2:9" ht="43.5" hidden="1" x14ac:dyDescent="0.35">
      <c r="B407" s="5">
        <v>22437</v>
      </c>
      <c r="C407" t="s">
        <v>785</v>
      </c>
      <c r="D407" s="61">
        <v>2</v>
      </c>
      <c r="F407" s="343">
        <f t="shared" si="14"/>
        <v>11.414285714285715</v>
      </c>
      <c r="G407" s="367">
        <f>193.8+G402</f>
        <v>399.5</v>
      </c>
      <c r="H407" s="6" t="s">
        <v>788</v>
      </c>
      <c r="I407" s="224" t="s">
        <v>786</v>
      </c>
    </row>
    <row r="408" spans="2:9" ht="28" hidden="1" customHeight="1" x14ac:dyDescent="0.35">
      <c r="B408" s="5">
        <v>24066</v>
      </c>
      <c r="C408" t="s">
        <v>794</v>
      </c>
      <c r="D408">
        <v>1</v>
      </c>
      <c r="F408" s="45">
        <f t="shared" ref="F408:F453" si="15">G408/35</f>
        <v>5.1428571428571432</v>
      </c>
      <c r="G408" s="367">
        <v>180</v>
      </c>
      <c r="H408" s="68" t="s">
        <v>796</v>
      </c>
    </row>
    <row r="409" spans="2:9" hidden="1" x14ac:dyDescent="0.35">
      <c r="B409" s="5">
        <v>24066</v>
      </c>
      <c r="C409" t="s">
        <v>794</v>
      </c>
      <c r="D409">
        <v>2</v>
      </c>
      <c r="F409" s="45">
        <f t="shared" si="15"/>
        <v>6.7428571428571429</v>
      </c>
      <c r="G409" s="367">
        <v>236</v>
      </c>
      <c r="H409" s="68" t="s">
        <v>795</v>
      </c>
    </row>
    <row r="410" spans="2:9" hidden="1" x14ac:dyDescent="0.35">
      <c r="B410" s="347">
        <v>24039</v>
      </c>
      <c r="C410" t="s">
        <v>847</v>
      </c>
      <c r="D410">
        <v>1</v>
      </c>
      <c r="F410" s="45"/>
      <c r="G410" s="367">
        <v>90</v>
      </c>
      <c r="H410" s="68" t="s">
        <v>848</v>
      </c>
    </row>
    <row r="411" spans="2:9" hidden="1" x14ac:dyDescent="0.35">
      <c r="B411" s="347">
        <v>24039</v>
      </c>
      <c r="C411" t="s">
        <v>847</v>
      </c>
      <c r="D411">
        <v>2</v>
      </c>
      <c r="F411" s="45"/>
      <c r="G411" s="367">
        <v>118</v>
      </c>
      <c r="H411" s="68" t="s">
        <v>798</v>
      </c>
    </row>
    <row r="412" spans="2:9" hidden="1" x14ac:dyDescent="0.35">
      <c r="B412" s="5">
        <v>24027</v>
      </c>
      <c r="C412" t="s">
        <v>793</v>
      </c>
      <c r="D412">
        <v>1</v>
      </c>
      <c r="F412" s="45">
        <f t="shared" si="15"/>
        <v>2.5714285714285716</v>
      </c>
      <c r="G412" s="367">
        <v>90</v>
      </c>
      <c r="H412" s="68" t="s">
        <v>797</v>
      </c>
    </row>
    <row r="413" spans="2:9" hidden="1" x14ac:dyDescent="0.35">
      <c r="B413" s="5">
        <v>24027</v>
      </c>
      <c r="C413" t="s">
        <v>793</v>
      </c>
      <c r="D413">
        <v>2</v>
      </c>
      <c r="F413" s="45">
        <f t="shared" si="15"/>
        <v>3.3714285714285714</v>
      </c>
      <c r="G413" s="367">
        <v>118</v>
      </c>
      <c r="H413" s="68" t="s">
        <v>798</v>
      </c>
    </row>
    <row r="414" spans="2:9" hidden="1" x14ac:dyDescent="0.35">
      <c r="B414" s="5">
        <v>22677</v>
      </c>
      <c r="C414" t="s">
        <v>800</v>
      </c>
      <c r="D414">
        <v>1</v>
      </c>
      <c r="F414" s="45">
        <f t="shared" si="15"/>
        <v>1.7542857142857142</v>
      </c>
      <c r="G414" s="367">
        <v>61.4</v>
      </c>
      <c r="H414" s="68" t="s">
        <v>803</v>
      </c>
      <c r="I414" t="s">
        <v>799</v>
      </c>
    </row>
    <row r="415" spans="2:9" hidden="1" x14ac:dyDescent="0.35">
      <c r="B415" s="5">
        <v>22677</v>
      </c>
      <c r="C415" t="s">
        <v>801</v>
      </c>
      <c r="D415">
        <v>2</v>
      </c>
      <c r="F415" s="45">
        <f t="shared" si="15"/>
        <v>2.9142857142857141</v>
      </c>
      <c r="G415" s="367">
        <v>102</v>
      </c>
      <c r="H415" s="68" t="s">
        <v>802</v>
      </c>
    </row>
    <row r="416" spans="2:9" hidden="1" x14ac:dyDescent="0.35">
      <c r="C416" t="s">
        <v>804</v>
      </c>
      <c r="D416">
        <v>1</v>
      </c>
      <c r="F416" s="45">
        <f t="shared" si="15"/>
        <v>1.7542857142857142</v>
      </c>
      <c r="G416" s="367">
        <v>61.4</v>
      </c>
    </row>
    <row r="417" spans="2:9" hidden="1" x14ac:dyDescent="0.35">
      <c r="C417" t="s">
        <v>805</v>
      </c>
      <c r="D417">
        <v>2</v>
      </c>
      <c r="F417" s="45">
        <f t="shared" si="15"/>
        <v>2.9142857142857141</v>
      </c>
      <c r="G417" s="367">
        <v>102</v>
      </c>
    </row>
    <row r="418" spans="2:9" hidden="1" x14ac:dyDescent="0.35">
      <c r="B418" s="347">
        <v>22472</v>
      </c>
      <c r="C418" t="s">
        <v>779</v>
      </c>
      <c r="D418">
        <v>2</v>
      </c>
      <c r="F418" s="45">
        <f t="shared" si="15"/>
        <v>3.3571428571428572</v>
      </c>
      <c r="G418" s="367">
        <v>117.5</v>
      </c>
      <c r="H418" t="s">
        <v>807</v>
      </c>
      <c r="I418" t="s">
        <v>815</v>
      </c>
    </row>
    <row r="419" spans="2:9" hidden="1" x14ac:dyDescent="0.35">
      <c r="B419" s="5">
        <v>23042</v>
      </c>
      <c r="C419" t="s">
        <v>808</v>
      </c>
      <c r="F419" s="45">
        <f t="shared" si="15"/>
        <v>0</v>
      </c>
      <c r="H419" t="s">
        <v>810</v>
      </c>
      <c r="I419" t="s">
        <v>780</v>
      </c>
    </row>
    <row r="420" spans="2:9" hidden="1" x14ac:dyDescent="0.35">
      <c r="B420" s="5">
        <v>22460</v>
      </c>
      <c r="C420" t="s">
        <v>811</v>
      </c>
      <c r="D420">
        <v>1</v>
      </c>
      <c r="F420" s="45">
        <f t="shared" si="15"/>
        <v>1.7571428571428571</v>
      </c>
      <c r="G420" s="367">
        <v>61.5</v>
      </c>
      <c r="H420" t="s">
        <v>812</v>
      </c>
      <c r="I420" t="s">
        <v>806</v>
      </c>
    </row>
    <row r="421" spans="2:9" hidden="1" x14ac:dyDescent="0.35">
      <c r="B421" s="5">
        <v>22460</v>
      </c>
      <c r="C421" t="s">
        <v>811</v>
      </c>
      <c r="D421">
        <v>2</v>
      </c>
      <c r="F421" s="45">
        <f t="shared" si="15"/>
        <v>3.3571428571428572</v>
      </c>
      <c r="G421" s="367">
        <v>117.5</v>
      </c>
      <c r="H421" t="s">
        <v>813</v>
      </c>
      <c r="I421" t="s">
        <v>828</v>
      </c>
    </row>
    <row r="422" spans="2:9" hidden="1" x14ac:dyDescent="0.35">
      <c r="B422" s="5">
        <v>22301</v>
      </c>
      <c r="C422" t="s">
        <v>809</v>
      </c>
      <c r="F422" s="45">
        <f t="shared" si="15"/>
        <v>0</v>
      </c>
      <c r="I422" t="s">
        <v>828</v>
      </c>
    </row>
    <row r="423" spans="2:9" hidden="1" x14ac:dyDescent="0.35">
      <c r="B423" s="5">
        <v>22440</v>
      </c>
      <c r="C423" t="s">
        <v>814</v>
      </c>
      <c r="D423">
        <v>1</v>
      </c>
      <c r="F423" s="45">
        <f t="shared" si="15"/>
        <v>5.6457142857142859</v>
      </c>
      <c r="G423" s="367">
        <v>197.6</v>
      </c>
      <c r="H423" t="s">
        <v>816</v>
      </c>
      <c r="I423" t="s">
        <v>826</v>
      </c>
    </row>
    <row r="424" spans="2:9" hidden="1" x14ac:dyDescent="0.35">
      <c r="B424" s="5">
        <v>22440</v>
      </c>
      <c r="C424" t="s">
        <v>814</v>
      </c>
      <c r="D424">
        <v>2</v>
      </c>
      <c r="F424" s="45">
        <f t="shared" si="15"/>
        <v>10.545714285714286</v>
      </c>
      <c r="G424" s="367">
        <v>369.1</v>
      </c>
      <c r="H424" t="s">
        <v>817</v>
      </c>
      <c r="I424" t="s">
        <v>827</v>
      </c>
    </row>
    <row r="425" spans="2:9" hidden="1" x14ac:dyDescent="0.35">
      <c r="B425" s="5">
        <v>22412</v>
      </c>
      <c r="C425" t="s">
        <v>818</v>
      </c>
      <c r="D425">
        <v>1</v>
      </c>
      <c r="F425" s="45">
        <f t="shared" si="15"/>
        <v>1.4685714285714286</v>
      </c>
      <c r="G425" s="367">
        <v>51.4</v>
      </c>
      <c r="H425" t="s">
        <v>821</v>
      </c>
      <c r="I425" t="s">
        <v>820</v>
      </c>
    </row>
    <row r="426" spans="2:9" hidden="1" x14ac:dyDescent="0.35">
      <c r="B426" s="5">
        <v>22412</v>
      </c>
      <c r="C426" t="s">
        <v>818</v>
      </c>
      <c r="D426">
        <v>2</v>
      </c>
      <c r="F426" s="45">
        <f t="shared" si="15"/>
        <v>4.2857142857142856</v>
      </c>
      <c r="G426" s="367">
        <v>150</v>
      </c>
      <c r="H426" t="s">
        <v>824</v>
      </c>
      <c r="I426" t="s">
        <v>825</v>
      </c>
    </row>
    <row r="427" spans="2:9" hidden="1" x14ac:dyDescent="0.35">
      <c r="B427" s="5">
        <v>22450</v>
      </c>
      <c r="C427" t="s">
        <v>819</v>
      </c>
      <c r="D427">
        <v>1</v>
      </c>
      <c r="F427" s="45">
        <f t="shared" si="15"/>
        <v>1.4685714285714286</v>
      </c>
      <c r="G427" s="367">
        <v>51.4</v>
      </c>
      <c r="H427" t="s">
        <v>822</v>
      </c>
      <c r="I427" t="s">
        <v>820</v>
      </c>
    </row>
    <row r="428" spans="2:9" hidden="1" x14ac:dyDescent="0.35">
      <c r="B428" s="5">
        <v>22450</v>
      </c>
      <c r="C428" t="s">
        <v>819</v>
      </c>
      <c r="D428">
        <v>2</v>
      </c>
      <c r="F428" s="45">
        <f t="shared" si="15"/>
        <v>2.88</v>
      </c>
      <c r="G428" s="367">
        <v>100.8</v>
      </c>
      <c r="H428" t="s">
        <v>823</v>
      </c>
      <c r="I428" t="s">
        <v>825</v>
      </c>
    </row>
    <row r="429" spans="2:9" ht="29.15" hidden="1" x14ac:dyDescent="0.35">
      <c r="B429" s="5">
        <v>34566</v>
      </c>
      <c r="C429" s="332" t="s">
        <v>829</v>
      </c>
      <c r="D429">
        <v>1</v>
      </c>
      <c r="F429" s="45">
        <f t="shared" si="15"/>
        <v>6.5457142857142854</v>
      </c>
      <c r="G429" s="367">
        <v>229.1</v>
      </c>
      <c r="H429" s="6" t="s">
        <v>832</v>
      </c>
      <c r="I429" t="s">
        <v>830</v>
      </c>
    </row>
    <row r="430" spans="2:9" ht="43.5" hidden="1" x14ac:dyDescent="0.35">
      <c r="B430" s="5">
        <v>34566</v>
      </c>
      <c r="C430" s="332" t="s">
        <v>829</v>
      </c>
      <c r="D430">
        <v>2</v>
      </c>
      <c r="F430" s="45">
        <f t="shared" si="15"/>
        <v>9.3514285714285723</v>
      </c>
      <c r="G430" s="367">
        <v>327.3</v>
      </c>
      <c r="H430" s="6" t="s">
        <v>833</v>
      </c>
      <c r="I430" t="s">
        <v>831</v>
      </c>
    </row>
    <row r="431" spans="2:9" ht="29.15" hidden="1" x14ac:dyDescent="0.35">
      <c r="B431" s="5">
        <v>34076</v>
      </c>
      <c r="C431" s="332" t="s">
        <v>834</v>
      </c>
      <c r="D431">
        <v>1</v>
      </c>
      <c r="F431" s="45">
        <f t="shared" si="15"/>
        <v>1.9257142857142859</v>
      </c>
      <c r="G431" s="367">
        <v>67.400000000000006</v>
      </c>
      <c r="H431" s="6" t="s">
        <v>836</v>
      </c>
      <c r="I431" t="s">
        <v>835</v>
      </c>
    </row>
    <row r="432" spans="2:9" ht="43.5" hidden="1" x14ac:dyDescent="0.35">
      <c r="B432" s="5">
        <v>34076</v>
      </c>
      <c r="C432" s="332" t="s">
        <v>834</v>
      </c>
      <c r="D432">
        <v>2</v>
      </c>
      <c r="F432" s="45">
        <f t="shared" si="15"/>
        <v>4.3742857142857146</v>
      </c>
      <c r="G432" s="367">
        <v>153.1</v>
      </c>
      <c r="H432" s="6" t="s">
        <v>838</v>
      </c>
      <c r="I432" t="s">
        <v>837</v>
      </c>
    </row>
    <row r="433" spans="2:9" hidden="1" x14ac:dyDescent="0.35">
      <c r="B433" s="347">
        <v>22301</v>
      </c>
      <c r="C433" s="347" t="s">
        <v>854</v>
      </c>
      <c r="D433">
        <v>1</v>
      </c>
      <c r="F433" s="45">
        <f t="shared" si="15"/>
        <v>1.7571428571428571</v>
      </c>
      <c r="G433" s="367">
        <v>61.5</v>
      </c>
      <c r="H433" s="6" t="s">
        <v>855</v>
      </c>
    </row>
    <row r="434" spans="2:9" hidden="1" x14ac:dyDescent="0.35">
      <c r="B434" s="347">
        <v>22301</v>
      </c>
      <c r="C434" s="347" t="s">
        <v>854</v>
      </c>
      <c r="D434">
        <v>2</v>
      </c>
      <c r="F434" s="45">
        <f t="shared" si="15"/>
        <v>3.3571428571428572</v>
      </c>
      <c r="G434" s="367">
        <v>117.5</v>
      </c>
      <c r="H434" s="6" t="s">
        <v>856</v>
      </c>
    </row>
    <row r="435" spans="2:9" hidden="1" x14ac:dyDescent="0.35">
      <c r="B435" s="347">
        <v>23042</v>
      </c>
      <c r="C435" t="s">
        <v>857</v>
      </c>
      <c r="D435">
        <v>1</v>
      </c>
      <c r="F435" s="45">
        <f t="shared" si="15"/>
        <v>1.7571428571428571</v>
      </c>
      <c r="G435" s="367">
        <v>61.5</v>
      </c>
      <c r="H435" s="6" t="s">
        <v>855</v>
      </c>
    </row>
    <row r="436" spans="2:9" hidden="1" x14ac:dyDescent="0.35">
      <c r="B436" s="347">
        <v>23042</v>
      </c>
      <c r="C436" t="s">
        <v>857</v>
      </c>
      <c r="D436">
        <v>2</v>
      </c>
      <c r="F436" s="45">
        <f t="shared" si="15"/>
        <v>3.3571428571428572</v>
      </c>
      <c r="G436" s="367">
        <v>117.5</v>
      </c>
      <c r="H436" s="6" t="s">
        <v>856</v>
      </c>
    </row>
    <row r="437" spans="2:9" ht="29.15" hidden="1" x14ac:dyDescent="0.35">
      <c r="B437" s="5">
        <v>22852</v>
      </c>
      <c r="C437" s="332" t="s">
        <v>839</v>
      </c>
      <c r="D437">
        <v>1</v>
      </c>
      <c r="F437" s="45">
        <f t="shared" si="15"/>
        <v>0.75142857142857145</v>
      </c>
      <c r="G437" s="367">
        <v>26.3</v>
      </c>
      <c r="H437" s="6" t="s">
        <v>841</v>
      </c>
      <c r="I437" t="s">
        <v>840</v>
      </c>
    </row>
    <row r="438" spans="2:9" hidden="1" x14ac:dyDescent="0.35">
      <c r="B438" s="347">
        <v>22499</v>
      </c>
      <c r="C438" s="332" t="s">
        <v>849</v>
      </c>
      <c r="D438">
        <v>1</v>
      </c>
      <c r="F438" s="45">
        <f t="shared" si="15"/>
        <v>7.2</v>
      </c>
      <c r="G438" s="367">
        <v>252</v>
      </c>
      <c r="H438" s="6" t="s">
        <v>850</v>
      </c>
      <c r="I438" t="s">
        <v>851</v>
      </c>
    </row>
    <row r="439" spans="2:9" hidden="1" x14ac:dyDescent="0.35">
      <c r="B439" s="347">
        <v>22499</v>
      </c>
      <c r="C439" s="332" t="s">
        <v>849</v>
      </c>
      <c r="D439">
        <v>2</v>
      </c>
      <c r="F439" s="45">
        <f t="shared" si="15"/>
        <v>11.411428571428571</v>
      </c>
      <c r="G439" s="367">
        <v>399.4</v>
      </c>
      <c r="H439" s="6" t="s">
        <v>853</v>
      </c>
      <c r="I439" t="s">
        <v>852</v>
      </c>
    </row>
    <row r="440" spans="2:9" ht="43.5" hidden="1" x14ac:dyDescent="0.35">
      <c r="C440" s="332" t="s">
        <v>858</v>
      </c>
      <c r="D440">
        <v>1</v>
      </c>
      <c r="F440" s="45">
        <f t="shared" si="15"/>
        <v>1.2657142857142856</v>
      </c>
      <c r="G440" s="367">
        <v>44.3</v>
      </c>
      <c r="H440" s="6" t="s">
        <v>861</v>
      </c>
      <c r="I440" t="s">
        <v>860</v>
      </c>
    </row>
    <row r="441" spans="2:9" ht="43.5" hidden="1" x14ac:dyDescent="0.35">
      <c r="C441" s="332" t="s">
        <v>859</v>
      </c>
      <c r="D441">
        <v>2</v>
      </c>
      <c r="F441" s="45">
        <f t="shared" si="15"/>
        <v>2.6914285714285713</v>
      </c>
      <c r="G441" s="367">
        <f>G440+49.9</f>
        <v>94.199999999999989</v>
      </c>
      <c r="H441" s="6" t="s">
        <v>862</v>
      </c>
      <c r="I441" t="s">
        <v>133</v>
      </c>
    </row>
    <row r="442" spans="2:9" ht="29.15" hidden="1" x14ac:dyDescent="0.35">
      <c r="C442" s="332" t="s">
        <v>863</v>
      </c>
      <c r="D442">
        <v>1</v>
      </c>
      <c r="F442" s="45">
        <f t="shared" si="15"/>
        <v>1.0428571428571429</v>
      </c>
      <c r="G442" s="367">
        <v>36.5</v>
      </c>
      <c r="H442" s="348" t="s">
        <v>865</v>
      </c>
      <c r="I442" s="224" t="s">
        <v>784</v>
      </c>
    </row>
    <row r="443" spans="2:9" ht="43.5" hidden="1" x14ac:dyDescent="0.35">
      <c r="C443" s="332" t="s">
        <v>863</v>
      </c>
      <c r="D443">
        <v>2</v>
      </c>
      <c r="F443" s="45">
        <f t="shared" si="15"/>
        <v>5.7485714285714282</v>
      </c>
      <c r="G443" s="367">
        <f>164.7+G442</f>
        <v>201.2</v>
      </c>
      <c r="H443" s="6" t="s">
        <v>867</v>
      </c>
      <c r="I443" t="s">
        <v>866</v>
      </c>
    </row>
    <row r="444" spans="2:9" ht="29.15" hidden="1" x14ac:dyDescent="0.35">
      <c r="C444" s="332" t="s">
        <v>868</v>
      </c>
      <c r="D444">
        <v>1</v>
      </c>
      <c r="F444" s="45">
        <f t="shared" si="15"/>
        <v>1.637142857142857</v>
      </c>
      <c r="G444" s="367">
        <v>57.3</v>
      </c>
      <c r="H444" s="6" t="s">
        <v>872</v>
      </c>
      <c r="I444" t="s">
        <v>870</v>
      </c>
    </row>
    <row r="445" spans="2:9" ht="43.5" hidden="1" x14ac:dyDescent="0.35">
      <c r="C445" s="332" t="s">
        <v>868</v>
      </c>
      <c r="D445">
        <v>2</v>
      </c>
      <c r="F445" s="45">
        <f t="shared" si="15"/>
        <v>2.1799999999999997</v>
      </c>
      <c r="G445" s="367">
        <f>G444+19</f>
        <v>76.3</v>
      </c>
      <c r="H445" s="6" t="s">
        <v>875</v>
      </c>
      <c r="I445" t="s">
        <v>874</v>
      </c>
    </row>
    <row r="446" spans="2:9" ht="29.15" hidden="1" x14ac:dyDescent="0.35">
      <c r="C446" s="332" t="s">
        <v>869</v>
      </c>
      <c r="D446">
        <v>1</v>
      </c>
      <c r="F446" s="45">
        <f t="shared" si="15"/>
        <v>3.2714285714285714</v>
      </c>
      <c r="G446" s="367">
        <v>114.5</v>
      </c>
      <c r="H446" s="6" t="s">
        <v>873</v>
      </c>
      <c r="I446" t="s">
        <v>870</v>
      </c>
    </row>
    <row r="447" spans="2:9" ht="43.5" hidden="1" x14ac:dyDescent="0.35">
      <c r="C447" s="332" t="s">
        <v>869</v>
      </c>
      <c r="D447">
        <v>2</v>
      </c>
      <c r="F447" s="45">
        <f t="shared" si="15"/>
        <v>4.3571428571428568</v>
      </c>
      <c r="G447" s="367">
        <f>G446+38</f>
        <v>152.5</v>
      </c>
      <c r="H447" s="6" t="s">
        <v>876</v>
      </c>
      <c r="I447" t="s">
        <v>874</v>
      </c>
    </row>
    <row r="448" spans="2:9" ht="29.15" hidden="1" x14ac:dyDescent="0.35">
      <c r="C448" s="332" t="s">
        <v>871</v>
      </c>
      <c r="D448">
        <v>1</v>
      </c>
      <c r="F448" s="45">
        <f t="shared" si="15"/>
        <v>0.69142857142857139</v>
      </c>
      <c r="G448" s="367">
        <v>24.2</v>
      </c>
      <c r="H448" s="6" t="s">
        <v>878</v>
      </c>
      <c r="I448" t="s">
        <v>877</v>
      </c>
    </row>
    <row r="449" spans="3:9" ht="43.5" hidden="1" x14ac:dyDescent="0.35">
      <c r="C449" s="332" t="s">
        <v>871</v>
      </c>
      <c r="D449">
        <v>2</v>
      </c>
      <c r="F449" s="45">
        <f t="shared" si="15"/>
        <v>1.4428571428571428</v>
      </c>
      <c r="G449" s="367">
        <f>G448+26.3</f>
        <v>50.5</v>
      </c>
      <c r="H449" s="6" t="s">
        <v>879</v>
      </c>
      <c r="I449" t="s">
        <v>840</v>
      </c>
    </row>
    <row r="450" spans="3:9" ht="29.15" hidden="1" x14ac:dyDescent="0.35">
      <c r="C450" s="332" t="s">
        <v>882</v>
      </c>
      <c r="D450">
        <v>1</v>
      </c>
      <c r="F450" s="45">
        <f t="shared" si="15"/>
        <v>3.1314285714285712</v>
      </c>
      <c r="G450" s="367">
        <v>109.6</v>
      </c>
      <c r="H450" s="6" t="s">
        <v>884</v>
      </c>
      <c r="I450" t="s">
        <v>883</v>
      </c>
    </row>
    <row r="451" spans="3:9" ht="43.5" hidden="1" x14ac:dyDescent="0.35">
      <c r="C451" s="332" t="s">
        <v>882</v>
      </c>
      <c r="D451">
        <v>2</v>
      </c>
      <c r="F451" s="45">
        <f t="shared" si="15"/>
        <v>7.2228571428571424</v>
      </c>
      <c r="G451" s="367">
        <f>G450+143.2</f>
        <v>252.79999999999998</v>
      </c>
      <c r="H451" s="6" t="s">
        <v>886</v>
      </c>
      <c r="I451" t="s">
        <v>885</v>
      </c>
    </row>
    <row r="452" spans="3:9" ht="29.15" hidden="1" x14ac:dyDescent="0.35">
      <c r="C452" s="332" t="s">
        <v>887</v>
      </c>
      <c r="D452">
        <v>1</v>
      </c>
      <c r="F452" s="45">
        <f t="shared" si="15"/>
        <v>0.78285714285714281</v>
      </c>
      <c r="G452" s="367">
        <v>27.4</v>
      </c>
      <c r="H452" s="6" t="s">
        <v>888</v>
      </c>
      <c r="I452" t="s">
        <v>883</v>
      </c>
    </row>
    <row r="453" spans="3:9" ht="43.5" hidden="1" x14ac:dyDescent="0.35">
      <c r="C453" s="332" t="s">
        <v>887</v>
      </c>
      <c r="D453">
        <v>2</v>
      </c>
      <c r="F453" s="45">
        <f t="shared" si="15"/>
        <v>3.2371428571428575</v>
      </c>
      <c r="G453" s="367">
        <f>G452+85.9</f>
        <v>113.30000000000001</v>
      </c>
      <c r="H453" s="6" t="s">
        <v>889</v>
      </c>
      <c r="I453" t="s">
        <v>885</v>
      </c>
    </row>
    <row r="454" spans="3:9" hidden="1" x14ac:dyDescent="0.35">
      <c r="C454" s="332" t="s">
        <v>890</v>
      </c>
      <c r="D454">
        <v>1</v>
      </c>
    </row>
    <row r="455" spans="3:9" ht="29.15" hidden="1" x14ac:dyDescent="0.35">
      <c r="C455" s="332" t="s">
        <v>891</v>
      </c>
      <c r="D455">
        <v>1</v>
      </c>
      <c r="F455" s="45">
        <f t="shared" ref="F455:F468" si="16">G455/35</f>
        <v>3.1314285714285712</v>
      </c>
      <c r="G455" s="367">
        <v>109.6</v>
      </c>
      <c r="H455" s="6" t="s">
        <v>884</v>
      </c>
      <c r="I455" t="s">
        <v>883</v>
      </c>
    </row>
    <row r="456" spans="3:9" ht="43.5" hidden="1" x14ac:dyDescent="0.35">
      <c r="C456" s="332" t="s">
        <v>891</v>
      </c>
      <c r="D456">
        <v>2</v>
      </c>
      <c r="F456" s="45">
        <f t="shared" si="16"/>
        <v>7.2228571428571424</v>
      </c>
      <c r="G456" s="367">
        <f>G455+143.2</f>
        <v>252.79999999999998</v>
      </c>
      <c r="H456" s="6" t="s">
        <v>886</v>
      </c>
      <c r="I456" t="s">
        <v>885</v>
      </c>
    </row>
    <row r="457" spans="3:9" ht="43.5" hidden="1" x14ac:dyDescent="0.35">
      <c r="C457" s="332" t="s">
        <v>892</v>
      </c>
      <c r="D457">
        <v>1</v>
      </c>
      <c r="F457" s="45">
        <f t="shared" si="16"/>
        <v>0.63142857142857145</v>
      </c>
      <c r="G457" s="367">
        <v>22.1</v>
      </c>
      <c r="H457" s="6" t="s">
        <v>893</v>
      </c>
      <c r="I457" t="s">
        <v>860</v>
      </c>
    </row>
    <row r="458" spans="3:9" ht="29.15" hidden="1" x14ac:dyDescent="0.35">
      <c r="C458" s="332" t="s">
        <v>894</v>
      </c>
      <c r="D458">
        <v>1</v>
      </c>
      <c r="F458" s="45">
        <f t="shared" si="16"/>
        <v>0.67714285714285716</v>
      </c>
      <c r="G458" s="367">
        <v>23.7</v>
      </c>
      <c r="H458" s="6" t="s">
        <v>896</v>
      </c>
      <c r="I458" t="s">
        <v>895</v>
      </c>
    </row>
    <row r="459" spans="3:9" ht="43.5" hidden="1" x14ac:dyDescent="0.35">
      <c r="C459" s="332" t="s">
        <v>894</v>
      </c>
      <c r="D459">
        <v>2</v>
      </c>
      <c r="F459" s="45">
        <f t="shared" si="16"/>
        <v>3.16</v>
      </c>
      <c r="G459" s="367">
        <f>G458+86.9</f>
        <v>110.60000000000001</v>
      </c>
      <c r="H459" s="6" t="s">
        <v>898</v>
      </c>
      <c r="I459" t="s">
        <v>897</v>
      </c>
    </row>
    <row r="460" spans="3:9" ht="29.15" hidden="1" x14ac:dyDescent="0.35">
      <c r="C460" s="332" t="s">
        <v>899</v>
      </c>
      <c r="D460">
        <v>1</v>
      </c>
      <c r="F460" s="45">
        <f t="shared" si="16"/>
        <v>2.6657142857142855</v>
      </c>
      <c r="G460" s="367">
        <v>93.3</v>
      </c>
      <c r="H460" s="6" t="s">
        <v>901</v>
      </c>
      <c r="I460" t="s">
        <v>900</v>
      </c>
    </row>
    <row r="461" spans="3:9" ht="43.5" hidden="1" x14ac:dyDescent="0.35">
      <c r="C461" s="332" t="s">
        <v>899</v>
      </c>
      <c r="D461">
        <v>2</v>
      </c>
      <c r="F461" s="45">
        <f t="shared" si="16"/>
        <v>4.62</v>
      </c>
      <c r="G461" s="367">
        <f>G460+68.4</f>
        <v>161.69999999999999</v>
      </c>
      <c r="H461" s="6" t="s">
        <v>902</v>
      </c>
      <c r="I461" t="s">
        <v>885</v>
      </c>
    </row>
    <row r="462" spans="3:9" ht="29.15" hidden="1" x14ac:dyDescent="0.35">
      <c r="C462" s="332" t="s">
        <v>903</v>
      </c>
      <c r="D462">
        <v>1</v>
      </c>
      <c r="F462" s="45">
        <f t="shared" si="16"/>
        <v>1.4257142857142857</v>
      </c>
      <c r="G462" s="367">
        <v>49.9</v>
      </c>
      <c r="H462" s="6" t="s">
        <v>905</v>
      </c>
      <c r="I462" t="s">
        <v>904</v>
      </c>
    </row>
    <row r="463" spans="3:9" ht="29.15" hidden="1" x14ac:dyDescent="0.35">
      <c r="C463" s="332" t="s">
        <v>906</v>
      </c>
      <c r="D463">
        <v>1</v>
      </c>
      <c r="F463" s="45">
        <f t="shared" si="16"/>
        <v>0.62285714285714289</v>
      </c>
      <c r="G463" s="367">
        <v>21.8</v>
      </c>
      <c r="H463" s="6" t="s">
        <v>908</v>
      </c>
      <c r="I463" t="s">
        <v>907</v>
      </c>
    </row>
    <row r="464" spans="3:9" ht="43.5" hidden="1" x14ac:dyDescent="0.35">
      <c r="C464" s="332" t="s">
        <v>906</v>
      </c>
      <c r="D464">
        <v>2</v>
      </c>
      <c r="F464" s="45">
        <f t="shared" si="16"/>
        <v>4.3885714285714288</v>
      </c>
      <c r="G464" s="367">
        <f>G463+131.8</f>
        <v>153.60000000000002</v>
      </c>
      <c r="H464" s="6" t="s">
        <v>910</v>
      </c>
      <c r="I464" t="s">
        <v>909</v>
      </c>
    </row>
    <row r="465" spans="2:9" ht="29.15" hidden="1" x14ac:dyDescent="0.35">
      <c r="C465" s="332" t="s">
        <v>911</v>
      </c>
      <c r="D465">
        <v>1</v>
      </c>
      <c r="F465" s="45">
        <f t="shared" si="16"/>
        <v>0.93428571428571439</v>
      </c>
      <c r="G465" s="367">
        <v>32.700000000000003</v>
      </c>
      <c r="H465" s="6" t="s">
        <v>912</v>
      </c>
      <c r="I465" t="s">
        <v>907</v>
      </c>
    </row>
    <row r="466" spans="2:9" ht="43.5" hidden="1" x14ac:dyDescent="0.35">
      <c r="C466" s="332" t="s">
        <v>911</v>
      </c>
      <c r="D466">
        <v>2</v>
      </c>
      <c r="F466" s="45">
        <f t="shared" si="16"/>
        <v>2.3457142857142856</v>
      </c>
      <c r="G466" s="367">
        <f>G465+49.4</f>
        <v>82.1</v>
      </c>
      <c r="H466" s="6" t="s">
        <v>913</v>
      </c>
      <c r="I466" t="s">
        <v>909</v>
      </c>
    </row>
    <row r="467" spans="2:9" ht="29.15" hidden="1" x14ac:dyDescent="0.35">
      <c r="C467" s="332" t="s">
        <v>914</v>
      </c>
      <c r="D467">
        <v>1</v>
      </c>
      <c r="F467" s="45">
        <f t="shared" si="16"/>
        <v>4.597142857142857</v>
      </c>
      <c r="G467" s="367">
        <v>160.9</v>
      </c>
      <c r="H467" s="6" t="s">
        <v>916</v>
      </c>
      <c r="I467" t="s">
        <v>915</v>
      </c>
    </row>
    <row r="468" spans="2:9" ht="43.5" hidden="1" x14ac:dyDescent="0.35">
      <c r="C468" s="332" t="s">
        <v>914</v>
      </c>
      <c r="D468">
        <v>2</v>
      </c>
      <c r="F468" s="45">
        <f t="shared" si="16"/>
        <v>6.8485714285714279</v>
      </c>
      <c r="G468" s="367">
        <f>G467+78.8</f>
        <v>239.7</v>
      </c>
      <c r="H468" s="6" t="s">
        <v>918</v>
      </c>
      <c r="I468" t="s">
        <v>917</v>
      </c>
    </row>
    <row r="469" spans="2:9" ht="72.650000000000006" hidden="1" x14ac:dyDescent="0.35">
      <c r="B469" s="135">
        <v>32135</v>
      </c>
      <c r="C469" s="292" t="s">
        <v>425</v>
      </c>
      <c r="D469" s="293">
        <v>3</v>
      </c>
      <c r="G469" s="363">
        <v>409</v>
      </c>
      <c r="H469" s="6" t="s">
        <v>920</v>
      </c>
      <c r="I469" t="s">
        <v>919</v>
      </c>
    </row>
    <row r="470" spans="2:9" ht="29.15" hidden="1" x14ac:dyDescent="0.35">
      <c r="B470" s="5">
        <v>13027</v>
      </c>
      <c r="C470" s="332" t="s">
        <v>921</v>
      </c>
      <c r="D470">
        <v>1</v>
      </c>
      <c r="G470" s="367">
        <v>135</v>
      </c>
      <c r="H470" s="6" t="s">
        <v>927</v>
      </c>
      <c r="I470" s="6" t="s">
        <v>924</v>
      </c>
    </row>
    <row r="471" spans="2:9" ht="72.650000000000006" hidden="1" x14ac:dyDescent="0.35">
      <c r="B471" s="5">
        <v>13027</v>
      </c>
      <c r="C471" s="332" t="s">
        <v>921</v>
      </c>
      <c r="D471">
        <v>2</v>
      </c>
      <c r="G471" s="367">
        <v>551</v>
      </c>
      <c r="H471" s="6" t="s">
        <v>926</v>
      </c>
      <c r="I471" s="6" t="s">
        <v>925</v>
      </c>
    </row>
    <row r="472" spans="2:9" hidden="1" x14ac:dyDescent="0.35">
      <c r="B472" s="5">
        <v>13027</v>
      </c>
      <c r="C472" s="332" t="s">
        <v>921</v>
      </c>
      <c r="D472">
        <v>3</v>
      </c>
      <c r="G472" s="367">
        <v>776</v>
      </c>
      <c r="H472" s="6" t="s">
        <v>923</v>
      </c>
      <c r="I472" t="s">
        <v>922</v>
      </c>
    </row>
  </sheetData>
  <autoFilter ref="A1:J472" xr:uid="{00000000-0001-0000-0000-000000000000}">
    <filterColumn colId="2">
      <filters>
        <filter val="Laboratoire analyse agroalimentaire"/>
      </filters>
    </filterColumn>
  </autoFilter>
  <sortState xmlns:xlrd2="http://schemas.microsoft.com/office/spreadsheetml/2017/richdata2" ref="A2:J289">
    <sortCondition ref="B2:B289"/>
  </sortState>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1d954c9-a6d1-4657-aebe-0b409e03c93c" xsi:nil="true"/>
    <date xmlns="f7860f64-37ba-4bd0-9062-650546c81cab" xsi:nil="true"/>
    <lcf76f155ced4ddcb4097134ff3c332f xmlns="f7860f64-37ba-4bd0-9062-650546c81cab">
      <Terms xmlns="http://schemas.microsoft.com/office/infopath/2007/PartnerControls"/>
    </lcf76f155ced4ddcb4097134ff3c332f>
    <Qui xmlns="f7860f64-37ba-4bd0-9062-650546c81cab">
      <UserInfo>
        <DisplayName/>
        <AccountId xsi:nil="true"/>
        <AccountType/>
      </UserInfo>
    </Qui>
    <pardini xmlns="f7860f64-37ba-4bd0-9062-650546c81cab" xsi:nil="true"/>
    <Datedemodification xmlns="f7860f64-37ba-4bd0-9062-650546c81ca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9D18C1E9A59424E94A412655648FC88" ma:contentTypeVersion="22" ma:contentTypeDescription="Crée un document." ma:contentTypeScope="" ma:versionID="3969babdc3c640769988fff4749e696a">
  <xsd:schema xmlns:xsd="http://www.w3.org/2001/XMLSchema" xmlns:xs="http://www.w3.org/2001/XMLSchema" xmlns:p="http://schemas.microsoft.com/office/2006/metadata/properties" xmlns:ns2="f7860f64-37ba-4bd0-9062-650546c81cab" xmlns:ns3="9ccbefec-e6d9-4049-85d9-16036a305c20" xmlns:ns4="c1d954c9-a6d1-4657-aebe-0b409e03c93c" targetNamespace="http://schemas.microsoft.com/office/2006/metadata/properties" ma:root="true" ma:fieldsID="7ba29cdaf91252593d66a8df419dd42b" ns2:_="" ns3:_="" ns4:_="">
    <xsd:import namespace="f7860f64-37ba-4bd0-9062-650546c81cab"/>
    <xsd:import namespace="9ccbefec-e6d9-4049-85d9-16036a305c20"/>
    <xsd:import namespace="c1d954c9-a6d1-4657-aebe-0b409e03c93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3:SharedWithUsers" minOccurs="0"/>
                <xsd:element ref="ns3:SharedWithDetails" minOccurs="0"/>
                <xsd:element ref="ns2:Datedemodification" minOccurs="0"/>
                <xsd:element ref="ns2:date" minOccurs="0"/>
                <xsd:element ref="ns2:lcf76f155ced4ddcb4097134ff3c332f" minOccurs="0"/>
                <xsd:element ref="ns4:TaxCatchAll" minOccurs="0"/>
                <xsd:element ref="ns2:pardini" minOccurs="0"/>
                <xsd:element ref="ns2:MediaServiceObjectDetectorVersions" minOccurs="0"/>
                <xsd:element ref="ns2:MediaServiceSearchProperties" minOccurs="0"/>
                <xsd:element ref="ns2:Qui"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860f64-37ba-4bd0-9062-650546c81c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7" nillable="true" ma:displayName="Length (seconds)" ma:internalName="MediaLengthInSeconds" ma:readOnly="true">
      <xsd:simpleType>
        <xsd:restriction base="dms:Unknown"/>
      </xsd:simpleType>
    </xsd:element>
    <xsd:element name="Datedemodification" ma:index="20" nillable="true" ma:displayName="Date de modification" ma:format="DateTime" ma:internalName="Datedemodification">
      <xsd:simpleType>
        <xsd:restriction base="dms:DateTime"/>
      </xsd:simpleType>
    </xsd:element>
    <xsd:element name="date" ma:index="21" nillable="true" ma:displayName="date" ma:format="DateOnly" ma:internalName="date">
      <xsd:simpleType>
        <xsd:restriction base="dms:DateTime"/>
      </xsd:simpleType>
    </xsd:element>
    <xsd:element name="lcf76f155ced4ddcb4097134ff3c332f" ma:index="23" nillable="true" ma:taxonomy="true" ma:internalName="lcf76f155ced4ddcb4097134ff3c332f" ma:taxonomyFieldName="MediaServiceImageTags" ma:displayName="Balises d’images" ma:readOnly="false" ma:fieldId="{5cf76f15-5ced-4ddc-b409-7134ff3c332f}" ma:taxonomyMulti="true" ma:sspId="c0518c81-c1ba-45e4-9729-b2c73d8f0ad4" ma:termSetId="09814cd3-568e-fe90-9814-8d621ff8fb84" ma:anchorId="fba54fb3-c3e1-fe81-a776-ca4b69148c4d" ma:open="true" ma:isKeyword="false">
      <xsd:complexType>
        <xsd:sequence>
          <xsd:element ref="pc:Terms" minOccurs="0" maxOccurs="1"/>
        </xsd:sequence>
      </xsd:complexType>
    </xsd:element>
    <xsd:element name="pardini" ma:index="25" nillable="true" ma:displayName="Date" ma:format="DateOnly" ma:internalName="pardini">
      <xsd:simpleType>
        <xsd:restriction base="dms:DateTim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Qui" ma:index="28" nillable="true" ma:displayName="Qui" ma:format="Dropdown" ma:list="UserInfo" ma:SharePointGroup="0" ma:internalName="Qui">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ccbefec-e6d9-4049-85d9-16036a305c20" elementFormDefault="qualified">
    <xsd:import namespace="http://schemas.microsoft.com/office/2006/documentManagement/types"/>
    <xsd:import namespace="http://schemas.microsoft.com/office/infopath/2007/PartnerControls"/>
    <xsd:element name="SharedWithUsers" ma:index="1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Partagé avec dé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1d954c9-a6d1-4657-aebe-0b409e03c93c"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e533d4db-2efc-42e2-8afc-39bdfe1e1024}" ma:internalName="TaxCatchAll" ma:showField="CatchAllData" ma:web="c1d954c9-a6d1-4657-aebe-0b409e03c93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8B8F394-A094-4CBA-8B24-F34805D919D8}">
  <ds:schemaRefs>
    <ds:schemaRef ds:uri="http://schemas.microsoft.com/sharepoint/v3/contenttype/forms"/>
  </ds:schemaRefs>
</ds:datastoreItem>
</file>

<file path=customXml/itemProps2.xml><?xml version="1.0" encoding="utf-8"?>
<ds:datastoreItem xmlns:ds="http://schemas.openxmlformats.org/officeDocument/2006/customXml" ds:itemID="{ADE15BA5-9F22-4B55-88E2-9166A73D20C4}">
  <ds:schemaRefs>
    <ds:schemaRef ds:uri="http://schemas.microsoft.com/office/2006/documentManagement/types"/>
    <ds:schemaRef ds:uri="http://purl.org/dc/dcmitype/"/>
    <ds:schemaRef ds:uri="http://purl.org/dc/terms/"/>
    <ds:schemaRef ds:uri="http://purl.org/dc/elements/1.1/"/>
    <ds:schemaRef ds:uri="f7860f64-37ba-4bd0-9062-650546c81cab"/>
    <ds:schemaRef ds:uri="http://schemas.microsoft.com/office/infopath/2007/PartnerControls"/>
    <ds:schemaRef ds:uri="http://schemas.openxmlformats.org/package/2006/metadata/core-properties"/>
    <ds:schemaRef ds:uri="c1d954c9-a6d1-4657-aebe-0b409e03c93c"/>
    <ds:schemaRef ds:uri="9ccbefec-e6d9-4049-85d9-16036a305c20"/>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CF56248A-9EF2-4B13-9CFE-FA9C243D937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Fanny Montarello</dc:creator>
  <cp:keywords/>
  <dc:description/>
  <cp:lastModifiedBy>Joyce Ardissone</cp:lastModifiedBy>
  <cp:revision/>
  <dcterms:created xsi:type="dcterms:W3CDTF">2015-06-05T18:19:34Z</dcterms:created>
  <dcterms:modified xsi:type="dcterms:W3CDTF">2026-07-08T13:27:38Z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0x01010049D18C1E9A59424E94A412655648FC88</vt:lpwstr>
  </property>
  <property fmtid="{D5CDD505-2E9C-101B-9397-08002B2CF9AE}" pid="3" name="_ExtendedDescription">
    <vt:lpwstr/>
  </property>
  <property fmtid="{D5CDD505-2E9C-101B-9397-08002B2CF9AE}" pid="4" name="MediaServiceImageTags">
    <vt:lpwstr/>
  </property>
</Properties>
</file>